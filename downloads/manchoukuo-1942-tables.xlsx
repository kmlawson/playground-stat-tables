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IMG_5451_1" sheetId="2" state="visible" r:id="rId2"/>
    <sheet name="IMG_5451_2" sheetId="3" state="visible" r:id="rId3"/>
    <sheet name="IMG_5455_1" sheetId="4" state="visible" r:id="rId4"/>
    <sheet name="IMG_5456_1" sheetId="5" state="visible" r:id="rId5"/>
    <sheet name="IMG_5456_2" sheetId="6" state="visible" r:id="rId6"/>
    <sheet name="IMG_5458_1" sheetId="7" state="visible" r:id="rId7"/>
    <sheet name="IMG_5460_1" sheetId="8" state="visible" r:id="rId8"/>
    <sheet name="IMG_5466_1" sheetId="9" state="visible" r:id="rId9"/>
    <sheet name="IMG_5466_2" sheetId="10" state="visible" r:id="rId10"/>
    <sheet name="IMG_5468_1" sheetId="11" state="visible" r:id="rId11"/>
    <sheet name="IMG_5471_1" sheetId="12" state="visible" r:id="rId12"/>
    <sheet name="IMG_5471_2" sheetId="13" state="visible" r:id="rId13"/>
    <sheet name="IMG_5474_1" sheetId="14" state="visible" r:id="rId14"/>
    <sheet name="IMG_5477_1" sheetId="15" state="visible" r:id="rId15"/>
    <sheet name="IMG_5478_1" sheetId="16" state="visible" r:id="rId16"/>
    <sheet name="IMG_5478_2" sheetId="17" state="visible" r:id="rId17"/>
    <sheet name="IMG_5479_1" sheetId="18" state="visible" r:id="rId18"/>
    <sheet name="IMG_5479_2" sheetId="19" state="visible" r:id="rId19"/>
    <sheet name="IMG_5479_3" sheetId="20" state="visible" r:id="rId20"/>
    <sheet name="IMG_5479_4" sheetId="21" state="visible" r:id="rId21"/>
    <sheet name="IMG_5480_1" sheetId="22" state="visible" r:id="rId22"/>
    <sheet name="IMG_5482_1" sheetId="23" state="visible" r:id="rId23"/>
    <sheet name="IMG_5483_1" sheetId="24" state="visible" r:id="rId24"/>
    <sheet name="IMG_5508_1" sheetId="25" state="visible" r:id="rId25"/>
    <sheet name="IMG_5514_1" sheetId="26" state="visible" r:id="rId26"/>
    <sheet name="IMG_5515_1" sheetId="27" state="visible" r:id="rId27"/>
    <sheet name="IMG_5515_2" sheetId="28" state="visible" r:id="rId28"/>
    <sheet name="IMG_5516_1" sheetId="29" state="visible" r:id="rId29"/>
    <sheet name="IMG_5516_2" sheetId="30" state="visible" r:id="rId30"/>
    <sheet name="IMG_5517_1" sheetId="31" state="visible" r:id="rId31"/>
    <sheet name="IMG_5531_1" sheetId="32" state="visible" r:id="rId32"/>
    <sheet name="IMG_5532_1" sheetId="33" state="visible" r:id="rId33"/>
    <sheet name="IMG_5532_2" sheetId="34" state="visible" r:id="rId34"/>
    <sheet name="IMG_5534_1" sheetId="35" state="visible" r:id="rId35"/>
    <sheet name="IMG_5539_1" sheetId="36" state="visible" r:id="rId36"/>
    <sheet name="IMG_5548_1" sheetId="37" state="visible" r:id="rId37"/>
    <sheet name="IMG_5549_1" sheetId="38" state="visible" r:id="rId38"/>
    <sheet name="IMG_5560_1" sheetId="39" state="visible" r:id="rId39"/>
    <sheet name="IMG_5561_1" sheetId="40" state="visible" r:id="rId40"/>
    <sheet name="IMG_5562_1" sheetId="41" state="visible" r:id="rId41"/>
    <sheet name="IMG_5563_1" sheetId="42" state="visible" r:id="rId42"/>
    <sheet name="IMG_5563_2" sheetId="43" state="visible" r:id="rId43"/>
    <sheet name="IMG_5570_1" sheetId="44" state="visible" r:id="rId44"/>
    <sheet name="IMG_5580_1" sheetId="45" state="visible" r:id="rId45"/>
    <sheet name="IMG_5580_2" sheetId="46" state="visible" r:id="rId46"/>
    <sheet name="IMG_5581_1" sheetId="47" state="visible" r:id="rId47"/>
    <sheet name="IMG_5581_2" sheetId="48" state="visible" r:id="rId48"/>
    <sheet name="IMG_5582_1" sheetId="49" state="visible" r:id="rId49"/>
    <sheet name="IMG_5583_1" sheetId="50" state="visible" r:id="rId50"/>
    <sheet name="IMG_5583_2" sheetId="51" state="visible" r:id="rId51"/>
    <sheet name="IMG_5584_1" sheetId="52" state="visible" r:id="rId52"/>
    <sheet name="IMG_5584_2" sheetId="53" state="visible" r:id="rId53"/>
    <sheet name="IMG_5585_1" sheetId="54" state="visible" r:id="rId54"/>
    <sheet name="IMG_5585_2" sheetId="55" state="visible" r:id="rId55"/>
    <sheet name="IMG_5586_1" sheetId="56" state="visible" r:id="rId56"/>
    <sheet name="IMG_5586_2" sheetId="57" state="visible" r:id="rId57"/>
    <sheet name="IMG_5588_1" sheetId="58" state="visible" r:id="rId58"/>
    <sheet name="IMG_5588_2" sheetId="59" state="visible" r:id="rId59"/>
    <sheet name="IMG_5588_3" sheetId="60" state="visible" r:id="rId60"/>
    <sheet name="IMG_5589_1" sheetId="61" state="visible" r:id="rId61"/>
    <sheet name="IMG_5591_1" sheetId="62" state="visible" r:id="rId62"/>
    <sheet name="IMG_5592_1" sheetId="63" state="visible" r:id="rId63"/>
    <sheet name="IMG_5593_1" sheetId="64" state="visible" r:id="rId64"/>
    <sheet name="IMG_5594_1" sheetId="65" state="visible" r:id="rId65"/>
    <sheet name="IMG_5595_1" sheetId="66" state="visible" r:id="rId66"/>
    <sheet name="IMG_5595_2" sheetId="67" state="visible" r:id="rId67"/>
    <sheet name="IMG_5596_1" sheetId="68" state="visible" r:id="rId68"/>
    <sheet name="IMG_5596_2" sheetId="69" state="visible" r:id="rId69"/>
    <sheet name="IMG_5597_1" sheetId="70" state="visible" r:id="rId70"/>
    <sheet name="IMG_5599_1" sheetId="71" state="visible" r:id="rId71"/>
    <sheet name="IMG_5604_1" sheetId="72" state="visible" r:id="rId72"/>
    <sheet name="IMG_5605_1" sheetId="73" state="visible" r:id="rId73"/>
    <sheet name="IMG_5605_2" sheetId="74" state="visible" r:id="rId74"/>
    <sheet name="IMG_5606_1" sheetId="75" state="visible" r:id="rId75"/>
    <sheet name="IMG_5607_2" sheetId="76" state="visible" r:id="rId76"/>
    <sheet name="IMG_5607_3" sheetId="77" state="visible" r:id="rId77"/>
    <sheet name="IMG_5615_1" sheetId="78" state="visible" r:id="rId78"/>
    <sheet name="IMG_5615_2" sheetId="79" state="visible" r:id="rId79"/>
    <sheet name="IMG_5617_1" sheetId="80" state="visible" r:id="rId80"/>
    <sheet name="IMG_5618_1" sheetId="81" state="visible" r:id="rId81"/>
    <sheet name="IMG_5618_2" sheetId="82" state="visible" r:id="rId82"/>
    <sheet name="IMG_5619_1" sheetId="83" state="visible" r:id="rId83"/>
    <sheet name="IMG_5619_2" sheetId="84" state="visible" r:id="rId84"/>
    <sheet name="IMG_5622_1" sheetId="85" state="visible" r:id="rId85"/>
    <sheet name="IMG_5624_1" sheetId="86" state="visible" r:id="rId86"/>
    <sheet name="IMG_5628_1" sheetId="87" state="visible" r:id="rId87"/>
    <sheet name="IMG_5628_2" sheetId="88" state="visible" r:id="rId88"/>
    <sheet name="IMG_5629_1" sheetId="89" state="visible" r:id="rId89"/>
    <sheet name="IMG_5630_1" sheetId="90" state="visible" r:id="rId90"/>
    <sheet name="IMG_5630_2" sheetId="91" state="visible" r:id="rId91"/>
    <sheet name="IMG_5631_1" sheetId="92" state="visible" r:id="rId92"/>
    <sheet name="IMG_5641_1" sheetId="93" state="visible" r:id="rId93"/>
    <sheet name="IMG_5643_1" sheetId="94" state="visible" r:id="rId94"/>
    <sheet name="IMG_5645_1" sheetId="95" state="visible" r:id="rId95"/>
    <sheet name="IMG_5645_2" sheetId="96" state="visible" r:id="rId96"/>
    <sheet name="IMG_5647_1" sheetId="97" state="visible" r:id="rId97"/>
    <sheet name="IMG_5648_1" sheetId="98" state="visible" r:id="rId98"/>
    <sheet name="IMG_5651_1" sheetId="99" state="visible" r:id="rId99"/>
    <sheet name="IMG_5652_1" sheetId="100" state="visible" r:id="rId100"/>
    <sheet name="IMG_5662_1" sheetId="101" state="visible" r:id="rId101"/>
    <sheet name="IMG_5663_1" sheetId="102" state="visible" r:id="rId102"/>
    <sheet name="IMG_5665_1" sheetId="103" state="visible" r:id="rId103"/>
    <sheet name="IMG_5666_1" sheetId="104" state="visible" r:id="rId104"/>
    <sheet name="IMG_5668_1" sheetId="105" state="visible" r:id="rId105"/>
    <sheet name="IMG_5671_1" sheetId="106" state="visible" r:id="rId106"/>
    <sheet name="IMG_5671_2" sheetId="107" state="visible" r:id="rId107"/>
    <sheet name="IMG_5674_1" sheetId="108" state="visible" r:id="rId108"/>
    <sheet name="IMG_5675_1" sheetId="109" state="visible" r:id="rId109"/>
    <sheet name="IMG_5677_1" sheetId="110" state="visible" r:id="rId110"/>
    <sheet name="IMG_5677_2" sheetId="111" state="visible" r:id="rId111"/>
    <sheet name="IMG_5677_3" sheetId="112" state="visible" r:id="rId112"/>
    <sheet name="IMG_5678_1" sheetId="113" state="visible" r:id="rId113"/>
    <sheet name="IMG_5682_1" sheetId="114" state="visible" r:id="rId114"/>
    <sheet name="IMG_5682_2" sheetId="115" state="visible" r:id="rId115"/>
    <sheet name="IMG_5682_3" sheetId="116" state="visible" r:id="rId116"/>
    <sheet name="IMG_5683_1" sheetId="117" state="visible" r:id="rId117"/>
    <sheet name="IMG_5685_1" sheetId="118" state="visible" r:id="rId118"/>
    <sheet name="IMG_5686_1" sheetId="119" state="visible" r:id="rId119"/>
    <sheet name="IMG_5686_2" sheetId="120" state="visible" r:id="rId120"/>
    <sheet name="IMG_5687_1" sheetId="121" state="visible" r:id="rId121"/>
    <sheet name="IMG_5687_2" sheetId="122" state="visible" r:id="rId122"/>
    <sheet name="IMG_5687_3" sheetId="123" state="visible" r:id="rId123"/>
    <sheet name="IMG_5688_1" sheetId="124" state="visible" r:id="rId124"/>
    <sheet name="IMG_5690_1" sheetId="125" state="visible" r:id="rId125"/>
    <sheet name="IMG_5691_1" sheetId="126" state="visible" r:id="rId126"/>
    <sheet name="IMG_5691_2" sheetId="127" state="visible" r:id="rId127"/>
    <sheet name="IMG_5691_3" sheetId="128" state="visible" r:id="rId128"/>
    <sheet name="IMG_5692_1" sheetId="129" state="visible" r:id="rId129"/>
    <sheet name="IMG_5692_2" sheetId="130" state="visible" r:id="rId130"/>
    <sheet name="IMG_5692_3" sheetId="131" state="visible" r:id="rId131"/>
    <sheet name="IMG_5692_4" sheetId="132" state="visible" r:id="rId132"/>
    <sheet name="IMG_5693_1" sheetId="133" state="visible" r:id="rId133"/>
    <sheet name="IMG_5693_2" sheetId="134" state="visible" r:id="rId134"/>
    <sheet name="IMG_5694_1" sheetId="135" state="visible" r:id="rId135"/>
    <sheet name="IMG_5694_2" sheetId="136" state="visible" r:id="rId136"/>
    <sheet name="IMG_5695_1" sheetId="137" state="visible" r:id="rId137"/>
    <sheet name="IMG_5695_2" sheetId="138" state="visible" r:id="rId138"/>
    <sheet name="IMG_5696_1" sheetId="139" state="visible" r:id="rId139"/>
    <sheet name="IMG_5696_2" sheetId="140" state="visible" r:id="rId140"/>
    <sheet name="IMG_5696_3" sheetId="141" state="visible" r:id="rId141"/>
    <sheet name="IMG_5696_4" sheetId="142" state="visible" r:id="rId142"/>
    <sheet name="IMG_5697_1" sheetId="143" state="visible" r:id="rId143"/>
    <sheet name="IMG_5697_2" sheetId="144" state="visible" r:id="rId144"/>
    <sheet name="IMG_5697_3" sheetId="145" state="visible" r:id="rId145"/>
    <sheet name="IMG_5698_1" sheetId="146" state="visible" r:id="rId146"/>
    <sheet name="IMG_5698_2" sheetId="147" state="visible" r:id="rId147"/>
    <sheet name="IMG_5699_1" sheetId="148" state="visible" r:id="rId148"/>
    <sheet name="IMG_5699_2" sheetId="149" state="visible" r:id="rId149"/>
    <sheet name="IMG_5703_1" sheetId="150" state="visible" r:id="rId150"/>
    <sheet name="IMG_5704_1" sheetId="151" state="visible" r:id="rId151"/>
    <sheet name="IMG_5704_2" sheetId="152" state="visible" r:id="rId152"/>
    <sheet name="IMG_5705_1" sheetId="153" state="visible" r:id="rId153"/>
    <sheet name="IMG_5705_2" sheetId="154" state="visible" r:id="rId154"/>
    <sheet name="IMG_5705_3" sheetId="155" state="visible" r:id="rId155"/>
    <sheet name="IMG_5705_4" sheetId="156" state="visible" r:id="rId156"/>
    <sheet name="IMG_5705_5" sheetId="157" state="visible" r:id="rId157"/>
    <sheet name="IMG_5705_6" sheetId="158" state="visible" r:id="rId158"/>
    <sheet name="IMG_5705_7" sheetId="159" state="visible" r:id="rId159"/>
    <sheet name="IMG_5709_1" sheetId="160" state="visible" r:id="rId160"/>
    <sheet name="IMG_5710_1" sheetId="161" state="visible" r:id="rId161"/>
    <sheet name="IMG_5711_1" sheetId="162" state="visible" r:id="rId162"/>
    <sheet name="IMG_5711_2" sheetId="163" state="visible" r:id="rId163"/>
    <sheet name="IMG_5711_3" sheetId="164" state="visible" r:id="rId164"/>
    <sheet name="IMG_5712_1" sheetId="165" state="visible" r:id="rId165"/>
    <sheet name="IMG_5713_1" sheetId="166" state="visible" r:id="rId166"/>
    <sheet name="IMG_5714_1" sheetId="167" state="visible" r:id="rId167"/>
    <sheet name="IMG_5715_1" sheetId="168" state="visible" r:id="rId168"/>
    <sheet name="IMG_5715_2" sheetId="169" state="visible" r:id="rId169"/>
    <sheet name="IMG_5716_1" sheetId="170" state="visible" r:id="rId170"/>
    <sheet name="IMG_5717_1" sheetId="171" state="visible" r:id="rId171"/>
    <sheet name="IMG_5717_2" sheetId="172" state="visible" r:id="rId172"/>
    <sheet name="IMG_5717_3" sheetId="173" state="visible" r:id="rId173"/>
    <sheet name="IMG_5717_4" sheetId="174" state="visible" r:id="rId174"/>
    <sheet name="IMG_5718_1" sheetId="175" state="visible" r:id="rId175"/>
    <sheet name="IMG_5719_1" sheetId="176" state="visible" r:id="rId176"/>
    <sheet name="IMG_5719_2" sheetId="177" state="visible" r:id="rId177"/>
    <sheet name="IMG_5719_3" sheetId="178" state="visible" r:id="rId178"/>
    <sheet name="IMG_5720_1" sheetId="179" state="visible" r:id="rId179"/>
    <sheet name="IMG_5720_2" sheetId="180" state="visible" r:id="rId180"/>
    <sheet name="IMG_5720_3" sheetId="181" state="visible" r:id="rId181"/>
    <sheet name="IMG_5721_1" sheetId="182" state="visible" r:id="rId182"/>
    <sheet name="IMG_5721_2" sheetId="183" state="visible" r:id="rId183"/>
    <sheet name="IMG_5722_1" sheetId="184" state="visible" r:id="rId184"/>
    <sheet name="IMG_5722_2" sheetId="185" state="visible" r:id="rId185"/>
    <sheet name="IMG_5723_1" sheetId="186" state="visible" r:id="rId186"/>
    <sheet name="IMG_5723_2" sheetId="187" state="visible" r:id="rId187"/>
    <sheet name="IMG_5723_3" sheetId="188" state="visible" r:id="rId188"/>
    <sheet name="IMG_5724_1" sheetId="189" state="visible" r:id="rId189"/>
    <sheet name="IMG_5724_2" sheetId="190" state="visible" r:id="rId190"/>
    <sheet name="IMG_5724_3" sheetId="191" state="visible" r:id="rId191"/>
    <sheet name="IMG_5725_1" sheetId="192" state="visible" r:id="rId192"/>
    <sheet name="IMG_5725_2" sheetId="193" state="visible" r:id="rId193"/>
    <sheet name="IMG_5725_3" sheetId="194" state="visible" r:id="rId194"/>
    <sheet name="IMG_5726_1" sheetId="195" state="visible" r:id="rId195"/>
    <sheet name="IMG_5727_1" sheetId="196" state="visible" r:id="rId196"/>
    <sheet name="IMG_5727_2" sheetId="197" state="visible" r:id="rId197"/>
    <sheet name="IMG_5728_1" sheetId="198" state="visible" r:id="rId198"/>
    <sheet name="IMG_5729_1" sheetId="199" state="visible" r:id="rId199"/>
    <sheet name="IMG_5730_1" sheetId="200" state="visible" r:id="rId200"/>
    <sheet name="IMG_5732_1" sheetId="201" state="visible" r:id="rId201"/>
    <sheet name="IMG_5735_1" sheetId="202" state="visible" r:id="rId202"/>
    <sheet name="IMG_5735_2" sheetId="203" state="visible" r:id="rId203"/>
    <sheet name="IMG_5735_3" sheetId="204" state="visible" r:id="rId204"/>
    <sheet name="IMG_5736_1" sheetId="205" state="visible" r:id="rId205"/>
    <sheet name="IMG_5738_1" sheetId="206" state="visible" r:id="rId206"/>
    <sheet name="IMG_5739_1" sheetId="207" state="visible" r:id="rId207"/>
    <sheet name="IMG_5739_2" sheetId="208" state="visible" r:id="rId208"/>
    <sheet name="IMG_5739_3" sheetId="209" state="visible" r:id="rId209"/>
    <sheet name="IMG_5741_1" sheetId="210" state="visible" r:id="rId210"/>
    <sheet name="IMG_5743_1" sheetId="211" state="visible" r:id="rId211"/>
    <sheet name="IMG_5743_2" sheetId="212" state="visible" r:id="rId212"/>
    <sheet name="IMG_5744_1" sheetId="213" state="visible" r:id="rId213"/>
    <sheet name="IMG_5744_2" sheetId="214" state="visible" r:id="rId214"/>
    <sheet name="IMG_5745_1" sheetId="215" state="visible" r:id="rId215"/>
    <sheet name="IMG_5745_2" sheetId="216" state="visible" r:id="rId216"/>
    <sheet name="IMG_5747_1" sheetId="217" state="visible" r:id="rId217"/>
    <sheet name="IMG_5748_1" sheetId="218" state="visible" r:id="rId218"/>
    <sheet name="IMG_5748_2" sheetId="219" state="visible" r:id="rId219"/>
    <sheet name="IMG_5748_3" sheetId="220" state="visible" r:id="rId220"/>
    <sheet name="IMG_5750_1" sheetId="221" state="visible" r:id="rId221"/>
    <sheet name="IMG_5751_1" sheetId="222" state="visible" r:id="rId222"/>
    <sheet name="IMG_5752_1" sheetId="223" state="visible" r:id="rId223"/>
    <sheet name="IMG_5752_2" sheetId="224" state="visible" r:id="rId224"/>
    <sheet name="IMG_5752_3" sheetId="225" state="visible" r:id="rId225"/>
    <sheet name="IMG_5755_1" sheetId="226" state="visible" r:id="rId226"/>
    <sheet name="IMG_5758_1" sheetId="227" state="visible" r:id="rId227"/>
    <sheet name="IMG_5764_1" sheetId="228" state="visible" r:id="rId228"/>
    <sheet name="IMG_5765_1" sheetId="229" state="visible" r:id="rId229"/>
    <sheet name="IMG_5766_1" sheetId="230" state="visible" r:id="rId230"/>
    <sheet name="IMG_5767_1" sheetId="231" state="visible" r:id="rId231"/>
    <sheet name="IMG_5767_2" sheetId="232" state="visible" r:id="rId232"/>
    <sheet name="IMG_5769_1" sheetId="233" state="visible" r:id="rId233"/>
    <sheet name="IMG_5770_1" sheetId="234" state="visible" r:id="rId234"/>
    <sheet name="IMG_5770_2" sheetId="235" state="visible" r:id="rId235"/>
    <sheet name="IMG_5772_1" sheetId="236" state="visible" r:id="rId236"/>
    <sheet name="IMG_5772_2" sheetId="237" state="visible" r:id="rId237"/>
    <sheet name="IMG_5773_1" sheetId="238" state="visible" r:id="rId238"/>
    <sheet name="IMG_5774_1" sheetId="239" state="visible" r:id="rId239"/>
    <sheet name="IMG_5775_1" sheetId="240" state="visible" r:id="rId240"/>
    <sheet name="IMG_5779_1" sheetId="241" state="visible" r:id="rId241"/>
    <sheet name="IMG_5780_1" sheetId="242" state="visible" r:id="rId242"/>
    <sheet name="IMG_5780_2" sheetId="243" state="visible" r:id="rId243"/>
    <sheet name="IMG_5781_1" sheetId="244" state="visible" r:id="rId244"/>
    <sheet name="IMG_5781_2" sheetId="245" state="visible" r:id="rId245"/>
    <sheet name="IMG_5783_1" sheetId="246" state="visible" r:id="rId246"/>
    <sheet name="IMG_5785_1" sheetId="247" state="visible" r:id="rId247"/>
    <sheet name="IMG_5785_2" sheetId="248" state="visible" r:id="rId248"/>
    <sheet name="IMG_5785_3" sheetId="249" state="visible" r:id="rId249"/>
    <sheet name="IMG_5786_1" sheetId="250" state="visible" r:id="rId250"/>
    <sheet name="IMG_5787_1" sheetId="251" state="visible" r:id="rId251"/>
    <sheet name="IMG_5787_2" sheetId="252" state="visible" r:id="rId252"/>
    <sheet name="IMG_5788_1" sheetId="253" state="visible" r:id="rId253"/>
    <sheet name="IMG_5790_1" sheetId="254" state="visible" r:id="rId254"/>
    <sheet name="IMG_5790_2" sheetId="255" state="visible" r:id="rId255"/>
    <sheet name="IMG_5790_3" sheetId="256" state="visible" r:id="rId256"/>
    <sheet name="IMG_5790_4" sheetId="257" state="visible" r:id="rId257"/>
    <sheet name="IMG_5791_1" sheetId="258" state="visible" r:id="rId258"/>
    <sheet name="IMG_5796_1" sheetId="259" state="visible" r:id="rId259"/>
    <sheet name="IMG_5798_1" sheetId="260" state="visible" r:id="rId260"/>
    <sheet name="IMG_5798_2" sheetId="261" state="visible" r:id="rId261"/>
    <sheet name="IMG_5798_3" sheetId="262" state="visible" r:id="rId262"/>
    <sheet name="IMG_5799_1" sheetId="263" state="visible" r:id="rId263"/>
    <sheet name="IMG_5800_1" sheetId="264" state="visible" r:id="rId264"/>
    <sheet name="IMG_5800_2" sheetId="265" state="visible" r:id="rId265"/>
    <sheet name="IMG_5802_1" sheetId="266" state="visible" r:id="rId266"/>
    <sheet name="IMG_5803_1" sheetId="267" state="visible" r:id="rId267"/>
    <sheet name="IMG_5803_2" sheetId="268" state="visible" r:id="rId268"/>
    <sheet name="IMG_5806_1" sheetId="269" state="visible" r:id="rId269"/>
    <sheet name="IMG_5808_1" sheetId="270" state="visible" r:id="rId270"/>
    <sheet name="IMG_5808_2" sheetId="271" state="visible" r:id="rId271"/>
    <sheet name="IMG_5814_1" sheetId="272" state="visible" r:id="rId272"/>
    <sheet name="IMG_5822_1" sheetId="273" state="visible" r:id="rId273"/>
    <sheet name="IMG_5822_2" sheetId="274" state="visible" r:id="rId274"/>
    <sheet name="IMG_5839_1" sheetId="275" state="visible" r:id="rId275"/>
    <sheet name="IMG_5850_1" sheetId="276" state="visible" r:id="rId276"/>
    <sheet name="IMG_5853_1" sheetId="277" state="visible" r:id="rId277"/>
    <sheet name="IMG_5879_1" sheetId="278" state="visible" r:id="rId278"/>
    <sheet name="IMG_5880_1" sheetId="279" state="visible" r:id="rId27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5">
    <font>
      <name val="Calibri"/>
      <family val="2"/>
      <color theme="1"/>
      <sz val="11"/>
      <scheme val="minor"/>
    </font>
    <font>
      <b val="1"/>
      <sz val="14"/>
    </font>
    <font>
      <b val="1"/>
    </font>
    <font>
      <b val="1"/>
      <sz val="13"/>
    </font>
    <font>
      <color rgb="001F4A2C"/>
      <u val="single"/>
    </font>
  </fonts>
  <fills count="2">
    <fill>
      <patternFill/>
    </fill>
    <fill>
      <patternFill patternType="gray125"/>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pivotButton="0" quotePrefix="0" xfId="0"/>
    <xf numFmtId="0" fontId="2" fillId="0" borderId="0" applyAlignment="1" pivotButton="0" quotePrefix="0" xfId="0">
      <alignment vertical="top" wrapText="1"/>
    </xf>
    <xf numFmtId="3" fontId="0" fillId="0" borderId="0" pivotButton="0" quotePrefix="0" xfId="0"/>
    <xf numFmtId="164" fontId="0" fillId="0" borderId="0" pivotButton="0" quotePrefix="0" xfId="0"/>
    <xf numFmtId="165" fontId="0" fillId="0" borderId="0" pivotButton="0" quotePrefix="0" xfId="0"/>
    <xf numFmtId="1" fontId="0" fillId="0" borderId="0" pivotButton="0" quotePrefix="0" xfId="0"/>
    <xf numFmtId="166" fontId="0" fillId="0" borderId="0" pivotButton="0" quotePrefix="0" xfId="0"/>
    <xf numFmtId="2" fontId="0" fillId="0" borderId="0" pivotButton="0" quotePrefix="0" xfId="0"/>
    <xf numFmtId="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styles" Target="styles.xml" Id="rId280" /><Relationship Type="http://schemas.openxmlformats.org/officeDocument/2006/relationships/theme" Target="theme/theme1.xml" Id="rId28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MG_5451_1'!A1" TargetMode="External" Id="rId1" /><Relationship Type="http://schemas.openxmlformats.org/officeDocument/2006/relationships/hyperlink" Target="#'IMG_5451_2'!A1" TargetMode="External" Id="rId2" /><Relationship Type="http://schemas.openxmlformats.org/officeDocument/2006/relationships/hyperlink" Target="#'IMG_5455_1'!A1" TargetMode="External" Id="rId3" /><Relationship Type="http://schemas.openxmlformats.org/officeDocument/2006/relationships/hyperlink" Target="#'IMG_5456_1'!A1" TargetMode="External" Id="rId4" /><Relationship Type="http://schemas.openxmlformats.org/officeDocument/2006/relationships/hyperlink" Target="#'IMG_5456_2'!A1" TargetMode="External" Id="rId5" /><Relationship Type="http://schemas.openxmlformats.org/officeDocument/2006/relationships/hyperlink" Target="#'IMG_5458_1'!A1" TargetMode="External" Id="rId6" /><Relationship Type="http://schemas.openxmlformats.org/officeDocument/2006/relationships/hyperlink" Target="#'IMG_5460_1'!A1" TargetMode="External" Id="rId7" /><Relationship Type="http://schemas.openxmlformats.org/officeDocument/2006/relationships/hyperlink" Target="#'IMG_5466_1'!A1" TargetMode="External" Id="rId8" /><Relationship Type="http://schemas.openxmlformats.org/officeDocument/2006/relationships/hyperlink" Target="#'IMG_5466_2'!A1" TargetMode="External" Id="rId9" /><Relationship Type="http://schemas.openxmlformats.org/officeDocument/2006/relationships/hyperlink" Target="#'IMG_5468_1'!A1" TargetMode="External" Id="rId10" /><Relationship Type="http://schemas.openxmlformats.org/officeDocument/2006/relationships/hyperlink" Target="#'IMG_5471_1'!A1" TargetMode="External" Id="rId11" /><Relationship Type="http://schemas.openxmlformats.org/officeDocument/2006/relationships/hyperlink" Target="#'IMG_5471_2'!A1" TargetMode="External" Id="rId12" /><Relationship Type="http://schemas.openxmlformats.org/officeDocument/2006/relationships/hyperlink" Target="#'IMG_5474_1'!A1" TargetMode="External" Id="rId13" /><Relationship Type="http://schemas.openxmlformats.org/officeDocument/2006/relationships/hyperlink" Target="#'IMG_5477_1'!A1" TargetMode="External" Id="rId14" /><Relationship Type="http://schemas.openxmlformats.org/officeDocument/2006/relationships/hyperlink" Target="#'IMG_5478_1'!A1" TargetMode="External" Id="rId15" /><Relationship Type="http://schemas.openxmlformats.org/officeDocument/2006/relationships/hyperlink" Target="#'IMG_5478_2'!A1" TargetMode="External" Id="rId16" /><Relationship Type="http://schemas.openxmlformats.org/officeDocument/2006/relationships/hyperlink" Target="#'IMG_5479_1'!A1" TargetMode="External" Id="rId17" /><Relationship Type="http://schemas.openxmlformats.org/officeDocument/2006/relationships/hyperlink" Target="#'IMG_5479_2'!A1" TargetMode="External" Id="rId18" /><Relationship Type="http://schemas.openxmlformats.org/officeDocument/2006/relationships/hyperlink" Target="#'IMG_5479_3'!A1" TargetMode="External" Id="rId19" /><Relationship Type="http://schemas.openxmlformats.org/officeDocument/2006/relationships/hyperlink" Target="#'IMG_5479_4'!A1" TargetMode="External" Id="rId20" /><Relationship Type="http://schemas.openxmlformats.org/officeDocument/2006/relationships/hyperlink" Target="#'IMG_5480_1'!A1" TargetMode="External" Id="rId21" /><Relationship Type="http://schemas.openxmlformats.org/officeDocument/2006/relationships/hyperlink" Target="#'IMG_5482_1'!A1" TargetMode="External" Id="rId22" /><Relationship Type="http://schemas.openxmlformats.org/officeDocument/2006/relationships/hyperlink" Target="#'IMG_5483_1'!A1" TargetMode="External" Id="rId23" /><Relationship Type="http://schemas.openxmlformats.org/officeDocument/2006/relationships/hyperlink" Target="#'IMG_5508_1'!A1" TargetMode="External" Id="rId24" /><Relationship Type="http://schemas.openxmlformats.org/officeDocument/2006/relationships/hyperlink" Target="#'IMG_5514_1'!A1" TargetMode="External" Id="rId25" /><Relationship Type="http://schemas.openxmlformats.org/officeDocument/2006/relationships/hyperlink" Target="#'IMG_5515_1'!A1" TargetMode="External" Id="rId26" /><Relationship Type="http://schemas.openxmlformats.org/officeDocument/2006/relationships/hyperlink" Target="#'IMG_5515_2'!A1" TargetMode="External" Id="rId27" /><Relationship Type="http://schemas.openxmlformats.org/officeDocument/2006/relationships/hyperlink" Target="#'IMG_5516_1'!A1" TargetMode="External" Id="rId28" /><Relationship Type="http://schemas.openxmlformats.org/officeDocument/2006/relationships/hyperlink" Target="#'IMG_5516_2'!A1" TargetMode="External" Id="rId29" /><Relationship Type="http://schemas.openxmlformats.org/officeDocument/2006/relationships/hyperlink" Target="#'IMG_5517_1'!A1" TargetMode="External" Id="rId30" /><Relationship Type="http://schemas.openxmlformats.org/officeDocument/2006/relationships/hyperlink" Target="#'IMG_5531_1'!A1" TargetMode="External" Id="rId31" /><Relationship Type="http://schemas.openxmlformats.org/officeDocument/2006/relationships/hyperlink" Target="#'IMG_5532_1'!A1" TargetMode="External" Id="rId32" /><Relationship Type="http://schemas.openxmlformats.org/officeDocument/2006/relationships/hyperlink" Target="#'IMG_5532_2'!A1" TargetMode="External" Id="rId33" /><Relationship Type="http://schemas.openxmlformats.org/officeDocument/2006/relationships/hyperlink" Target="#'IMG_5534_1'!A1" TargetMode="External" Id="rId34" /><Relationship Type="http://schemas.openxmlformats.org/officeDocument/2006/relationships/hyperlink" Target="#'IMG_5539_1'!A1" TargetMode="External" Id="rId35" /><Relationship Type="http://schemas.openxmlformats.org/officeDocument/2006/relationships/hyperlink" Target="#'IMG_5548_1'!A1" TargetMode="External" Id="rId36" /><Relationship Type="http://schemas.openxmlformats.org/officeDocument/2006/relationships/hyperlink" Target="#'IMG_5549_1'!A1" TargetMode="External" Id="rId37" /><Relationship Type="http://schemas.openxmlformats.org/officeDocument/2006/relationships/hyperlink" Target="#'IMG_5560_1'!A1" TargetMode="External" Id="rId38" /><Relationship Type="http://schemas.openxmlformats.org/officeDocument/2006/relationships/hyperlink" Target="#'IMG_5561_1'!A1" TargetMode="External" Id="rId39" /><Relationship Type="http://schemas.openxmlformats.org/officeDocument/2006/relationships/hyperlink" Target="#'IMG_5562_1'!A1" TargetMode="External" Id="rId40" /><Relationship Type="http://schemas.openxmlformats.org/officeDocument/2006/relationships/hyperlink" Target="#'IMG_5563_1'!A1" TargetMode="External" Id="rId41" /><Relationship Type="http://schemas.openxmlformats.org/officeDocument/2006/relationships/hyperlink" Target="#'IMG_5563_2'!A1" TargetMode="External" Id="rId42" /><Relationship Type="http://schemas.openxmlformats.org/officeDocument/2006/relationships/hyperlink" Target="#'IMG_5570_1'!A1" TargetMode="External" Id="rId43" /><Relationship Type="http://schemas.openxmlformats.org/officeDocument/2006/relationships/hyperlink" Target="#'IMG_5580_1'!A1" TargetMode="External" Id="rId44" /><Relationship Type="http://schemas.openxmlformats.org/officeDocument/2006/relationships/hyperlink" Target="#'IMG_5580_2'!A1" TargetMode="External" Id="rId45" /><Relationship Type="http://schemas.openxmlformats.org/officeDocument/2006/relationships/hyperlink" Target="#'IMG_5581_1'!A1" TargetMode="External" Id="rId46" /><Relationship Type="http://schemas.openxmlformats.org/officeDocument/2006/relationships/hyperlink" Target="#'IMG_5581_2'!A1" TargetMode="External" Id="rId47" /><Relationship Type="http://schemas.openxmlformats.org/officeDocument/2006/relationships/hyperlink" Target="#'IMG_5582_1'!A1" TargetMode="External" Id="rId48" /><Relationship Type="http://schemas.openxmlformats.org/officeDocument/2006/relationships/hyperlink" Target="#'IMG_5583_1'!A1" TargetMode="External" Id="rId49" /><Relationship Type="http://schemas.openxmlformats.org/officeDocument/2006/relationships/hyperlink" Target="#'IMG_5583_2'!A1" TargetMode="External" Id="rId50" /><Relationship Type="http://schemas.openxmlformats.org/officeDocument/2006/relationships/hyperlink" Target="#'IMG_5584_1'!A1" TargetMode="External" Id="rId51" /><Relationship Type="http://schemas.openxmlformats.org/officeDocument/2006/relationships/hyperlink" Target="#'IMG_5584_2'!A1" TargetMode="External" Id="rId52" /><Relationship Type="http://schemas.openxmlformats.org/officeDocument/2006/relationships/hyperlink" Target="#'IMG_5585_1'!A1" TargetMode="External" Id="rId53" /><Relationship Type="http://schemas.openxmlformats.org/officeDocument/2006/relationships/hyperlink" Target="#'IMG_5585_2'!A1" TargetMode="External" Id="rId54" /><Relationship Type="http://schemas.openxmlformats.org/officeDocument/2006/relationships/hyperlink" Target="#'IMG_5586_1'!A1" TargetMode="External" Id="rId55" /><Relationship Type="http://schemas.openxmlformats.org/officeDocument/2006/relationships/hyperlink" Target="#'IMG_5586_2'!A1" TargetMode="External" Id="rId56" /><Relationship Type="http://schemas.openxmlformats.org/officeDocument/2006/relationships/hyperlink" Target="#'IMG_5588_1'!A1" TargetMode="External" Id="rId57" /><Relationship Type="http://schemas.openxmlformats.org/officeDocument/2006/relationships/hyperlink" Target="#'IMG_5588_2'!A1" TargetMode="External" Id="rId58" /><Relationship Type="http://schemas.openxmlformats.org/officeDocument/2006/relationships/hyperlink" Target="#'IMG_5588_3'!A1" TargetMode="External" Id="rId59" /><Relationship Type="http://schemas.openxmlformats.org/officeDocument/2006/relationships/hyperlink" Target="#'IMG_5589_1'!A1" TargetMode="External" Id="rId60" /><Relationship Type="http://schemas.openxmlformats.org/officeDocument/2006/relationships/hyperlink" Target="#'IMG_5591_1'!A1" TargetMode="External" Id="rId61" /><Relationship Type="http://schemas.openxmlformats.org/officeDocument/2006/relationships/hyperlink" Target="#'IMG_5592_1'!A1" TargetMode="External" Id="rId62" /><Relationship Type="http://schemas.openxmlformats.org/officeDocument/2006/relationships/hyperlink" Target="#'IMG_5593_1'!A1" TargetMode="External" Id="rId63" /><Relationship Type="http://schemas.openxmlformats.org/officeDocument/2006/relationships/hyperlink" Target="#'IMG_5594_1'!A1" TargetMode="External" Id="rId64" /><Relationship Type="http://schemas.openxmlformats.org/officeDocument/2006/relationships/hyperlink" Target="#'IMG_5595_1'!A1" TargetMode="External" Id="rId65" /><Relationship Type="http://schemas.openxmlformats.org/officeDocument/2006/relationships/hyperlink" Target="#'IMG_5595_2'!A1" TargetMode="External" Id="rId66" /><Relationship Type="http://schemas.openxmlformats.org/officeDocument/2006/relationships/hyperlink" Target="#'IMG_5596_1'!A1" TargetMode="External" Id="rId67" /><Relationship Type="http://schemas.openxmlformats.org/officeDocument/2006/relationships/hyperlink" Target="#'IMG_5596_2'!A1" TargetMode="External" Id="rId68" /><Relationship Type="http://schemas.openxmlformats.org/officeDocument/2006/relationships/hyperlink" Target="#'IMG_5597_1'!A1" TargetMode="External" Id="rId69" /><Relationship Type="http://schemas.openxmlformats.org/officeDocument/2006/relationships/hyperlink" Target="#'IMG_5599_1'!A1" TargetMode="External" Id="rId70" /><Relationship Type="http://schemas.openxmlformats.org/officeDocument/2006/relationships/hyperlink" Target="#'IMG_5604_1'!A1" TargetMode="External" Id="rId71" /><Relationship Type="http://schemas.openxmlformats.org/officeDocument/2006/relationships/hyperlink" Target="#'IMG_5605_1'!A1" TargetMode="External" Id="rId72" /><Relationship Type="http://schemas.openxmlformats.org/officeDocument/2006/relationships/hyperlink" Target="#'IMG_5605_2'!A1" TargetMode="External" Id="rId73" /><Relationship Type="http://schemas.openxmlformats.org/officeDocument/2006/relationships/hyperlink" Target="#'IMG_5606_1'!A1" TargetMode="External" Id="rId74" /><Relationship Type="http://schemas.openxmlformats.org/officeDocument/2006/relationships/hyperlink" Target="#'IMG_5607_2'!A1" TargetMode="External" Id="rId75" /><Relationship Type="http://schemas.openxmlformats.org/officeDocument/2006/relationships/hyperlink" Target="#'IMG_5607_3'!A1" TargetMode="External" Id="rId76" /><Relationship Type="http://schemas.openxmlformats.org/officeDocument/2006/relationships/hyperlink" Target="#'IMG_5615_1'!A1" TargetMode="External" Id="rId77" /><Relationship Type="http://schemas.openxmlformats.org/officeDocument/2006/relationships/hyperlink" Target="#'IMG_5615_2'!A1" TargetMode="External" Id="rId78" /><Relationship Type="http://schemas.openxmlformats.org/officeDocument/2006/relationships/hyperlink" Target="#'IMG_5617_1'!A1" TargetMode="External" Id="rId79" /><Relationship Type="http://schemas.openxmlformats.org/officeDocument/2006/relationships/hyperlink" Target="#'IMG_5618_1'!A1" TargetMode="External" Id="rId80" /><Relationship Type="http://schemas.openxmlformats.org/officeDocument/2006/relationships/hyperlink" Target="#'IMG_5618_2'!A1" TargetMode="External" Id="rId81" /><Relationship Type="http://schemas.openxmlformats.org/officeDocument/2006/relationships/hyperlink" Target="#'IMG_5619_1'!A1" TargetMode="External" Id="rId82" /><Relationship Type="http://schemas.openxmlformats.org/officeDocument/2006/relationships/hyperlink" Target="#'IMG_5619_2'!A1" TargetMode="External" Id="rId83" /><Relationship Type="http://schemas.openxmlformats.org/officeDocument/2006/relationships/hyperlink" Target="#'IMG_5622_1'!A1" TargetMode="External" Id="rId84" /><Relationship Type="http://schemas.openxmlformats.org/officeDocument/2006/relationships/hyperlink" Target="#'IMG_5624_1'!A1" TargetMode="External" Id="rId85" /><Relationship Type="http://schemas.openxmlformats.org/officeDocument/2006/relationships/hyperlink" Target="#'IMG_5628_1'!A1" TargetMode="External" Id="rId86" /><Relationship Type="http://schemas.openxmlformats.org/officeDocument/2006/relationships/hyperlink" Target="#'IMG_5628_2'!A1" TargetMode="External" Id="rId87" /><Relationship Type="http://schemas.openxmlformats.org/officeDocument/2006/relationships/hyperlink" Target="#'IMG_5629_1'!A1" TargetMode="External" Id="rId88" /><Relationship Type="http://schemas.openxmlformats.org/officeDocument/2006/relationships/hyperlink" Target="#'IMG_5630_1'!A1" TargetMode="External" Id="rId89" /><Relationship Type="http://schemas.openxmlformats.org/officeDocument/2006/relationships/hyperlink" Target="#'IMG_5630_2'!A1" TargetMode="External" Id="rId90" /><Relationship Type="http://schemas.openxmlformats.org/officeDocument/2006/relationships/hyperlink" Target="#'IMG_5631_1'!A1" TargetMode="External" Id="rId91" /><Relationship Type="http://schemas.openxmlformats.org/officeDocument/2006/relationships/hyperlink" Target="#'IMG_5641_1'!A1" TargetMode="External" Id="rId92" /><Relationship Type="http://schemas.openxmlformats.org/officeDocument/2006/relationships/hyperlink" Target="#'IMG_5643_1'!A1" TargetMode="External" Id="rId93" /><Relationship Type="http://schemas.openxmlformats.org/officeDocument/2006/relationships/hyperlink" Target="#'IMG_5645_1'!A1" TargetMode="External" Id="rId94" /><Relationship Type="http://schemas.openxmlformats.org/officeDocument/2006/relationships/hyperlink" Target="#'IMG_5645_2'!A1" TargetMode="External" Id="rId95" /><Relationship Type="http://schemas.openxmlformats.org/officeDocument/2006/relationships/hyperlink" Target="#'IMG_5647_1'!A1" TargetMode="External" Id="rId96" /><Relationship Type="http://schemas.openxmlformats.org/officeDocument/2006/relationships/hyperlink" Target="#'IMG_5648_1'!A1" TargetMode="External" Id="rId97" /><Relationship Type="http://schemas.openxmlformats.org/officeDocument/2006/relationships/hyperlink" Target="#'IMG_5651_1'!A1" TargetMode="External" Id="rId98" /><Relationship Type="http://schemas.openxmlformats.org/officeDocument/2006/relationships/hyperlink" Target="#'IMG_5652_1'!A1" TargetMode="External" Id="rId99" /><Relationship Type="http://schemas.openxmlformats.org/officeDocument/2006/relationships/hyperlink" Target="#'IMG_5662_1'!A1" TargetMode="External" Id="rId100" /><Relationship Type="http://schemas.openxmlformats.org/officeDocument/2006/relationships/hyperlink" Target="#'IMG_5663_1'!A1" TargetMode="External" Id="rId101" /><Relationship Type="http://schemas.openxmlformats.org/officeDocument/2006/relationships/hyperlink" Target="#'IMG_5665_1'!A1" TargetMode="External" Id="rId102" /><Relationship Type="http://schemas.openxmlformats.org/officeDocument/2006/relationships/hyperlink" Target="#'IMG_5666_1'!A1" TargetMode="External" Id="rId103" /><Relationship Type="http://schemas.openxmlformats.org/officeDocument/2006/relationships/hyperlink" Target="#'IMG_5668_1'!A1" TargetMode="External" Id="rId104" /><Relationship Type="http://schemas.openxmlformats.org/officeDocument/2006/relationships/hyperlink" Target="#'IMG_5671_1'!A1" TargetMode="External" Id="rId105" /><Relationship Type="http://schemas.openxmlformats.org/officeDocument/2006/relationships/hyperlink" Target="#'IMG_5671_2'!A1" TargetMode="External" Id="rId106" /><Relationship Type="http://schemas.openxmlformats.org/officeDocument/2006/relationships/hyperlink" Target="#'IMG_5674_1'!A1" TargetMode="External" Id="rId107" /><Relationship Type="http://schemas.openxmlformats.org/officeDocument/2006/relationships/hyperlink" Target="#'IMG_5675_1'!A1" TargetMode="External" Id="rId108" /><Relationship Type="http://schemas.openxmlformats.org/officeDocument/2006/relationships/hyperlink" Target="#'IMG_5677_1'!A1" TargetMode="External" Id="rId109" /><Relationship Type="http://schemas.openxmlformats.org/officeDocument/2006/relationships/hyperlink" Target="#'IMG_5677_2'!A1" TargetMode="External" Id="rId110" /><Relationship Type="http://schemas.openxmlformats.org/officeDocument/2006/relationships/hyperlink" Target="#'IMG_5677_3'!A1" TargetMode="External" Id="rId111" /><Relationship Type="http://schemas.openxmlformats.org/officeDocument/2006/relationships/hyperlink" Target="#'IMG_5678_1'!A1" TargetMode="External" Id="rId112" /><Relationship Type="http://schemas.openxmlformats.org/officeDocument/2006/relationships/hyperlink" Target="#'IMG_5682_1'!A1" TargetMode="External" Id="rId113" /><Relationship Type="http://schemas.openxmlformats.org/officeDocument/2006/relationships/hyperlink" Target="#'IMG_5682_2'!A1" TargetMode="External" Id="rId114" /><Relationship Type="http://schemas.openxmlformats.org/officeDocument/2006/relationships/hyperlink" Target="#'IMG_5682_3'!A1" TargetMode="External" Id="rId115" /><Relationship Type="http://schemas.openxmlformats.org/officeDocument/2006/relationships/hyperlink" Target="#'IMG_5683_1'!A1" TargetMode="External" Id="rId116" /><Relationship Type="http://schemas.openxmlformats.org/officeDocument/2006/relationships/hyperlink" Target="#'IMG_5685_1'!A1" TargetMode="External" Id="rId117" /><Relationship Type="http://schemas.openxmlformats.org/officeDocument/2006/relationships/hyperlink" Target="#'IMG_5686_1'!A1" TargetMode="External" Id="rId118" /><Relationship Type="http://schemas.openxmlformats.org/officeDocument/2006/relationships/hyperlink" Target="#'IMG_5686_2'!A1" TargetMode="External" Id="rId119" /><Relationship Type="http://schemas.openxmlformats.org/officeDocument/2006/relationships/hyperlink" Target="#'IMG_5687_1'!A1" TargetMode="External" Id="rId120" /><Relationship Type="http://schemas.openxmlformats.org/officeDocument/2006/relationships/hyperlink" Target="#'IMG_5687_2'!A1" TargetMode="External" Id="rId121" /><Relationship Type="http://schemas.openxmlformats.org/officeDocument/2006/relationships/hyperlink" Target="#'IMG_5687_3'!A1" TargetMode="External" Id="rId122" /><Relationship Type="http://schemas.openxmlformats.org/officeDocument/2006/relationships/hyperlink" Target="#'IMG_5688_1'!A1" TargetMode="External" Id="rId123" /><Relationship Type="http://schemas.openxmlformats.org/officeDocument/2006/relationships/hyperlink" Target="#'IMG_5690_1'!A1" TargetMode="External" Id="rId124" /><Relationship Type="http://schemas.openxmlformats.org/officeDocument/2006/relationships/hyperlink" Target="#'IMG_5691_1'!A1" TargetMode="External" Id="rId125" /><Relationship Type="http://schemas.openxmlformats.org/officeDocument/2006/relationships/hyperlink" Target="#'IMG_5691_2'!A1" TargetMode="External" Id="rId126" /><Relationship Type="http://schemas.openxmlformats.org/officeDocument/2006/relationships/hyperlink" Target="#'IMG_5691_3'!A1" TargetMode="External" Id="rId127" /><Relationship Type="http://schemas.openxmlformats.org/officeDocument/2006/relationships/hyperlink" Target="#'IMG_5692_1'!A1" TargetMode="External" Id="rId128" /><Relationship Type="http://schemas.openxmlformats.org/officeDocument/2006/relationships/hyperlink" Target="#'IMG_5692_2'!A1" TargetMode="External" Id="rId129" /><Relationship Type="http://schemas.openxmlformats.org/officeDocument/2006/relationships/hyperlink" Target="#'IMG_5692_3'!A1" TargetMode="External" Id="rId130" /><Relationship Type="http://schemas.openxmlformats.org/officeDocument/2006/relationships/hyperlink" Target="#'IMG_5692_4'!A1" TargetMode="External" Id="rId131" /><Relationship Type="http://schemas.openxmlformats.org/officeDocument/2006/relationships/hyperlink" Target="#'IMG_5693_1'!A1" TargetMode="External" Id="rId132" /><Relationship Type="http://schemas.openxmlformats.org/officeDocument/2006/relationships/hyperlink" Target="#'IMG_5693_2'!A1" TargetMode="External" Id="rId133" /><Relationship Type="http://schemas.openxmlformats.org/officeDocument/2006/relationships/hyperlink" Target="#'IMG_5694_1'!A1" TargetMode="External" Id="rId134" /><Relationship Type="http://schemas.openxmlformats.org/officeDocument/2006/relationships/hyperlink" Target="#'IMG_5694_2'!A1" TargetMode="External" Id="rId135" /><Relationship Type="http://schemas.openxmlformats.org/officeDocument/2006/relationships/hyperlink" Target="#'IMG_5695_1'!A1" TargetMode="External" Id="rId136" /><Relationship Type="http://schemas.openxmlformats.org/officeDocument/2006/relationships/hyperlink" Target="#'IMG_5695_2'!A1" TargetMode="External" Id="rId137" /><Relationship Type="http://schemas.openxmlformats.org/officeDocument/2006/relationships/hyperlink" Target="#'IMG_5696_1'!A1" TargetMode="External" Id="rId138" /><Relationship Type="http://schemas.openxmlformats.org/officeDocument/2006/relationships/hyperlink" Target="#'IMG_5696_2'!A1" TargetMode="External" Id="rId139" /><Relationship Type="http://schemas.openxmlformats.org/officeDocument/2006/relationships/hyperlink" Target="#'IMG_5696_3'!A1" TargetMode="External" Id="rId140" /><Relationship Type="http://schemas.openxmlformats.org/officeDocument/2006/relationships/hyperlink" Target="#'IMG_5696_4'!A1" TargetMode="External" Id="rId141" /><Relationship Type="http://schemas.openxmlformats.org/officeDocument/2006/relationships/hyperlink" Target="#'IMG_5697_1'!A1" TargetMode="External" Id="rId142" /><Relationship Type="http://schemas.openxmlformats.org/officeDocument/2006/relationships/hyperlink" Target="#'IMG_5697_2'!A1" TargetMode="External" Id="rId143" /><Relationship Type="http://schemas.openxmlformats.org/officeDocument/2006/relationships/hyperlink" Target="#'IMG_5697_3'!A1" TargetMode="External" Id="rId144" /><Relationship Type="http://schemas.openxmlformats.org/officeDocument/2006/relationships/hyperlink" Target="#'IMG_5698_1'!A1" TargetMode="External" Id="rId145" /><Relationship Type="http://schemas.openxmlformats.org/officeDocument/2006/relationships/hyperlink" Target="#'IMG_5698_2'!A1" TargetMode="External" Id="rId146" /><Relationship Type="http://schemas.openxmlformats.org/officeDocument/2006/relationships/hyperlink" Target="#'IMG_5699_1'!A1" TargetMode="External" Id="rId147" /><Relationship Type="http://schemas.openxmlformats.org/officeDocument/2006/relationships/hyperlink" Target="#'IMG_5699_2'!A1" TargetMode="External" Id="rId148" /><Relationship Type="http://schemas.openxmlformats.org/officeDocument/2006/relationships/hyperlink" Target="#'IMG_5703_1'!A1" TargetMode="External" Id="rId149" /><Relationship Type="http://schemas.openxmlformats.org/officeDocument/2006/relationships/hyperlink" Target="#'IMG_5704_1'!A1" TargetMode="External" Id="rId150" /><Relationship Type="http://schemas.openxmlformats.org/officeDocument/2006/relationships/hyperlink" Target="#'IMG_5704_2'!A1" TargetMode="External" Id="rId151" /><Relationship Type="http://schemas.openxmlformats.org/officeDocument/2006/relationships/hyperlink" Target="#'IMG_5705_1'!A1" TargetMode="External" Id="rId152" /><Relationship Type="http://schemas.openxmlformats.org/officeDocument/2006/relationships/hyperlink" Target="#'IMG_5705_2'!A1" TargetMode="External" Id="rId153" /><Relationship Type="http://schemas.openxmlformats.org/officeDocument/2006/relationships/hyperlink" Target="#'IMG_5705_3'!A1" TargetMode="External" Id="rId154" /><Relationship Type="http://schemas.openxmlformats.org/officeDocument/2006/relationships/hyperlink" Target="#'IMG_5705_4'!A1" TargetMode="External" Id="rId155" /><Relationship Type="http://schemas.openxmlformats.org/officeDocument/2006/relationships/hyperlink" Target="#'IMG_5705_5'!A1" TargetMode="External" Id="rId156" /><Relationship Type="http://schemas.openxmlformats.org/officeDocument/2006/relationships/hyperlink" Target="#'IMG_5705_6'!A1" TargetMode="External" Id="rId157" /><Relationship Type="http://schemas.openxmlformats.org/officeDocument/2006/relationships/hyperlink" Target="#'IMG_5705_7'!A1" TargetMode="External" Id="rId158" /><Relationship Type="http://schemas.openxmlformats.org/officeDocument/2006/relationships/hyperlink" Target="#'IMG_5709_1'!A1" TargetMode="External" Id="rId159" /><Relationship Type="http://schemas.openxmlformats.org/officeDocument/2006/relationships/hyperlink" Target="#'IMG_5710_1'!A1" TargetMode="External" Id="rId160" /><Relationship Type="http://schemas.openxmlformats.org/officeDocument/2006/relationships/hyperlink" Target="#'IMG_5711_1'!A1" TargetMode="External" Id="rId161" /><Relationship Type="http://schemas.openxmlformats.org/officeDocument/2006/relationships/hyperlink" Target="#'IMG_5711_2'!A1" TargetMode="External" Id="rId162" /><Relationship Type="http://schemas.openxmlformats.org/officeDocument/2006/relationships/hyperlink" Target="#'IMG_5711_3'!A1" TargetMode="External" Id="rId163" /><Relationship Type="http://schemas.openxmlformats.org/officeDocument/2006/relationships/hyperlink" Target="#'IMG_5712_1'!A1" TargetMode="External" Id="rId164" /><Relationship Type="http://schemas.openxmlformats.org/officeDocument/2006/relationships/hyperlink" Target="#'IMG_5713_1'!A1" TargetMode="External" Id="rId165" /><Relationship Type="http://schemas.openxmlformats.org/officeDocument/2006/relationships/hyperlink" Target="#'IMG_5714_1'!A1" TargetMode="External" Id="rId166" /><Relationship Type="http://schemas.openxmlformats.org/officeDocument/2006/relationships/hyperlink" Target="#'IMG_5715_1'!A1" TargetMode="External" Id="rId167" /><Relationship Type="http://schemas.openxmlformats.org/officeDocument/2006/relationships/hyperlink" Target="#'IMG_5715_2'!A1" TargetMode="External" Id="rId168" /><Relationship Type="http://schemas.openxmlformats.org/officeDocument/2006/relationships/hyperlink" Target="#'IMG_5716_1'!A1" TargetMode="External" Id="rId169" /><Relationship Type="http://schemas.openxmlformats.org/officeDocument/2006/relationships/hyperlink" Target="#'IMG_5717_1'!A1" TargetMode="External" Id="rId170" /><Relationship Type="http://schemas.openxmlformats.org/officeDocument/2006/relationships/hyperlink" Target="#'IMG_5717_2'!A1" TargetMode="External" Id="rId171" /><Relationship Type="http://schemas.openxmlformats.org/officeDocument/2006/relationships/hyperlink" Target="#'IMG_5717_3'!A1" TargetMode="External" Id="rId172" /><Relationship Type="http://schemas.openxmlformats.org/officeDocument/2006/relationships/hyperlink" Target="#'IMG_5717_4'!A1" TargetMode="External" Id="rId173" /><Relationship Type="http://schemas.openxmlformats.org/officeDocument/2006/relationships/hyperlink" Target="#'IMG_5718_1'!A1" TargetMode="External" Id="rId174" /><Relationship Type="http://schemas.openxmlformats.org/officeDocument/2006/relationships/hyperlink" Target="#'IMG_5719_1'!A1" TargetMode="External" Id="rId175" /><Relationship Type="http://schemas.openxmlformats.org/officeDocument/2006/relationships/hyperlink" Target="#'IMG_5719_2'!A1" TargetMode="External" Id="rId176" /><Relationship Type="http://schemas.openxmlformats.org/officeDocument/2006/relationships/hyperlink" Target="#'IMG_5719_3'!A1" TargetMode="External" Id="rId177" /><Relationship Type="http://schemas.openxmlformats.org/officeDocument/2006/relationships/hyperlink" Target="#'IMG_5720_1'!A1" TargetMode="External" Id="rId178" /><Relationship Type="http://schemas.openxmlformats.org/officeDocument/2006/relationships/hyperlink" Target="#'IMG_5720_2'!A1" TargetMode="External" Id="rId179" /><Relationship Type="http://schemas.openxmlformats.org/officeDocument/2006/relationships/hyperlink" Target="#'IMG_5720_3'!A1" TargetMode="External" Id="rId180" /><Relationship Type="http://schemas.openxmlformats.org/officeDocument/2006/relationships/hyperlink" Target="#'IMG_5721_1'!A1" TargetMode="External" Id="rId181" /><Relationship Type="http://schemas.openxmlformats.org/officeDocument/2006/relationships/hyperlink" Target="#'IMG_5721_2'!A1" TargetMode="External" Id="rId182" /><Relationship Type="http://schemas.openxmlformats.org/officeDocument/2006/relationships/hyperlink" Target="#'IMG_5722_1'!A1" TargetMode="External" Id="rId183" /><Relationship Type="http://schemas.openxmlformats.org/officeDocument/2006/relationships/hyperlink" Target="#'IMG_5722_2'!A1" TargetMode="External" Id="rId184" /><Relationship Type="http://schemas.openxmlformats.org/officeDocument/2006/relationships/hyperlink" Target="#'IMG_5723_1'!A1" TargetMode="External" Id="rId185" /><Relationship Type="http://schemas.openxmlformats.org/officeDocument/2006/relationships/hyperlink" Target="#'IMG_5723_2'!A1" TargetMode="External" Id="rId186" /><Relationship Type="http://schemas.openxmlformats.org/officeDocument/2006/relationships/hyperlink" Target="#'IMG_5723_3'!A1" TargetMode="External" Id="rId187" /><Relationship Type="http://schemas.openxmlformats.org/officeDocument/2006/relationships/hyperlink" Target="#'IMG_5724_1'!A1" TargetMode="External" Id="rId188" /><Relationship Type="http://schemas.openxmlformats.org/officeDocument/2006/relationships/hyperlink" Target="#'IMG_5724_2'!A1" TargetMode="External" Id="rId189" /><Relationship Type="http://schemas.openxmlformats.org/officeDocument/2006/relationships/hyperlink" Target="#'IMG_5724_3'!A1" TargetMode="External" Id="rId190" /><Relationship Type="http://schemas.openxmlformats.org/officeDocument/2006/relationships/hyperlink" Target="#'IMG_5725_1'!A1" TargetMode="External" Id="rId191" /><Relationship Type="http://schemas.openxmlformats.org/officeDocument/2006/relationships/hyperlink" Target="#'IMG_5725_2'!A1" TargetMode="External" Id="rId192" /><Relationship Type="http://schemas.openxmlformats.org/officeDocument/2006/relationships/hyperlink" Target="#'IMG_5725_3'!A1" TargetMode="External" Id="rId193" /><Relationship Type="http://schemas.openxmlformats.org/officeDocument/2006/relationships/hyperlink" Target="#'IMG_5726_1'!A1" TargetMode="External" Id="rId194" /><Relationship Type="http://schemas.openxmlformats.org/officeDocument/2006/relationships/hyperlink" Target="#'IMG_5727_1'!A1" TargetMode="External" Id="rId195" /><Relationship Type="http://schemas.openxmlformats.org/officeDocument/2006/relationships/hyperlink" Target="#'IMG_5727_2'!A1" TargetMode="External" Id="rId196" /><Relationship Type="http://schemas.openxmlformats.org/officeDocument/2006/relationships/hyperlink" Target="#'IMG_5728_1'!A1" TargetMode="External" Id="rId197" /><Relationship Type="http://schemas.openxmlformats.org/officeDocument/2006/relationships/hyperlink" Target="#'IMG_5729_1'!A1" TargetMode="External" Id="rId198" /><Relationship Type="http://schemas.openxmlformats.org/officeDocument/2006/relationships/hyperlink" Target="#'IMG_5730_1'!A1" TargetMode="External" Id="rId199" /><Relationship Type="http://schemas.openxmlformats.org/officeDocument/2006/relationships/hyperlink" Target="#'IMG_5732_1'!A1" TargetMode="External" Id="rId200" /><Relationship Type="http://schemas.openxmlformats.org/officeDocument/2006/relationships/hyperlink" Target="#'IMG_5735_1'!A1" TargetMode="External" Id="rId201" /><Relationship Type="http://schemas.openxmlformats.org/officeDocument/2006/relationships/hyperlink" Target="#'IMG_5735_2'!A1" TargetMode="External" Id="rId202" /><Relationship Type="http://schemas.openxmlformats.org/officeDocument/2006/relationships/hyperlink" Target="#'IMG_5735_3'!A1" TargetMode="External" Id="rId203" /><Relationship Type="http://schemas.openxmlformats.org/officeDocument/2006/relationships/hyperlink" Target="#'IMG_5736_1'!A1" TargetMode="External" Id="rId204" /><Relationship Type="http://schemas.openxmlformats.org/officeDocument/2006/relationships/hyperlink" Target="#'IMG_5738_1'!A1" TargetMode="External" Id="rId205" /><Relationship Type="http://schemas.openxmlformats.org/officeDocument/2006/relationships/hyperlink" Target="#'IMG_5739_1'!A1" TargetMode="External" Id="rId206" /><Relationship Type="http://schemas.openxmlformats.org/officeDocument/2006/relationships/hyperlink" Target="#'IMG_5739_2'!A1" TargetMode="External" Id="rId207" /><Relationship Type="http://schemas.openxmlformats.org/officeDocument/2006/relationships/hyperlink" Target="#'IMG_5739_3'!A1" TargetMode="External" Id="rId208" /><Relationship Type="http://schemas.openxmlformats.org/officeDocument/2006/relationships/hyperlink" Target="#'IMG_5741_1'!A1" TargetMode="External" Id="rId209" /><Relationship Type="http://schemas.openxmlformats.org/officeDocument/2006/relationships/hyperlink" Target="#'IMG_5743_1'!A1" TargetMode="External" Id="rId210" /><Relationship Type="http://schemas.openxmlformats.org/officeDocument/2006/relationships/hyperlink" Target="#'IMG_5743_2'!A1" TargetMode="External" Id="rId211" /><Relationship Type="http://schemas.openxmlformats.org/officeDocument/2006/relationships/hyperlink" Target="#'IMG_5744_1'!A1" TargetMode="External" Id="rId212" /><Relationship Type="http://schemas.openxmlformats.org/officeDocument/2006/relationships/hyperlink" Target="#'IMG_5744_2'!A1" TargetMode="External" Id="rId213" /><Relationship Type="http://schemas.openxmlformats.org/officeDocument/2006/relationships/hyperlink" Target="#'IMG_5745_1'!A1" TargetMode="External" Id="rId214" /><Relationship Type="http://schemas.openxmlformats.org/officeDocument/2006/relationships/hyperlink" Target="#'IMG_5745_2'!A1" TargetMode="External" Id="rId215" /><Relationship Type="http://schemas.openxmlformats.org/officeDocument/2006/relationships/hyperlink" Target="#'IMG_5747_1'!A1" TargetMode="External" Id="rId216" /><Relationship Type="http://schemas.openxmlformats.org/officeDocument/2006/relationships/hyperlink" Target="#'IMG_5748_1'!A1" TargetMode="External" Id="rId217" /><Relationship Type="http://schemas.openxmlformats.org/officeDocument/2006/relationships/hyperlink" Target="#'IMG_5748_2'!A1" TargetMode="External" Id="rId218" /><Relationship Type="http://schemas.openxmlformats.org/officeDocument/2006/relationships/hyperlink" Target="#'IMG_5748_3'!A1" TargetMode="External" Id="rId219" /><Relationship Type="http://schemas.openxmlformats.org/officeDocument/2006/relationships/hyperlink" Target="#'IMG_5750_1'!A1" TargetMode="External" Id="rId220" /><Relationship Type="http://schemas.openxmlformats.org/officeDocument/2006/relationships/hyperlink" Target="#'IMG_5751_1'!A1" TargetMode="External" Id="rId221" /><Relationship Type="http://schemas.openxmlformats.org/officeDocument/2006/relationships/hyperlink" Target="#'IMG_5752_1'!A1" TargetMode="External" Id="rId222" /><Relationship Type="http://schemas.openxmlformats.org/officeDocument/2006/relationships/hyperlink" Target="#'IMG_5752_2'!A1" TargetMode="External" Id="rId223" /><Relationship Type="http://schemas.openxmlformats.org/officeDocument/2006/relationships/hyperlink" Target="#'IMG_5752_3'!A1" TargetMode="External" Id="rId224" /><Relationship Type="http://schemas.openxmlformats.org/officeDocument/2006/relationships/hyperlink" Target="#'IMG_5755_1'!A1" TargetMode="External" Id="rId225" /><Relationship Type="http://schemas.openxmlformats.org/officeDocument/2006/relationships/hyperlink" Target="#'IMG_5758_1'!A1" TargetMode="External" Id="rId226" /><Relationship Type="http://schemas.openxmlformats.org/officeDocument/2006/relationships/hyperlink" Target="#'IMG_5764_1'!A1" TargetMode="External" Id="rId227" /><Relationship Type="http://schemas.openxmlformats.org/officeDocument/2006/relationships/hyperlink" Target="#'IMG_5765_1'!A1" TargetMode="External" Id="rId228" /><Relationship Type="http://schemas.openxmlformats.org/officeDocument/2006/relationships/hyperlink" Target="#'IMG_5766_1'!A1" TargetMode="External" Id="rId229" /><Relationship Type="http://schemas.openxmlformats.org/officeDocument/2006/relationships/hyperlink" Target="#'IMG_5767_1'!A1" TargetMode="External" Id="rId230" /><Relationship Type="http://schemas.openxmlformats.org/officeDocument/2006/relationships/hyperlink" Target="#'IMG_5767_2'!A1" TargetMode="External" Id="rId231" /><Relationship Type="http://schemas.openxmlformats.org/officeDocument/2006/relationships/hyperlink" Target="#'IMG_5769_1'!A1" TargetMode="External" Id="rId232" /><Relationship Type="http://schemas.openxmlformats.org/officeDocument/2006/relationships/hyperlink" Target="#'IMG_5770_1'!A1" TargetMode="External" Id="rId233" /><Relationship Type="http://schemas.openxmlformats.org/officeDocument/2006/relationships/hyperlink" Target="#'IMG_5770_2'!A1" TargetMode="External" Id="rId234" /><Relationship Type="http://schemas.openxmlformats.org/officeDocument/2006/relationships/hyperlink" Target="#'IMG_5772_1'!A1" TargetMode="External" Id="rId235" /><Relationship Type="http://schemas.openxmlformats.org/officeDocument/2006/relationships/hyperlink" Target="#'IMG_5772_2'!A1" TargetMode="External" Id="rId236" /><Relationship Type="http://schemas.openxmlformats.org/officeDocument/2006/relationships/hyperlink" Target="#'IMG_5773_1'!A1" TargetMode="External" Id="rId237" /><Relationship Type="http://schemas.openxmlformats.org/officeDocument/2006/relationships/hyperlink" Target="#'IMG_5774_1'!A1" TargetMode="External" Id="rId238" /><Relationship Type="http://schemas.openxmlformats.org/officeDocument/2006/relationships/hyperlink" Target="#'IMG_5775_1'!A1" TargetMode="External" Id="rId239" /><Relationship Type="http://schemas.openxmlformats.org/officeDocument/2006/relationships/hyperlink" Target="#'IMG_5779_1'!A1" TargetMode="External" Id="rId240" /><Relationship Type="http://schemas.openxmlformats.org/officeDocument/2006/relationships/hyperlink" Target="#'IMG_5780_1'!A1" TargetMode="External" Id="rId241" /><Relationship Type="http://schemas.openxmlformats.org/officeDocument/2006/relationships/hyperlink" Target="#'IMG_5780_2'!A1" TargetMode="External" Id="rId242" /><Relationship Type="http://schemas.openxmlformats.org/officeDocument/2006/relationships/hyperlink" Target="#'IMG_5781_1'!A1" TargetMode="External" Id="rId243" /><Relationship Type="http://schemas.openxmlformats.org/officeDocument/2006/relationships/hyperlink" Target="#'IMG_5781_2'!A1" TargetMode="External" Id="rId244" /><Relationship Type="http://schemas.openxmlformats.org/officeDocument/2006/relationships/hyperlink" Target="#'IMG_5783_1'!A1" TargetMode="External" Id="rId245" /><Relationship Type="http://schemas.openxmlformats.org/officeDocument/2006/relationships/hyperlink" Target="#'IMG_5785_1'!A1" TargetMode="External" Id="rId246" /><Relationship Type="http://schemas.openxmlformats.org/officeDocument/2006/relationships/hyperlink" Target="#'IMG_5785_2'!A1" TargetMode="External" Id="rId247" /><Relationship Type="http://schemas.openxmlformats.org/officeDocument/2006/relationships/hyperlink" Target="#'IMG_5785_3'!A1" TargetMode="External" Id="rId248" /><Relationship Type="http://schemas.openxmlformats.org/officeDocument/2006/relationships/hyperlink" Target="#'IMG_5786_1'!A1" TargetMode="External" Id="rId249" /><Relationship Type="http://schemas.openxmlformats.org/officeDocument/2006/relationships/hyperlink" Target="#'IMG_5787_1'!A1" TargetMode="External" Id="rId250" /><Relationship Type="http://schemas.openxmlformats.org/officeDocument/2006/relationships/hyperlink" Target="#'IMG_5787_2'!A1" TargetMode="External" Id="rId251" /><Relationship Type="http://schemas.openxmlformats.org/officeDocument/2006/relationships/hyperlink" Target="#'IMG_5788_1'!A1" TargetMode="External" Id="rId252" /><Relationship Type="http://schemas.openxmlformats.org/officeDocument/2006/relationships/hyperlink" Target="#'IMG_5790_1'!A1" TargetMode="External" Id="rId253" /><Relationship Type="http://schemas.openxmlformats.org/officeDocument/2006/relationships/hyperlink" Target="#'IMG_5790_2'!A1" TargetMode="External" Id="rId254" /><Relationship Type="http://schemas.openxmlformats.org/officeDocument/2006/relationships/hyperlink" Target="#'IMG_5790_3'!A1" TargetMode="External" Id="rId255" /><Relationship Type="http://schemas.openxmlformats.org/officeDocument/2006/relationships/hyperlink" Target="#'IMG_5790_4'!A1" TargetMode="External" Id="rId256" /><Relationship Type="http://schemas.openxmlformats.org/officeDocument/2006/relationships/hyperlink" Target="#'IMG_5791_1'!A1" TargetMode="External" Id="rId257" /><Relationship Type="http://schemas.openxmlformats.org/officeDocument/2006/relationships/hyperlink" Target="#'IMG_5796_1'!A1" TargetMode="External" Id="rId258" /><Relationship Type="http://schemas.openxmlformats.org/officeDocument/2006/relationships/hyperlink" Target="#'IMG_5798_1'!A1" TargetMode="External" Id="rId259" /><Relationship Type="http://schemas.openxmlformats.org/officeDocument/2006/relationships/hyperlink" Target="#'IMG_5798_2'!A1" TargetMode="External" Id="rId260" /><Relationship Type="http://schemas.openxmlformats.org/officeDocument/2006/relationships/hyperlink" Target="#'IMG_5798_3'!A1" TargetMode="External" Id="rId261" /><Relationship Type="http://schemas.openxmlformats.org/officeDocument/2006/relationships/hyperlink" Target="#'IMG_5799_1'!A1" TargetMode="External" Id="rId262" /><Relationship Type="http://schemas.openxmlformats.org/officeDocument/2006/relationships/hyperlink" Target="#'IMG_5800_1'!A1" TargetMode="External" Id="rId263" /><Relationship Type="http://schemas.openxmlformats.org/officeDocument/2006/relationships/hyperlink" Target="#'IMG_5800_2'!A1" TargetMode="External" Id="rId264" /><Relationship Type="http://schemas.openxmlformats.org/officeDocument/2006/relationships/hyperlink" Target="#'IMG_5802_1'!A1" TargetMode="External" Id="rId265" /><Relationship Type="http://schemas.openxmlformats.org/officeDocument/2006/relationships/hyperlink" Target="#'IMG_5803_1'!A1" TargetMode="External" Id="rId266" /><Relationship Type="http://schemas.openxmlformats.org/officeDocument/2006/relationships/hyperlink" Target="#'IMG_5803_2'!A1" TargetMode="External" Id="rId267" /><Relationship Type="http://schemas.openxmlformats.org/officeDocument/2006/relationships/hyperlink" Target="#'IMG_5806_1'!A1" TargetMode="External" Id="rId268" /><Relationship Type="http://schemas.openxmlformats.org/officeDocument/2006/relationships/hyperlink" Target="#'IMG_5808_1'!A1" TargetMode="External" Id="rId269" /><Relationship Type="http://schemas.openxmlformats.org/officeDocument/2006/relationships/hyperlink" Target="#'IMG_5808_2'!A1" TargetMode="External" Id="rId270" /><Relationship Type="http://schemas.openxmlformats.org/officeDocument/2006/relationships/hyperlink" Target="#'IMG_5814_1'!A1" TargetMode="External" Id="rId271" /><Relationship Type="http://schemas.openxmlformats.org/officeDocument/2006/relationships/hyperlink" Target="#'IMG_5822_1'!A1" TargetMode="External" Id="rId272" /><Relationship Type="http://schemas.openxmlformats.org/officeDocument/2006/relationships/hyperlink" Target="#'IMG_5822_2'!A1" TargetMode="External" Id="rId273" /><Relationship Type="http://schemas.openxmlformats.org/officeDocument/2006/relationships/hyperlink" Target="#'IMG_5839_1'!A1" TargetMode="External" Id="rId274" /><Relationship Type="http://schemas.openxmlformats.org/officeDocument/2006/relationships/hyperlink" Target="#'IMG_5850_1'!A1" TargetMode="External" Id="rId275" /><Relationship Type="http://schemas.openxmlformats.org/officeDocument/2006/relationships/hyperlink" Target="#'IMG_5853_1'!A1" TargetMode="External" Id="rId276" /><Relationship Type="http://schemas.openxmlformats.org/officeDocument/2006/relationships/hyperlink" Target="#'IMG_5879_1'!A1" TargetMode="External" Id="rId277" /><Relationship Type="http://schemas.openxmlformats.org/officeDocument/2006/relationships/hyperlink" Target="#'IMG_5880_1'!A1" TargetMode="External" Id="rId278" /></Relationships>
</file>

<file path=xl/worksheets/_rels/sheet2.xml.rels><Relationships xmlns="http://schemas.openxmlformats.org/package/2006/relationships"><Relationship Type="http://schemas.openxmlformats.org/officeDocument/2006/relationships/hyperlink" Target="#'Contents'!A1" TargetMode="External" Id="rId1" /></Relationships>
</file>

<file path=xl/worksheets/_rels/sheet3.xml.rels><Relationships xmlns="http://schemas.openxmlformats.org/package/2006/relationships"><Relationship Type="http://schemas.openxmlformats.org/officeDocument/2006/relationships/hyperlink" Target="#'Contents'!A1" TargetMode="External" Id="rId1" /></Relationships>
</file>

<file path=xl/worksheets/_rels/sheet4.xml.rels><Relationships xmlns="http://schemas.openxmlformats.org/package/2006/relationships"><Relationship Type="http://schemas.openxmlformats.org/officeDocument/2006/relationships/hyperlink" Target="#'Contents'!A1" TargetMode="External" Id="rId1" /></Relationships>
</file>

<file path=xl/worksheets/_rels/sheet5.xml.rels><Relationships xmlns="http://schemas.openxmlformats.org/package/2006/relationships"><Relationship Type="http://schemas.openxmlformats.org/officeDocument/2006/relationships/hyperlink" Target="#'Contents'!A1" TargetMode="External" Id="rId1" /></Relationships>
</file>

<file path=xl/worksheets/_rels/sheet6.xml.rels><Relationships xmlns="http://schemas.openxmlformats.org/package/2006/relationships"><Relationship Type="http://schemas.openxmlformats.org/officeDocument/2006/relationships/hyperlink" Target="#'Contents'!A1" TargetMode="External" Id="rId1" /></Relationships>
</file>

<file path=xl/worksheets/_rels/sheet7.xml.rels><Relationships xmlns="http://schemas.openxmlformats.org/package/2006/relationships"><Relationship Type="http://schemas.openxmlformats.org/officeDocument/2006/relationships/hyperlink" Target="#'Contents'!A1" TargetMode="External" Id="rId1" /></Relationships>
</file>

<file path=xl/worksheets/_rels/sheet8.xml.rels><Relationships xmlns="http://schemas.openxmlformats.org/package/2006/relationships"><Relationship Type="http://schemas.openxmlformats.org/officeDocument/2006/relationships/hyperlink" Target="#'Contents'!A1" TargetMode="External" Id="rId1" /></Relationships>
</file>

<file path=xl/worksheets/_rels/sheet9.xml.rels><Relationships xmlns="http://schemas.openxmlformats.org/package/2006/relationships"><Relationship Type="http://schemas.openxmlformats.org/officeDocument/2006/relationships/hyperlink" Target="#'Contents'!A1" TargetMode="External" Id="rId1" /></Relationships>
</file>

<file path=xl/worksheets/_rels/sheet10.xml.rels><Relationships xmlns="http://schemas.openxmlformats.org/package/2006/relationships"><Relationship Type="http://schemas.openxmlformats.org/officeDocument/2006/relationships/hyperlink" Target="#'Contents'!A1" TargetMode="External" Id="rId1" /></Relationships>
</file>

<file path=xl/worksheets/_rels/sheet11.xml.rels><Relationships xmlns="http://schemas.openxmlformats.org/package/2006/relationships"><Relationship Type="http://schemas.openxmlformats.org/officeDocument/2006/relationships/hyperlink" Target="#'Contents'!A1" TargetMode="External" Id="rId1" /></Relationships>
</file>

<file path=xl/worksheets/_rels/sheet12.xml.rels><Relationships xmlns="http://schemas.openxmlformats.org/package/2006/relationships"><Relationship Type="http://schemas.openxmlformats.org/officeDocument/2006/relationships/hyperlink" Target="#'Contents'!A1" TargetMode="External" Id="rId1" /></Relationships>
</file>

<file path=xl/worksheets/_rels/sheet13.xml.rels><Relationships xmlns="http://schemas.openxmlformats.org/package/2006/relationships"><Relationship Type="http://schemas.openxmlformats.org/officeDocument/2006/relationships/hyperlink" Target="#'Contents'!A1" TargetMode="External" Id="rId1" /></Relationships>
</file>

<file path=xl/worksheets/_rels/sheet14.xml.rels><Relationships xmlns="http://schemas.openxmlformats.org/package/2006/relationships"><Relationship Type="http://schemas.openxmlformats.org/officeDocument/2006/relationships/hyperlink" Target="#'Contents'!A1" TargetMode="External" Id="rId1" /></Relationships>
</file>

<file path=xl/worksheets/_rels/sheet15.xml.rels><Relationships xmlns="http://schemas.openxmlformats.org/package/2006/relationships"><Relationship Type="http://schemas.openxmlformats.org/officeDocument/2006/relationships/hyperlink" Target="#'Contents'!A1" TargetMode="External" Id="rId1" /></Relationships>
</file>

<file path=xl/worksheets/_rels/sheet16.xml.rels><Relationships xmlns="http://schemas.openxmlformats.org/package/2006/relationships"><Relationship Type="http://schemas.openxmlformats.org/officeDocument/2006/relationships/hyperlink" Target="#'Contents'!A1" TargetMode="External" Id="rId1" /></Relationships>
</file>

<file path=xl/worksheets/_rels/sheet17.xml.rels><Relationships xmlns="http://schemas.openxmlformats.org/package/2006/relationships"><Relationship Type="http://schemas.openxmlformats.org/officeDocument/2006/relationships/hyperlink" Target="#'Contents'!A1" TargetMode="External" Id="rId1" /></Relationships>
</file>

<file path=xl/worksheets/_rels/sheet18.xml.rels><Relationships xmlns="http://schemas.openxmlformats.org/package/2006/relationships"><Relationship Type="http://schemas.openxmlformats.org/officeDocument/2006/relationships/hyperlink" Target="#'Contents'!A1" TargetMode="External" Id="rId1" /></Relationships>
</file>

<file path=xl/worksheets/_rels/sheet19.xml.rels><Relationships xmlns="http://schemas.openxmlformats.org/package/2006/relationships"><Relationship Type="http://schemas.openxmlformats.org/officeDocument/2006/relationships/hyperlink" Target="#'Contents'!A1" TargetMode="External" Id="rId1" /></Relationships>
</file>

<file path=xl/worksheets/_rels/sheet20.xml.rels><Relationships xmlns="http://schemas.openxmlformats.org/package/2006/relationships"><Relationship Type="http://schemas.openxmlformats.org/officeDocument/2006/relationships/hyperlink" Target="#'Contents'!A1" TargetMode="External" Id="rId1" /></Relationships>
</file>

<file path=xl/worksheets/_rels/sheet21.xml.rels><Relationships xmlns="http://schemas.openxmlformats.org/package/2006/relationships"><Relationship Type="http://schemas.openxmlformats.org/officeDocument/2006/relationships/hyperlink" Target="#'Contents'!A1" TargetMode="External" Id="rId1" /></Relationships>
</file>

<file path=xl/worksheets/_rels/sheet22.xml.rels><Relationships xmlns="http://schemas.openxmlformats.org/package/2006/relationships"><Relationship Type="http://schemas.openxmlformats.org/officeDocument/2006/relationships/hyperlink" Target="#'Contents'!A1" TargetMode="External" Id="rId1" /></Relationships>
</file>

<file path=xl/worksheets/_rels/sheet23.xml.rels><Relationships xmlns="http://schemas.openxmlformats.org/package/2006/relationships"><Relationship Type="http://schemas.openxmlformats.org/officeDocument/2006/relationships/hyperlink" Target="#'Contents'!A1" TargetMode="External" Id="rId1" /></Relationships>
</file>

<file path=xl/worksheets/_rels/sheet24.xml.rels><Relationships xmlns="http://schemas.openxmlformats.org/package/2006/relationships"><Relationship Type="http://schemas.openxmlformats.org/officeDocument/2006/relationships/hyperlink" Target="#'Contents'!A1" TargetMode="External" Id="rId1" /></Relationships>
</file>

<file path=xl/worksheets/_rels/sheet25.xml.rels><Relationships xmlns="http://schemas.openxmlformats.org/package/2006/relationships"><Relationship Type="http://schemas.openxmlformats.org/officeDocument/2006/relationships/hyperlink" Target="#'Contents'!A1" TargetMode="External" Id="rId1" /></Relationships>
</file>

<file path=xl/worksheets/_rels/sheet26.xml.rels><Relationships xmlns="http://schemas.openxmlformats.org/package/2006/relationships"><Relationship Type="http://schemas.openxmlformats.org/officeDocument/2006/relationships/hyperlink" Target="#'Contents'!A1" TargetMode="External" Id="rId1" /></Relationships>
</file>

<file path=xl/worksheets/_rels/sheet27.xml.rels><Relationships xmlns="http://schemas.openxmlformats.org/package/2006/relationships"><Relationship Type="http://schemas.openxmlformats.org/officeDocument/2006/relationships/hyperlink" Target="#'Contents'!A1" TargetMode="External" Id="rId1" /></Relationships>
</file>

<file path=xl/worksheets/_rels/sheet28.xml.rels><Relationships xmlns="http://schemas.openxmlformats.org/package/2006/relationships"><Relationship Type="http://schemas.openxmlformats.org/officeDocument/2006/relationships/hyperlink" Target="#'Contents'!A1" TargetMode="External" Id="rId1" /></Relationships>
</file>

<file path=xl/worksheets/_rels/sheet29.xml.rels><Relationships xmlns="http://schemas.openxmlformats.org/package/2006/relationships"><Relationship Type="http://schemas.openxmlformats.org/officeDocument/2006/relationships/hyperlink" Target="#'Contents'!A1" TargetMode="External" Id="rId1" /></Relationships>
</file>

<file path=xl/worksheets/_rels/sheet30.xml.rels><Relationships xmlns="http://schemas.openxmlformats.org/package/2006/relationships"><Relationship Type="http://schemas.openxmlformats.org/officeDocument/2006/relationships/hyperlink" Target="#'Contents'!A1" TargetMode="External" Id="rId1" /></Relationships>
</file>

<file path=xl/worksheets/_rels/sheet31.xml.rels><Relationships xmlns="http://schemas.openxmlformats.org/package/2006/relationships"><Relationship Type="http://schemas.openxmlformats.org/officeDocument/2006/relationships/hyperlink" Target="#'Contents'!A1" TargetMode="External" Id="rId1" /></Relationships>
</file>

<file path=xl/worksheets/_rels/sheet32.xml.rels><Relationships xmlns="http://schemas.openxmlformats.org/package/2006/relationships"><Relationship Type="http://schemas.openxmlformats.org/officeDocument/2006/relationships/hyperlink" Target="#'Contents'!A1" TargetMode="External" Id="rId1" /></Relationships>
</file>

<file path=xl/worksheets/_rels/sheet33.xml.rels><Relationships xmlns="http://schemas.openxmlformats.org/package/2006/relationships"><Relationship Type="http://schemas.openxmlformats.org/officeDocument/2006/relationships/hyperlink" Target="#'Contents'!A1" TargetMode="External" Id="rId1" /></Relationships>
</file>

<file path=xl/worksheets/_rels/sheet34.xml.rels><Relationships xmlns="http://schemas.openxmlformats.org/package/2006/relationships"><Relationship Type="http://schemas.openxmlformats.org/officeDocument/2006/relationships/hyperlink" Target="#'Contents'!A1" TargetMode="External" Id="rId1" /></Relationships>
</file>

<file path=xl/worksheets/_rels/sheet35.xml.rels><Relationships xmlns="http://schemas.openxmlformats.org/package/2006/relationships"><Relationship Type="http://schemas.openxmlformats.org/officeDocument/2006/relationships/hyperlink" Target="#'Contents'!A1" TargetMode="External" Id="rId1" /></Relationships>
</file>

<file path=xl/worksheets/_rels/sheet36.xml.rels><Relationships xmlns="http://schemas.openxmlformats.org/package/2006/relationships"><Relationship Type="http://schemas.openxmlformats.org/officeDocument/2006/relationships/hyperlink" Target="#'Contents'!A1" TargetMode="External" Id="rId1" /></Relationships>
</file>

<file path=xl/worksheets/_rels/sheet37.xml.rels><Relationships xmlns="http://schemas.openxmlformats.org/package/2006/relationships"><Relationship Type="http://schemas.openxmlformats.org/officeDocument/2006/relationships/hyperlink" Target="#'Contents'!A1" TargetMode="External" Id="rId1" /></Relationships>
</file>

<file path=xl/worksheets/_rels/sheet38.xml.rels><Relationships xmlns="http://schemas.openxmlformats.org/package/2006/relationships"><Relationship Type="http://schemas.openxmlformats.org/officeDocument/2006/relationships/hyperlink" Target="#'Contents'!A1" TargetMode="External" Id="rId1" /></Relationships>
</file>

<file path=xl/worksheets/_rels/sheet39.xml.rels><Relationships xmlns="http://schemas.openxmlformats.org/package/2006/relationships"><Relationship Type="http://schemas.openxmlformats.org/officeDocument/2006/relationships/hyperlink" Target="#'Contents'!A1" TargetMode="External" Id="rId1" /></Relationships>
</file>

<file path=xl/worksheets/_rels/sheet40.xml.rels><Relationships xmlns="http://schemas.openxmlformats.org/package/2006/relationships"><Relationship Type="http://schemas.openxmlformats.org/officeDocument/2006/relationships/hyperlink" Target="#'Contents'!A1" TargetMode="External" Id="rId1" /></Relationships>
</file>

<file path=xl/worksheets/_rels/sheet41.xml.rels><Relationships xmlns="http://schemas.openxmlformats.org/package/2006/relationships"><Relationship Type="http://schemas.openxmlformats.org/officeDocument/2006/relationships/hyperlink" Target="#'Contents'!A1" TargetMode="External" Id="rId1" /></Relationships>
</file>

<file path=xl/worksheets/_rels/sheet42.xml.rels><Relationships xmlns="http://schemas.openxmlformats.org/package/2006/relationships"><Relationship Type="http://schemas.openxmlformats.org/officeDocument/2006/relationships/hyperlink" Target="#'Contents'!A1" TargetMode="External" Id="rId1" /></Relationships>
</file>

<file path=xl/worksheets/_rels/sheet43.xml.rels><Relationships xmlns="http://schemas.openxmlformats.org/package/2006/relationships"><Relationship Type="http://schemas.openxmlformats.org/officeDocument/2006/relationships/hyperlink" Target="#'Contents'!A1" TargetMode="External" Id="rId1" /></Relationships>
</file>

<file path=xl/worksheets/_rels/sheet44.xml.rels><Relationships xmlns="http://schemas.openxmlformats.org/package/2006/relationships"><Relationship Type="http://schemas.openxmlformats.org/officeDocument/2006/relationships/hyperlink" Target="#'Contents'!A1" TargetMode="External" Id="rId1" /></Relationships>
</file>

<file path=xl/worksheets/_rels/sheet45.xml.rels><Relationships xmlns="http://schemas.openxmlformats.org/package/2006/relationships"><Relationship Type="http://schemas.openxmlformats.org/officeDocument/2006/relationships/hyperlink" Target="#'Contents'!A1" TargetMode="External" Id="rId1" /></Relationships>
</file>

<file path=xl/worksheets/_rels/sheet46.xml.rels><Relationships xmlns="http://schemas.openxmlformats.org/package/2006/relationships"><Relationship Type="http://schemas.openxmlformats.org/officeDocument/2006/relationships/hyperlink" Target="#'Contents'!A1" TargetMode="External" Id="rId1" /></Relationships>
</file>

<file path=xl/worksheets/_rels/sheet47.xml.rels><Relationships xmlns="http://schemas.openxmlformats.org/package/2006/relationships"><Relationship Type="http://schemas.openxmlformats.org/officeDocument/2006/relationships/hyperlink" Target="#'Contents'!A1" TargetMode="External" Id="rId1" /></Relationships>
</file>

<file path=xl/worksheets/_rels/sheet48.xml.rels><Relationships xmlns="http://schemas.openxmlformats.org/package/2006/relationships"><Relationship Type="http://schemas.openxmlformats.org/officeDocument/2006/relationships/hyperlink" Target="#'Contents'!A1" TargetMode="External" Id="rId1" /></Relationships>
</file>

<file path=xl/worksheets/_rels/sheet49.xml.rels><Relationships xmlns="http://schemas.openxmlformats.org/package/2006/relationships"><Relationship Type="http://schemas.openxmlformats.org/officeDocument/2006/relationships/hyperlink" Target="#'Contents'!A1" TargetMode="External" Id="rId1" /></Relationships>
</file>

<file path=xl/worksheets/_rels/sheet50.xml.rels><Relationships xmlns="http://schemas.openxmlformats.org/package/2006/relationships"><Relationship Type="http://schemas.openxmlformats.org/officeDocument/2006/relationships/hyperlink" Target="#'Contents'!A1" TargetMode="External" Id="rId1" /></Relationships>
</file>

<file path=xl/worksheets/_rels/sheet51.xml.rels><Relationships xmlns="http://schemas.openxmlformats.org/package/2006/relationships"><Relationship Type="http://schemas.openxmlformats.org/officeDocument/2006/relationships/hyperlink" Target="#'Contents'!A1" TargetMode="External" Id="rId1" /></Relationships>
</file>

<file path=xl/worksheets/_rels/sheet52.xml.rels><Relationships xmlns="http://schemas.openxmlformats.org/package/2006/relationships"><Relationship Type="http://schemas.openxmlformats.org/officeDocument/2006/relationships/hyperlink" Target="#'Contents'!A1" TargetMode="External" Id="rId1" /></Relationships>
</file>

<file path=xl/worksheets/_rels/sheet53.xml.rels><Relationships xmlns="http://schemas.openxmlformats.org/package/2006/relationships"><Relationship Type="http://schemas.openxmlformats.org/officeDocument/2006/relationships/hyperlink" Target="#'Contents'!A1" TargetMode="External" Id="rId1" /></Relationships>
</file>

<file path=xl/worksheets/_rels/sheet54.xml.rels><Relationships xmlns="http://schemas.openxmlformats.org/package/2006/relationships"><Relationship Type="http://schemas.openxmlformats.org/officeDocument/2006/relationships/hyperlink" Target="#'Contents'!A1" TargetMode="External" Id="rId1" /></Relationships>
</file>

<file path=xl/worksheets/_rels/sheet55.xml.rels><Relationships xmlns="http://schemas.openxmlformats.org/package/2006/relationships"><Relationship Type="http://schemas.openxmlformats.org/officeDocument/2006/relationships/hyperlink" Target="#'Contents'!A1" TargetMode="External" Id="rId1" /></Relationships>
</file>

<file path=xl/worksheets/_rels/sheet56.xml.rels><Relationships xmlns="http://schemas.openxmlformats.org/package/2006/relationships"><Relationship Type="http://schemas.openxmlformats.org/officeDocument/2006/relationships/hyperlink" Target="#'Contents'!A1" TargetMode="External" Id="rId1" /></Relationships>
</file>

<file path=xl/worksheets/_rels/sheet57.xml.rels><Relationships xmlns="http://schemas.openxmlformats.org/package/2006/relationships"><Relationship Type="http://schemas.openxmlformats.org/officeDocument/2006/relationships/hyperlink" Target="#'Contents'!A1" TargetMode="External" Id="rId1" /></Relationships>
</file>

<file path=xl/worksheets/_rels/sheet58.xml.rels><Relationships xmlns="http://schemas.openxmlformats.org/package/2006/relationships"><Relationship Type="http://schemas.openxmlformats.org/officeDocument/2006/relationships/hyperlink" Target="#'Contents'!A1" TargetMode="External" Id="rId1" /></Relationships>
</file>

<file path=xl/worksheets/_rels/sheet59.xml.rels><Relationships xmlns="http://schemas.openxmlformats.org/package/2006/relationships"><Relationship Type="http://schemas.openxmlformats.org/officeDocument/2006/relationships/hyperlink" Target="#'Contents'!A1" TargetMode="External" Id="rId1" /></Relationships>
</file>

<file path=xl/worksheets/_rels/sheet60.xml.rels><Relationships xmlns="http://schemas.openxmlformats.org/package/2006/relationships"><Relationship Type="http://schemas.openxmlformats.org/officeDocument/2006/relationships/hyperlink" Target="#'Contents'!A1" TargetMode="External" Id="rId1" /></Relationships>
</file>

<file path=xl/worksheets/_rels/sheet61.xml.rels><Relationships xmlns="http://schemas.openxmlformats.org/package/2006/relationships"><Relationship Type="http://schemas.openxmlformats.org/officeDocument/2006/relationships/hyperlink" Target="#'Contents'!A1" TargetMode="External" Id="rId1" /></Relationships>
</file>

<file path=xl/worksheets/_rels/sheet62.xml.rels><Relationships xmlns="http://schemas.openxmlformats.org/package/2006/relationships"><Relationship Type="http://schemas.openxmlformats.org/officeDocument/2006/relationships/hyperlink" Target="#'Contents'!A1" TargetMode="External" Id="rId1" /></Relationships>
</file>

<file path=xl/worksheets/_rels/sheet63.xml.rels><Relationships xmlns="http://schemas.openxmlformats.org/package/2006/relationships"><Relationship Type="http://schemas.openxmlformats.org/officeDocument/2006/relationships/hyperlink" Target="#'Contents'!A1" TargetMode="External" Id="rId1" /></Relationships>
</file>

<file path=xl/worksheets/_rels/sheet64.xml.rels><Relationships xmlns="http://schemas.openxmlformats.org/package/2006/relationships"><Relationship Type="http://schemas.openxmlformats.org/officeDocument/2006/relationships/hyperlink" Target="#'Contents'!A1" TargetMode="External" Id="rId1" /></Relationships>
</file>

<file path=xl/worksheets/_rels/sheet65.xml.rels><Relationships xmlns="http://schemas.openxmlformats.org/package/2006/relationships"><Relationship Type="http://schemas.openxmlformats.org/officeDocument/2006/relationships/hyperlink" Target="#'Contents'!A1" TargetMode="External" Id="rId1" /></Relationships>
</file>

<file path=xl/worksheets/_rels/sheet66.xml.rels><Relationships xmlns="http://schemas.openxmlformats.org/package/2006/relationships"><Relationship Type="http://schemas.openxmlformats.org/officeDocument/2006/relationships/hyperlink" Target="#'Contents'!A1" TargetMode="External" Id="rId1" /></Relationships>
</file>

<file path=xl/worksheets/_rels/sheet67.xml.rels><Relationships xmlns="http://schemas.openxmlformats.org/package/2006/relationships"><Relationship Type="http://schemas.openxmlformats.org/officeDocument/2006/relationships/hyperlink" Target="#'Contents'!A1" TargetMode="External" Id="rId1" /></Relationships>
</file>

<file path=xl/worksheets/_rels/sheet68.xml.rels><Relationships xmlns="http://schemas.openxmlformats.org/package/2006/relationships"><Relationship Type="http://schemas.openxmlformats.org/officeDocument/2006/relationships/hyperlink" Target="#'Contents'!A1" TargetMode="External" Id="rId1" /></Relationships>
</file>

<file path=xl/worksheets/_rels/sheet69.xml.rels><Relationships xmlns="http://schemas.openxmlformats.org/package/2006/relationships"><Relationship Type="http://schemas.openxmlformats.org/officeDocument/2006/relationships/hyperlink" Target="#'Contents'!A1" TargetMode="External" Id="rId1" /></Relationships>
</file>

<file path=xl/worksheets/_rels/sheet70.xml.rels><Relationships xmlns="http://schemas.openxmlformats.org/package/2006/relationships"><Relationship Type="http://schemas.openxmlformats.org/officeDocument/2006/relationships/hyperlink" Target="#'Contents'!A1" TargetMode="External" Id="rId1" /></Relationships>
</file>

<file path=xl/worksheets/_rels/sheet71.xml.rels><Relationships xmlns="http://schemas.openxmlformats.org/package/2006/relationships"><Relationship Type="http://schemas.openxmlformats.org/officeDocument/2006/relationships/hyperlink" Target="#'Contents'!A1" TargetMode="External" Id="rId1" /></Relationships>
</file>

<file path=xl/worksheets/_rels/sheet72.xml.rels><Relationships xmlns="http://schemas.openxmlformats.org/package/2006/relationships"><Relationship Type="http://schemas.openxmlformats.org/officeDocument/2006/relationships/hyperlink" Target="#'Contents'!A1" TargetMode="External" Id="rId1" /></Relationships>
</file>

<file path=xl/worksheets/_rels/sheet73.xml.rels><Relationships xmlns="http://schemas.openxmlformats.org/package/2006/relationships"><Relationship Type="http://schemas.openxmlformats.org/officeDocument/2006/relationships/hyperlink" Target="#'Contents'!A1" TargetMode="External" Id="rId1" /></Relationships>
</file>

<file path=xl/worksheets/_rels/sheet74.xml.rels><Relationships xmlns="http://schemas.openxmlformats.org/package/2006/relationships"><Relationship Type="http://schemas.openxmlformats.org/officeDocument/2006/relationships/hyperlink" Target="#'Contents'!A1" TargetMode="External" Id="rId1" /></Relationships>
</file>

<file path=xl/worksheets/_rels/sheet75.xml.rels><Relationships xmlns="http://schemas.openxmlformats.org/package/2006/relationships"><Relationship Type="http://schemas.openxmlformats.org/officeDocument/2006/relationships/hyperlink" Target="#'Contents'!A1" TargetMode="External" Id="rId1" /></Relationships>
</file>

<file path=xl/worksheets/_rels/sheet76.xml.rels><Relationships xmlns="http://schemas.openxmlformats.org/package/2006/relationships"><Relationship Type="http://schemas.openxmlformats.org/officeDocument/2006/relationships/hyperlink" Target="#'Contents'!A1" TargetMode="External" Id="rId1" /></Relationships>
</file>

<file path=xl/worksheets/_rels/sheet77.xml.rels><Relationships xmlns="http://schemas.openxmlformats.org/package/2006/relationships"><Relationship Type="http://schemas.openxmlformats.org/officeDocument/2006/relationships/hyperlink" Target="#'Contents'!A1" TargetMode="External" Id="rId1" /></Relationships>
</file>

<file path=xl/worksheets/_rels/sheet78.xml.rels><Relationships xmlns="http://schemas.openxmlformats.org/package/2006/relationships"><Relationship Type="http://schemas.openxmlformats.org/officeDocument/2006/relationships/hyperlink" Target="#'Contents'!A1" TargetMode="External" Id="rId1" /></Relationships>
</file>

<file path=xl/worksheets/_rels/sheet79.xml.rels><Relationships xmlns="http://schemas.openxmlformats.org/package/2006/relationships"><Relationship Type="http://schemas.openxmlformats.org/officeDocument/2006/relationships/hyperlink" Target="#'Contents'!A1" TargetMode="External" Id="rId1" /></Relationships>
</file>

<file path=xl/worksheets/_rels/sheet80.xml.rels><Relationships xmlns="http://schemas.openxmlformats.org/package/2006/relationships"><Relationship Type="http://schemas.openxmlformats.org/officeDocument/2006/relationships/hyperlink" Target="#'Contents'!A1" TargetMode="External" Id="rId1" /></Relationships>
</file>

<file path=xl/worksheets/_rels/sheet81.xml.rels><Relationships xmlns="http://schemas.openxmlformats.org/package/2006/relationships"><Relationship Type="http://schemas.openxmlformats.org/officeDocument/2006/relationships/hyperlink" Target="#'Contents'!A1" TargetMode="External" Id="rId1" /></Relationships>
</file>

<file path=xl/worksheets/_rels/sheet82.xml.rels><Relationships xmlns="http://schemas.openxmlformats.org/package/2006/relationships"><Relationship Type="http://schemas.openxmlformats.org/officeDocument/2006/relationships/hyperlink" Target="#'Contents'!A1" TargetMode="External" Id="rId1" /></Relationships>
</file>

<file path=xl/worksheets/_rels/sheet83.xml.rels><Relationships xmlns="http://schemas.openxmlformats.org/package/2006/relationships"><Relationship Type="http://schemas.openxmlformats.org/officeDocument/2006/relationships/hyperlink" Target="#'Contents'!A1" TargetMode="External" Id="rId1" /></Relationships>
</file>

<file path=xl/worksheets/_rels/sheet84.xml.rels><Relationships xmlns="http://schemas.openxmlformats.org/package/2006/relationships"><Relationship Type="http://schemas.openxmlformats.org/officeDocument/2006/relationships/hyperlink" Target="#'Contents'!A1" TargetMode="External" Id="rId1" /></Relationships>
</file>

<file path=xl/worksheets/_rels/sheet85.xml.rels><Relationships xmlns="http://schemas.openxmlformats.org/package/2006/relationships"><Relationship Type="http://schemas.openxmlformats.org/officeDocument/2006/relationships/hyperlink" Target="#'Contents'!A1" TargetMode="External" Id="rId1" /></Relationships>
</file>

<file path=xl/worksheets/_rels/sheet86.xml.rels><Relationships xmlns="http://schemas.openxmlformats.org/package/2006/relationships"><Relationship Type="http://schemas.openxmlformats.org/officeDocument/2006/relationships/hyperlink" Target="#'Contents'!A1" TargetMode="External" Id="rId1" /></Relationships>
</file>

<file path=xl/worksheets/_rels/sheet87.xml.rels><Relationships xmlns="http://schemas.openxmlformats.org/package/2006/relationships"><Relationship Type="http://schemas.openxmlformats.org/officeDocument/2006/relationships/hyperlink" Target="#'Contents'!A1" TargetMode="External" Id="rId1" /></Relationships>
</file>

<file path=xl/worksheets/_rels/sheet88.xml.rels><Relationships xmlns="http://schemas.openxmlformats.org/package/2006/relationships"><Relationship Type="http://schemas.openxmlformats.org/officeDocument/2006/relationships/hyperlink" Target="#'Contents'!A1" TargetMode="External" Id="rId1" /></Relationships>
</file>

<file path=xl/worksheets/_rels/sheet89.xml.rels><Relationships xmlns="http://schemas.openxmlformats.org/package/2006/relationships"><Relationship Type="http://schemas.openxmlformats.org/officeDocument/2006/relationships/hyperlink" Target="#'Contents'!A1" TargetMode="External" Id="rId1" /></Relationships>
</file>

<file path=xl/worksheets/_rels/sheet90.xml.rels><Relationships xmlns="http://schemas.openxmlformats.org/package/2006/relationships"><Relationship Type="http://schemas.openxmlformats.org/officeDocument/2006/relationships/hyperlink" Target="#'Contents'!A1" TargetMode="External" Id="rId1" /></Relationships>
</file>

<file path=xl/worksheets/_rels/sheet91.xml.rels><Relationships xmlns="http://schemas.openxmlformats.org/package/2006/relationships"><Relationship Type="http://schemas.openxmlformats.org/officeDocument/2006/relationships/hyperlink" Target="#'Contents'!A1" TargetMode="External" Id="rId1" /></Relationships>
</file>

<file path=xl/worksheets/_rels/sheet92.xml.rels><Relationships xmlns="http://schemas.openxmlformats.org/package/2006/relationships"><Relationship Type="http://schemas.openxmlformats.org/officeDocument/2006/relationships/hyperlink" Target="#'Contents'!A1" TargetMode="External" Id="rId1" /></Relationships>
</file>

<file path=xl/worksheets/_rels/sheet93.xml.rels><Relationships xmlns="http://schemas.openxmlformats.org/package/2006/relationships"><Relationship Type="http://schemas.openxmlformats.org/officeDocument/2006/relationships/hyperlink" Target="#'Contents'!A1" TargetMode="External" Id="rId1" /></Relationships>
</file>

<file path=xl/worksheets/_rels/sheet94.xml.rels><Relationships xmlns="http://schemas.openxmlformats.org/package/2006/relationships"><Relationship Type="http://schemas.openxmlformats.org/officeDocument/2006/relationships/hyperlink" Target="#'Contents'!A1" TargetMode="External" Id="rId1" /></Relationships>
</file>

<file path=xl/worksheets/_rels/sheet95.xml.rels><Relationships xmlns="http://schemas.openxmlformats.org/package/2006/relationships"><Relationship Type="http://schemas.openxmlformats.org/officeDocument/2006/relationships/hyperlink" Target="#'Contents'!A1" TargetMode="External" Id="rId1" /></Relationships>
</file>

<file path=xl/worksheets/_rels/sheet96.xml.rels><Relationships xmlns="http://schemas.openxmlformats.org/package/2006/relationships"><Relationship Type="http://schemas.openxmlformats.org/officeDocument/2006/relationships/hyperlink" Target="#'Contents'!A1" TargetMode="External" Id="rId1" /></Relationships>
</file>

<file path=xl/worksheets/_rels/sheet97.xml.rels><Relationships xmlns="http://schemas.openxmlformats.org/package/2006/relationships"><Relationship Type="http://schemas.openxmlformats.org/officeDocument/2006/relationships/hyperlink" Target="#'Contents'!A1" TargetMode="External" Id="rId1" /></Relationships>
</file>

<file path=xl/worksheets/_rels/sheet98.xml.rels><Relationships xmlns="http://schemas.openxmlformats.org/package/2006/relationships"><Relationship Type="http://schemas.openxmlformats.org/officeDocument/2006/relationships/hyperlink" Target="#'Contents'!A1" TargetMode="External" Id="rId1" /></Relationships>
</file>

<file path=xl/worksheets/_rels/sheet99.xml.rels><Relationships xmlns="http://schemas.openxmlformats.org/package/2006/relationships"><Relationship Type="http://schemas.openxmlformats.org/officeDocument/2006/relationships/hyperlink" Target="#'Contents'!A1" TargetMode="External" Id="rId1" /></Relationships>
</file>

<file path=xl/worksheets/_rels/sheet100.xml.rels><Relationships xmlns="http://schemas.openxmlformats.org/package/2006/relationships"><Relationship Type="http://schemas.openxmlformats.org/officeDocument/2006/relationships/hyperlink" Target="#'Contents'!A1" TargetMode="External" Id="rId1" /></Relationships>
</file>

<file path=xl/worksheets/_rels/sheet101.xml.rels><Relationships xmlns="http://schemas.openxmlformats.org/package/2006/relationships"><Relationship Type="http://schemas.openxmlformats.org/officeDocument/2006/relationships/hyperlink" Target="#'Contents'!A1" TargetMode="External" Id="rId1" /></Relationships>
</file>

<file path=xl/worksheets/_rels/sheet102.xml.rels><Relationships xmlns="http://schemas.openxmlformats.org/package/2006/relationships"><Relationship Type="http://schemas.openxmlformats.org/officeDocument/2006/relationships/hyperlink" Target="#'Contents'!A1" TargetMode="External" Id="rId1" /></Relationships>
</file>

<file path=xl/worksheets/_rels/sheet103.xml.rels><Relationships xmlns="http://schemas.openxmlformats.org/package/2006/relationships"><Relationship Type="http://schemas.openxmlformats.org/officeDocument/2006/relationships/hyperlink" Target="#'Contents'!A1" TargetMode="External" Id="rId1" /></Relationships>
</file>

<file path=xl/worksheets/_rels/sheet104.xml.rels><Relationships xmlns="http://schemas.openxmlformats.org/package/2006/relationships"><Relationship Type="http://schemas.openxmlformats.org/officeDocument/2006/relationships/hyperlink" Target="#'Contents'!A1" TargetMode="External" Id="rId1" /></Relationships>
</file>

<file path=xl/worksheets/_rels/sheet105.xml.rels><Relationships xmlns="http://schemas.openxmlformats.org/package/2006/relationships"><Relationship Type="http://schemas.openxmlformats.org/officeDocument/2006/relationships/hyperlink" Target="#'Contents'!A1" TargetMode="External" Id="rId1" /></Relationships>
</file>

<file path=xl/worksheets/_rels/sheet106.xml.rels><Relationships xmlns="http://schemas.openxmlformats.org/package/2006/relationships"><Relationship Type="http://schemas.openxmlformats.org/officeDocument/2006/relationships/hyperlink" Target="#'Contents'!A1" TargetMode="External" Id="rId1" /></Relationships>
</file>

<file path=xl/worksheets/_rels/sheet107.xml.rels><Relationships xmlns="http://schemas.openxmlformats.org/package/2006/relationships"><Relationship Type="http://schemas.openxmlformats.org/officeDocument/2006/relationships/hyperlink" Target="#'Contents'!A1" TargetMode="External" Id="rId1" /></Relationships>
</file>

<file path=xl/worksheets/_rels/sheet108.xml.rels><Relationships xmlns="http://schemas.openxmlformats.org/package/2006/relationships"><Relationship Type="http://schemas.openxmlformats.org/officeDocument/2006/relationships/hyperlink" Target="#'Contents'!A1" TargetMode="External" Id="rId1" /></Relationships>
</file>

<file path=xl/worksheets/_rels/sheet109.xml.rels><Relationships xmlns="http://schemas.openxmlformats.org/package/2006/relationships"><Relationship Type="http://schemas.openxmlformats.org/officeDocument/2006/relationships/hyperlink" Target="#'Contents'!A1" TargetMode="External" Id="rId1" /></Relationships>
</file>

<file path=xl/worksheets/_rels/sheet110.xml.rels><Relationships xmlns="http://schemas.openxmlformats.org/package/2006/relationships"><Relationship Type="http://schemas.openxmlformats.org/officeDocument/2006/relationships/hyperlink" Target="#'Contents'!A1" TargetMode="External" Id="rId1" /></Relationships>
</file>

<file path=xl/worksheets/_rels/sheet111.xml.rels><Relationships xmlns="http://schemas.openxmlformats.org/package/2006/relationships"><Relationship Type="http://schemas.openxmlformats.org/officeDocument/2006/relationships/hyperlink" Target="#'Contents'!A1" TargetMode="External" Id="rId1" /></Relationships>
</file>

<file path=xl/worksheets/_rels/sheet112.xml.rels><Relationships xmlns="http://schemas.openxmlformats.org/package/2006/relationships"><Relationship Type="http://schemas.openxmlformats.org/officeDocument/2006/relationships/hyperlink" Target="#'Contents'!A1" TargetMode="External" Id="rId1" /></Relationships>
</file>

<file path=xl/worksheets/_rels/sheet113.xml.rels><Relationships xmlns="http://schemas.openxmlformats.org/package/2006/relationships"><Relationship Type="http://schemas.openxmlformats.org/officeDocument/2006/relationships/hyperlink" Target="#'Contents'!A1" TargetMode="External" Id="rId1" /></Relationships>
</file>

<file path=xl/worksheets/_rels/sheet114.xml.rels><Relationships xmlns="http://schemas.openxmlformats.org/package/2006/relationships"><Relationship Type="http://schemas.openxmlformats.org/officeDocument/2006/relationships/hyperlink" Target="#'Contents'!A1" TargetMode="External" Id="rId1" /></Relationships>
</file>

<file path=xl/worksheets/_rels/sheet115.xml.rels><Relationships xmlns="http://schemas.openxmlformats.org/package/2006/relationships"><Relationship Type="http://schemas.openxmlformats.org/officeDocument/2006/relationships/hyperlink" Target="#'Contents'!A1" TargetMode="External" Id="rId1" /></Relationships>
</file>

<file path=xl/worksheets/_rels/sheet116.xml.rels><Relationships xmlns="http://schemas.openxmlformats.org/package/2006/relationships"><Relationship Type="http://schemas.openxmlformats.org/officeDocument/2006/relationships/hyperlink" Target="#'Contents'!A1" TargetMode="External" Id="rId1" /></Relationships>
</file>

<file path=xl/worksheets/_rels/sheet117.xml.rels><Relationships xmlns="http://schemas.openxmlformats.org/package/2006/relationships"><Relationship Type="http://schemas.openxmlformats.org/officeDocument/2006/relationships/hyperlink" Target="#'Contents'!A1" TargetMode="External" Id="rId1" /></Relationships>
</file>

<file path=xl/worksheets/_rels/sheet118.xml.rels><Relationships xmlns="http://schemas.openxmlformats.org/package/2006/relationships"><Relationship Type="http://schemas.openxmlformats.org/officeDocument/2006/relationships/hyperlink" Target="#'Contents'!A1" TargetMode="External" Id="rId1" /></Relationships>
</file>

<file path=xl/worksheets/_rels/sheet119.xml.rels><Relationships xmlns="http://schemas.openxmlformats.org/package/2006/relationships"><Relationship Type="http://schemas.openxmlformats.org/officeDocument/2006/relationships/hyperlink" Target="#'Contents'!A1" TargetMode="External" Id="rId1" /></Relationships>
</file>

<file path=xl/worksheets/_rels/sheet120.xml.rels><Relationships xmlns="http://schemas.openxmlformats.org/package/2006/relationships"><Relationship Type="http://schemas.openxmlformats.org/officeDocument/2006/relationships/hyperlink" Target="#'Contents'!A1" TargetMode="External" Id="rId1" /></Relationships>
</file>

<file path=xl/worksheets/_rels/sheet121.xml.rels><Relationships xmlns="http://schemas.openxmlformats.org/package/2006/relationships"><Relationship Type="http://schemas.openxmlformats.org/officeDocument/2006/relationships/hyperlink" Target="#'Contents'!A1" TargetMode="External" Id="rId1" /></Relationships>
</file>

<file path=xl/worksheets/_rels/sheet122.xml.rels><Relationships xmlns="http://schemas.openxmlformats.org/package/2006/relationships"><Relationship Type="http://schemas.openxmlformats.org/officeDocument/2006/relationships/hyperlink" Target="#'Contents'!A1" TargetMode="External" Id="rId1" /></Relationships>
</file>

<file path=xl/worksheets/_rels/sheet123.xml.rels><Relationships xmlns="http://schemas.openxmlformats.org/package/2006/relationships"><Relationship Type="http://schemas.openxmlformats.org/officeDocument/2006/relationships/hyperlink" Target="#'Contents'!A1" TargetMode="External" Id="rId1" /></Relationships>
</file>

<file path=xl/worksheets/_rels/sheet124.xml.rels><Relationships xmlns="http://schemas.openxmlformats.org/package/2006/relationships"><Relationship Type="http://schemas.openxmlformats.org/officeDocument/2006/relationships/hyperlink" Target="#'Contents'!A1" TargetMode="External" Id="rId1" /></Relationships>
</file>

<file path=xl/worksheets/_rels/sheet125.xml.rels><Relationships xmlns="http://schemas.openxmlformats.org/package/2006/relationships"><Relationship Type="http://schemas.openxmlformats.org/officeDocument/2006/relationships/hyperlink" Target="#'Contents'!A1" TargetMode="External" Id="rId1" /></Relationships>
</file>

<file path=xl/worksheets/_rels/sheet126.xml.rels><Relationships xmlns="http://schemas.openxmlformats.org/package/2006/relationships"><Relationship Type="http://schemas.openxmlformats.org/officeDocument/2006/relationships/hyperlink" Target="#'Contents'!A1" TargetMode="External" Id="rId1" /></Relationships>
</file>

<file path=xl/worksheets/_rels/sheet127.xml.rels><Relationships xmlns="http://schemas.openxmlformats.org/package/2006/relationships"><Relationship Type="http://schemas.openxmlformats.org/officeDocument/2006/relationships/hyperlink" Target="#'Contents'!A1" TargetMode="External" Id="rId1" /></Relationships>
</file>

<file path=xl/worksheets/_rels/sheet128.xml.rels><Relationships xmlns="http://schemas.openxmlformats.org/package/2006/relationships"><Relationship Type="http://schemas.openxmlformats.org/officeDocument/2006/relationships/hyperlink" Target="#'Contents'!A1" TargetMode="External" Id="rId1" /></Relationships>
</file>

<file path=xl/worksheets/_rels/sheet129.xml.rels><Relationships xmlns="http://schemas.openxmlformats.org/package/2006/relationships"><Relationship Type="http://schemas.openxmlformats.org/officeDocument/2006/relationships/hyperlink" Target="#'Contents'!A1" TargetMode="External" Id="rId1" /></Relationships>
</file>

<file path=xl/worksheets/_rels/sheet130.xml.rels><Relationships xmlns="http://schemas.openxmlformats.org/package/2006/relationships"><Relationship Type="http://schemas.openxmlformats.org/officeDocument/2006/relationships/hyperlink" Target="#'Contents'!A1" TargetMode="External" Id="rId1" /></Relationships>
</file>

<file path=xl/worksheets/_rels/sheet131.xml.rels><Relationships xmlns="http://schemas.openxmlformats.org/package/2006/relationships"><Relationship Type="http://schemas.openxmlformats.org/officeDocument/2006/relationships/hyperlink" Target="#'Contents'!A1" TargetMode="External" Id="rId1" /></Relationships>
</file>

<file path=xl/worksheets/_rels/sheet132.xml.rels><Relationships xmlns="http://schemas.openxmlformats.org/package/2006/relationships"><Relationship Type="http://schemas.openxmlformats.org/officeDocument/2006/relationships/hyperlink" Target="#'Contents'!A1" TargetMode="External" Id="rId1" /></Relationships>
</file>

<file path=xl/worksheets/_rels/sheet133.xml.rels><Relationships xmlns="http://schemas.openxmlformats.org/package/2006/relationships"><Relationship Type="http://schemas.openxmlformats.org/officeDocument/2006/relationships/hyperlink" Target="#'Contents'!A1" TargetMode="External" Id="rId1" /></Relationships>
</file>

<file path=xl/worksheets/_rels/sheet134.xml.rels><Relationships xmlns="http://schemas.openxmlformats.org/package/2006/relationships"><Relationship Type="http://schemas.openxmlformats.org/officeDocument/2006/relationships/hyperlink" Target="#'Contents'!A1" TargetMode="External" Id="rId1" /></Relationships>
</file>

<file path=xl/worksheets/_rels/sheet135.xml.rels><Relationships xmlns="http://schemas.openxmlformats.org/package/2006/relationships"><Relationship Type="http://schemas.openxmlformats.org/officeDocument/2006/relationships/hyperlink" Target="#'Contents'!A1" TargetMode="External" Id="rId1" /></Relationships>
</file>

<file path=xl/worksheets/_rels/sheet136.xml.rels><Relationships xmlns="http://schemas.openxmlformats.org/package/2006/relationships"><Relationship Type="http://schemas.openxmlformats.org/officeDocument/2006/relationships/hyperlink" Target="#'Contents'!A1" TargetMode="External" Id="rId1" /></Relationships>
</file>

<file path=xl/worksheets/_rels/sheet137.xml.rels><Relationships xmlns="http://schemas.openxmlformats.org/package/2006/relationships"><Relationship Type="http://schemas.openxmlformats.org/officeDocument/2006/relationships/hyperlink" Target="#'Contents'!A1" TargetMode="External" Id="rId1" /></Relationships>
</file>

<file path=xl/worksheets/_rels/sheet138.xml.rels><Relationships xmlns="http://schemas.openxmlformats.org/package/2006/relationships"><Relationship Type="http://schemas.openxmlformats.org/officeDocument/2006/relationships/hyperlink" Target="#'Contents'!A1" TargetMode="External" Id="rId1" /></Relationships>
</file>

<file path=xl/worksheets/_rels/sheet139.xml.rels><Relationships xmlns="http://schemas.openxmlformats.org/package/2006/relationships"><Relationship Type="http://schemas.openxmlformats.org/officeDocument/2006/relationships/hyperlink" Target="#'Contents'!A1" TargetMode="External" Id="rId1" /></Relationships>
</file>

<file path=xl/worksheets/_rels/sheet140.xml.rels><Relationships xmlns="http://schemas.openxmlformats.org/package/2006/relationships"><Relationship Type="http://schemas.openxmlformats.org/officeDocument/2006/relationships/hyperlink" Target="#'Contents'!A1" TargetMode="External" Id="rId1" /></Relationships>
</file>

<file path=xl/worksheets/_rels/sheet141.xml.rels><Relationships xmlns="http://schemas.openxmlformats.org/package/2006/relationships"><Relationship Type="http://schemas.openxmlformats.org/officeDocument/2006/relationships/hyperlink" Target="#'Contents'!A1" TargetMode="External" Id="rId1" /></Relationships>
</file>

<file path=xl/worksheets/_rels/sheet142.xml.rels><Relationships xmlns="http://schemas.openxmlformats.org/package/2006/relationships"><Relationship Type="http://schemas.openxmlformats.org/officeDocument/2006/relationships/hyperlink" Target="#'Contents'!A1" TargetMode="External" Id="rId1" /></Relationships>
</file>

<file path=xl/worksheets/_rels/sheet143.xml.rels><Relationships xmlns="http://schemas.openxmlformats.org/package/2006/relationships"><Relationship Type="http://schemas.openxmlformats.org/officeDocument/2006/relationships/hyperlink" Target="#'Contents'!A1" TargetMode="External" Id="rId1" /></Relationships>
</file>

<file path=xl/worksheets/_rels/sheet144.xml.rels><Relationships xmlns="http://schemas.openxmlformats.org/package/2006/relationships"><Relationship Type="http://schemas.openxmlformats.org/officeDocument/2006/relationships/hyperlink" Target="#'Contents'!A1" TargetMode="External" Id="rId1" /></Relationships>
</file>

<file path=xl/worksheets/_rels/sheet145.xml.rels><Relationships xmlns="http://schemas.openxmlformats.org/package/2006/relationships"><Relationship Type="http://schemas.openxmlformats.org/officeDocument/2006/relationships/hyperlink" Target="#'Contents'!A1" TargetMode="External" Id="rId1" /></Relationships>
</file>

<file path=xl/worksheets/_rels/sheet146.xml.rels><Relationships xmlns="http://schemas.openxmlformats.org/package/2006/relationships"><Relationship Type="http://schemas.openxmlformats.org/officeDocument/2006/relationships/hyperlink" Target="#'Contents'!A1" TargetMode="External" Id="rId1" /></Relationships>
</file>

<file path=xl/worksheets/_rels/sheet147.xml.rels><Relationships xmlns="http://schemas.openxmlformats.org/package/2006/relationships"><Relationship Type="http://schemas.openxmlformats.org/officeDocument/2006/relationships/hyperlink" Target="#'Contents'!A1" TargetMode="External" Id="rId1" /></Relationships>
</file>

<file path=xl/worksheets/_rels/sheet148.xml.rels><Relationships xmlns="http://schemas.openxmlformats.org/package/2006/relationships"><Relationship Type="http://schemas.openxmlformats.org/officeDocument/2006/relationships/hyperlink" Target="#'Contents'!A1" TargetMode="External" Id="rId1" /></Relationships>
</file>

<file path=xl/worksheets/_rels/sheet149.xml.rels><Relationships xmlns="http://schemas.openxmlformats.org/package/2006/relationships"><Relationship Type="http://schemas.openxmlformats.org/officeDocument/2006/relationships/hyperlink" Target="#'Contents'!A1" TargetMode="External" Id="rId1" /></Relationships>
</file>

<file path=xl/worksheets/_rels/sheet150.xml.rels><Relationships xmlns="http://schemas.openxmlformats.org/package/2006/relationships"><Relationship Type="http://schemas.openxmlformats.org/officeDocument/2006/relationships/hyperlink" Target="#'Contents'!A1" TargetMode="External" Id="rId1" /></Relationships>
</file>

<file path=xl/worksheets/_rels/sheet151.xml.rels><Relationships xmlns="http://schemas.openxmlformats.org/package/2006/relationships"><Relationship Type="http://schemas.openxmlformats.org/officeDocument/2006/relationships/hyperlink" Target="#'Contents'!A1" TargetMode="External" Id="rId1" /></Relationships>
</file>

<file path=xl/worksheets/_rels/sheet152.xml.rels><Relationships xmlns="http://schemas.openxmlformats.org/package/2006/relationships"><Relationship Type="http://schemas.openxmlformats.org/officeDocument/2006/relationships/hyperlink" Target="#'Contents'!A1" TargetMode="External" Id="rId1" /></Relationships>
</file>

<file path=xl/worksheets/_rels/sheet153.xml.rels><Relationships xmlns="http://schemas.openxmlformats.org/package/2006/relationships"><Relationship Type="http://schemas.openxmlformats.org/officeDocument/2006/relationships/hyperlink" Target="#'Contents'!A1" TargetMode="External" Id="rId1" /></Relationships>
</file>

<file path=xl/worksheets/_rels/sheet154.xml.rels><Relationships xmlns="http://schemas.openxmlformats.org/package/2006/relationships"><Relationship Type="http://schemas.openxmlformats.org/officeDocument/2006/relationships/hyperlink" Target="#'Contents'!A1" TargetMode="External" Id="rId1" /></Relationships>
</file>

<file path=xl/worksheets/_rels/sheet155.xml.rels><Relationships xmlns="http://schemas.openxmlformats.org/package/2006/relationships"><Relationship Type="http://schemas.openxmlformats.org/officeDocument/2006/relationships/hyperlink" Target="#'Contents'!A1" TargetMode="External" Id="rId1" /></Relationships>
</file>

<file path=xl/worksheets/_rels/sheet156.xml.rels><Relationships xmlns="http://schemas.openxmlformats.org/package/2006/relationships"><Relationship Type="http://schemas.openxmlformats.org/officeDocument/2006/relationships/hyperlink" Target="#'Contents'!A1" TargetMode="External" Id="rId1" /></Relationships>
</file>

<file path=xl/worksheets/_rels/sheet157.xml.rels><Relationships xmlns="http://schemas.openxmlformats.org/package/2006/relationships"><Relationship Type="http://schemas.openxmlformats.org/officeDocument/2006/relationships/hyperlink" Target="#'Contents'!A1" TargetMode="External" Id="rId1" /></Relationships>
</file>

<file path=xl/worksheets/_rels/sheet158.xml.rels><Relationships xmlns="http://schemas.openxmlformats.org/package/2006/relationships"><Relationship Type="http://schemas.openxmlformats.org/officeDocument/2006/relationships/hyperlink" Target="#'Contents'!A1" TargetMode="External" Id="rId1" /></Relationships>
</file>

<file path=xl/worksheets/_rels/sheet159.xml.rels><Relationships xmlns="http://schemas.openxmlformats.org/package/2006/relationships"><Relationship Type="http://schemas.openxmlformats.org/officeDocument/2006/relationships/hyperlink" Target="#'Contents'!A1" TargetMode="External" Id="rId1" /></Relationships>
</file>

<file path=xl/worksheets/_rels/sheet160.xml.rels><Relationships xmlns="http://schemas.openxmlformats.org/package/2006/relationships"><Relationship Type="http://schemas.openxmlformats.org/officeDocument/2006/relationships/hyperlink" Target="#'Contents'!A1" TargetMode="External" Id="rId1" /></Relationships>
</file>

<file path=xl/worksheets/_rels/sheet161.xml.rels><Relationships xmlns="http://schemas.openxmlformats.org/package/2006/relationships"><Relationship Type="http://schemas.openxmlformats.org/officeDocument/2006/relationships/hyperlink" Target="#'Contents'!A1" TargetMode="External" Id="rId1" /></Relationships>
</file>

<file path=xl/worksheets/_rels/sheet162.xml.rels><Relationships xmlns="http://schemas.openxmlformats.org/package/2006/relationships"><Relationship Type="http://schemas.openxmlformats.org/officeDocument/2006/relationships/hyperlink" Target="#'Contents'!A1" TargetMode="External" Id="rId1" /></Relationships>
</file>

<file path=xl/worksheets/_rels/sheet163.xml.rels><Relationships xmlns="http://schemas.openxmlformats.org/package/2006/relationships"><Relationship Type="http://schemas.openxmlformats.org/officeDocument/2006/relationships/hyperlink" Target="#'Contents'!A1" TargetMode="External" Id="rId1" /></Relationships>
</file>

<file path=xl/worksheets/_rels/sheet164.xml.rels><Relationships xmlns="http://schemas.openxmlformats.org/package/2006/relationships"><Relationship Type="http://schemas.openxmlformats.org/officeDocument/2006/relationships/hyperlink" Target="#'Contents'!A1" TargetMode="External" Id="rId1" /></Relationships>
</file>

<file path=xl/worksheets/_rels/sheet165.xml.rels><Relationships xmlns="http://schemas.openxmlformats.org/package/2006/relationships"><Relationship Type="http://schemas.openxmlformats.org/officeDocument/2006/relationships/hyperlink" Target="#'Contents'!A1" TargetMode="External" Id="rId1" /></Relationships>
</file>

<file path=xl/worksheets/_rels/sheet166.xml.rels><Relationships xmlns="http://schemas.openxmlformats.org/package/2006/relationships"><Relationship Type="http://schemas.openxmlformats.org/officeDocument/2006/relationships/hyperlink" Target="#'Contents'!A1" TargetMode="External" Id="rId1" /></Relationships>
</file>

<file path=xl/worksheets/_rels/sheet167.xml.rels><Relationships xmlns="http://schemas.openxmlformats.org/package/2006/relationships"><Relationship Type="http://schemas.openxmlformats.org/officeDocument/2006/relationships/hyperlink" Target="#'Contents'!A1" TargetMode="External" Id="rId1" /></Relationships>
</file>

<file path=xl/worksheets/_rels/sheet168.xml.rels><Relationships xmlns="http://schemas.openxmlformats.org/package/2006/relationships"><Relationship Type="http://schemas.openxmlformats.org/officeDocument/2006/relationships/hyperlink" Target="#'Contents'!A1" TargetMode="External" Id="rId1" /></Relationships>
</file>

<file path=xl/worksheets/_rels/sheet169.xml.rels><Relationships xmlns="http://schemas.openxmlformats.org/package/2006/relationships"><Relationship Type="http://schemas.openxmlformats.org/officeDocument/2006/relationships/hyperlink" Target="#'Contents'!A1" TargetMode="External" Id="rId1" /></Relationships>
</file>

<file path=xl/worksheets/_rels/sheet170.xml.rels><Relationships xmlns="http://schemas.openxmlformats.org/package/2006/relationships"><Relationship Type="http://schemas.openxmlformats.org/officeDocument/2006/relationships/hyperlink" Target="#'Contents'!A1" TargetMode="External" Id="rId1" /></Relationships>
</file>

<file path=xl/worksheets/_rels/sheet171.xml.rels><Relationships xmlns="http://schemas.openxmlformats.org/package/2006/relationships"><Relationship Type="http://schemas.openxmlformats.org/officeDocument/2006/relationships/hyperlink" Target="#'Contents'!A1" TargetMode="External" Id="rId1" /></Relationships>
</file>

<file path=xl/worksheets/_rels/sheet172.xml.rels><Relationships xmlns="http://schemas.openxmlformats.org/package/2006/relationships"><Relationship Type="http://schemas.openxmlformats.org/officeDocument/2006/relationships/hyperlink" Target="#'Contents'!A1" TargetMode="External" Id="rId1" /></Relationships>
</file>

<file path=xl/worksheets/_rels/sheet173.xml.rels><Relationships xmlns="http://schemas.openxmlformats.org/package/2006/relationships"><Relationship Type="http://schemas.openxmlformats.org/officeDocument/2006/relationships/hyperlink" Target="#'Contents'!A1" TargetMode="External" Id="rId1" /></Relationships>
</file>

<file path=xl/worksheets/_rels/sheet174.xml.rels><Relationships xmlns="http://schemas.openxmlformats.org/package/2006/relationships"><Relationship Type="http://schemas.openxmlformats.org/officeDocument/2006/relationships/hyperlink" Target="#'Contents'!A1" TargetMode="External" Id="rId1" /></Relationships>
</file>

<file path=xl/worksheets/_rels/sheet175.xml.rels><Relationships xmlns="http://schemas.openxmlformats.org/package/2006/relationships"><Relationship Type="http://schemas.openxmlformats.org/officeDocument/2006/relationships/hyperlink" Target="#'Contents'!A1" TargetMode="External" Id="rId1" /></Relationships>
</file>

<file path=xl/worksheets/_rels/sheet176.xml.rels><Relationships xmlns="http://schemas.openxmlformats.org/package/2006/relationships"><Relationship Type="http://schemas.openxmlformats.org/officeDocument/2006/relationships/hyperlink" Target="#'Contents'!A1" TargetMode="External" Id="rId1" /></Relationships>
</file>

<file path=xl/worksheets/_rels/sheet177.xml.rels><Relationships xmlns="http://schemas.openxmlformats.org/package/2006/relationships"><Relationship Type="http://schemas.openxmlformats.org/officeDocument/2006/relationships/hyperlink" Target="#'Contents'!A1" TargetMode="External" Id="rId1" /></Relationships>
</file>

<file path=xl/worksheets/_rels/sheet178.xml.rels><Relationships xmlns="http://schemas.openxmlformats.org/package/2006/relationships"><Relationship Type="http://schemas.openxmlformats.org/officeDocument/2006/relationships/hyperlink" Target="#'Contents'!A1" TargetMode="External" Id="rId1" /></Relationships>
</file>

<file path=xl/worksheets/_rels/sheet179.xml.rels><Relationships xmlns="http://schemas.openxmlformats.org/package/2006/relationships"><Relationship Type="http://schemas.openxmlformats.org/officeDocument/2006/relationships/hyperlink" Target="#'Contents'!A1" TargetMode="External" Id="rId1" /></Relationships>
</file>

<file path=xl/worksheets/_rels/sheet180.xml.rels><Relationships xmlns="http://schemas.openxmlformats.org/package/2006/relationships"><Relationship Type="http://schemas.openxmlformats.org/officeDocument/2006/relationships/hyperlink" Target="#'Contents'!A1" TargetMode="External" Id="rId1" /></Relationships>
</file>

<file path=xl/worksheets/_rels/sheet181.xml.rels><Relationships xmlns="http://schemas.openxmlformats.org/package/2006/relationships"><Relationship Type="http://schemas.openxmlformats.org/officeDocument/2006/relationships/hyperlink" Target="#'Contents'!A1" TargetMode="External" Id="rId1" /></Relationships>
</file>

<file path=xl/worksheets/_rels/sheet182.xml.rels><Relationships xmlns="http://schemas.openxmlformats.org/package/2006/relationships"><Relationship Type="http://schemas.openxmlformats.org/officeDocument/2006/relationships/hyperlink" Target="#'Contents'!A1" TargetMode="External" Id="rId1" /></Relationships>
</file>

<file path=xl/worksheets/_rels/sheet183.xml.rels><Relationships xmlns="http://schemas.openxmlformats.org/package/2006/relationships"><Relationship Type="http://schemas.openxmlformats.org/officeDocument/2006/relationships/hyperlink" Target="#'Contents'!A1" TargetMode="External" Id="rId1" /></Relationships>
</file>

<file path=xl/worksheets/_rels/sheet184.xml.rels><Relationships xmlns="http://schemas.openxmlformats.org/package/2006/relationships"><Relationship Type="http://schemas.openxmlformats.org/officeDocument/2006/relationships/hyperlink" Target="#'Contents'!A1" TargetMode="External" Id="rId1" /></Relationships>
</file>

<file path=xl/worksheets/_rels/sheet185.xml.rels><Relationships xmlns="http://schemas.openxmlformats.org/package/2006/relationships"><Relationship Type="http://schemas.openxmlformats.org/officeDocument/2006/relationships/hyperlink" Target="#'Contents'!A1" TargetMode="External" Id="rId1" /></Relationships>
</file>

<file path=xl/worksheets/_rels/sheet186.xml.rels><Relationships xmlns="http://schemas.openxmlformats.org/package/2006/relationships"><Relationship Type="http://schemas.openxmlformats.org/officeDocument/2006/relationships/hyperlink" Target="#'Contents'!A1" TargetMode="External" Id="rId1" /></Relationships>
</file>

<file path=xl/worksheets/_rels/sheet187.xml.rels><Relationships xmlns="http://schemas.openxmlformats.org/package/2006/relationships"><Relationship Type="http://schemas.openxmlformats.org/officeDocument/2006/relationships/hyperlink" Target="#'Contents'!A1" TargetMode="External" Id="rId1" /></Relationships>
</file>

<file path=xl/worksheets/_rels/sheet188.xml.rels><Relationships xmlns="http://schemas.openxmlformats.org/package/2006/relationships"><Relationship Type="http://schemas.openxmlformats.org/officeDocument/2006/relationships/hyperlink" Target="#'Contents'!A1" TargetMode="External" Id="rId1" /></Relationships>
</file>

<file path=xl/worksheets/_rels/sheet189.xml.rels><Relationships xmlns="http://schemas.openxmlformats.org/package/2006/relationships"><Relationship Type="http://schemas.openxmlformats.org/officeDocument/2006/relationships/hyperlink" Target="#'Contents'!A1" TargetMode="External" Id="rId1" /></Relationships>
</file>

<file path=xl/worksheets/_rels/sheet190.xml.rels><Relationships xmlns="http://schemas.openxmlformats.org/package/2006/relationships"><Relationship Type="http://schemas.openxmlformats.org/officeDocument/2006/relationships/hyperlink" Target="#'Contents'!A1" TargetMode="External" Id="rId1" /></Relationships>
</file>

<file path=xl/worksheets/_rels/sheet191.xml.rels><Relationships xmlns="http://schemas.openxmlformats.org/package/2006/relationships"><Relationship Type="http://schemas.openxmlformats.org/officeDocument/2006/relationships/hyperlink" Target="#'Contents'!A1" TargetMode="External" Id="rId1" /></Relationships>
</file>

<file path=xl/worksheets/_rels/sheet192.xml.rels><Relationships xmlns="http://schemas.openxmlformats.org/package/2006/relationships"><Relationship Type="http://schemas.openxmlformats.org/officeDocument/2006/relationships/hyperlink" Target="#'Contents'!A1" TargetMode="External" Id="rId1" /></Relationships>
</file>

<file path=xl/worksheets/_rels/sheet193.xml.rels><Relationships xmlns="http://schemas.openxmlformats.org/package/2006/relationships"><Relationship Type="http://schemas.openxmlformats.org/officeDocument/2006/relationships/hyperlink" Target="#'Contents'!A1" TargetMode="External" Id="rId1" /></Relationships>
</file>

<file path=xl/worksheets/_rels/sheet194.xml.rels><Relationships xmlns="http://schemas.openxmlformats.org/package/2006/relationships"><Relationship Type="http://schemas.openxmlformats.org/officeDocument/2006/relationships/hyperlink" Target="#'Contents'!A1" TargetMode="External" Id="rId1" /></Relationships>
</file>

<file path=xl/worksheets/_rels/sheet195.xml.rels><Relationships xmlns="http://schemas.openxmlformats.org/package/2006/relationships"><Relationship Type="http://schemas.openxmlformats.org/officeDocument/2006/relationships/hyperlink" Target="#'Contents'!A1" TargetMode="External" Id="rId1" /></Relationships>
</file>

<file path=xl/worksheets/_rels/sheet196.xml.rels><Relationships xmlns="http://schemas.openxmlformats.org/package/2006/relationships"><Relationship Type="http://schemas.openxmlformats.org/officeDocument/2006/relationships/hyperlink" Target="#'Contents'!A1" TargetMode="External" Id="rId1" /></Relationships>
</file>

<file path=xl/worksheets/_rels/sheet197.xml.rels><Relationships xmlns="http://schemas.openxmlformats.org/package/2006/relationships"><Relationship Type="http://schemas.openxmlformats.org/officeDocument/2006/relationships/hyperlink" Target="#'Contents'!A1" TargetMode="External" Id="rId1" /></Relationships>
</file>

<file path=xl/worksheets/_rels/sheet198.xml.rels><Relationships xmlns="http://schemas.openxmlformats.org/package/2006/relationships"><Relationship Type="http://schemas.openxmlformats.org/officeDocument/2006/relationships/hyperlink" Target="#'Contents'!A1" TargetMode="External" Id="rId1" /></Relationships>
</file>

<file path=xl/worksheets/_rels/sheet199.xml.rels><Relationships xmlns="http://schemas.openxmlformats.org/package/2006/relationships"><Relationship Type="http://schemas.openxmlformats.org/officeDocument/2006/relationships/hyperlink" Target="#'Contents'!A1" TargetMode="External" Id="rId1" /></Relationships>
</file>

<file path=xl/worksheets/_rels/sheet200.xml.rels><Relationships xmlns="http://schemas.openxmlformats.org/package/2006/relationships"><Relationship Type="http://schemas.openxmlformats.org/officeDocument/2006/relationships/hyperlink" Target="#'Contents'!A1" TargetMode="External" Id="rId1" /></Relationships>
</file>

<file path=xl/worksheets/_rels/sheet201.xml.rels><Relationships xmlns="http://schemas.openxmlformats.org/package/2006/relationships"><Relationship Type="http://schemas.openxmlformats.org/officeDocument/2006/relationships/hyperlink" Target="#'Contents'!A1" TargetMode="External" Id="rId1" /></Relationships>
</file>

<file path=xl/worksheets/_rels/sheet202.xml.rels><Relationships xmlns="http://schemas.openxmlformats.org/package/2006/relationships"><Relationship Type="http://schemas.openxmlformats.org/officeDocument/2006/relationships/hyperlink" Target="#'Contents'!A1" TargetMode="External" Id="rId1" /></Relationships>
</file>

<file path=xl/worksheets/_rels/sheet203.xml.rels><Relationships xmlns="http://schemas.openxmlformats.org/package/2006/relationships"><Relationship Type="http://schemas.openxmlformats.org/officeDocument/2006/relationships/hyperlink" Target="#'Contents'!A1" TargetMode="External" Id="rId1" /></Relationships>
</file>

<file path=xl/worksheets/_rels/sheet204.xml.rels><Relationships xmlns="http://schemas.openxmlformats.org/package/2006/relationships"><Relationship Type="http://schemas.openxmlformats.org/officeDocument/2006/relationships/hyperlink" Target="#'Contents'!A1" TargetMode="External" Id="rId1" /></Relationships>
</file>

<file path=xl/worksheets/_rels/sheet205.xml.rels><Relationships xmlns="http://schemas.openxmlformats.org/package/2006/relationships"><Relationship Type="http://schemas.openxmlformats.org/officeDocument/2006/relationships/hyperlink" Target="#'Contents'!A1" TargetMode="External" Id="rId1" /></Relationships>
</file>

<file path=xl/worksheets/_rels/sheet206.xml.rels><Relationships xmlns="http://schemas.openxmlformats.org/package/2006/relationships"><Relationship Type="http://schemas.openxmlformats.org/officeDocument/2006/relationships/hyperlink" Target="#'Contents'!A1" TargetMode="External" Id="rId1" /></Relationships>
</file>

<file path=xl/worksheets/_rels/sheet207.xml.rels><Relationships xmlns="http://schemas.openxmlformats.org/package/2006/relationships"><Relationship Type="http://schemas.openxmlformats.org/officeDocument/2006/relationships/hyperlink" Target="#'Contents'!A1" TargetMode="External" Id="rId1" /></Relationships>
</file>

<file path=xl/worksheets/_rels/sheet208.xml.rels><Relationships xmlns="http://schemas.openxmlformats.org/package/2006/relationships"><Relationship Type="http://schemas.openxmlformats.org/officeDocument/2006/relationships/hyperlink" Target="#'Contents'!A1" TargetMode="External" Id="rId1" /></Relationships>
</file>

<file path=xl/worksheets/_rels/sheet209.xml.rels><Relationships xmlns="http://schemas.openxmlformats.org/package/2006/relationships"><Relationship Type="http://schemas.openxmlformats.org/officeDocument/2006/relationships/hyperlink" Target="#'Contents'!A1" TargetMode="External" Id="rId1" /></Relationships>
</file>

<file path=xl/worksheets/_rels/sheet210.xml.rels><Relationships xmlns="http://schemas.openxmlformats.org/package/2006/relationships"><Relationship Type="http://schemas.openxmlformats.org/officeDocument/2006/relationships/hyperlink" Target="#'Contents'!A1" TargetMode="External" Id="rId1" /></Relationships>
</file>

<file path=xl/worksheets/_rels/sheet211.xml.rels><Relationships xmlns="http://schemas.openxmlformats.org/package/2006/relationships"><Relationship Type="http://schemas.openxmlformats.org/officeDocument/2006/relationships/hyperlink" Target="#'Contents'!A1" TargetMode="External" Id="rId1" /></Relationships>
</file>

<file path=xl/worksheets/_rels/sheet212.xml.rels><Relationships xmlns="http://schemas.openxmlformats.org/package/2006/relationships"><Relationship Type="http://schemas.openxmlformats.org/officeDocument/2006/relationships/hyperlink" Target="#'Contents'!A1" TargetMode="External" Id="rId1" /></Relationships>
</file>

<file path=xl/worksheets/_rels/sheet213.xml.rels><Relationships xmlns="http://schemas.openxmlformats.org/package/2006/relationships"><Relationship Type="http://schemas.openxmlformats.org/officeDocument/2006/relationships/hyperlink" Target="#'Contents'!A1" TargetMode="External" Id="rId1" /></Relationships>
</file>

<file path=xl/worksheets/_rels/sheet214.xml.rels><Relationships xmlns="http://schemas.openxmlformats.org/package/2006/relationships"><Relationship Type="http://schemas.openxmlformats.org/officeDocument/2006/relationships/hyperlink" Target="#'Contents'!A1" TargetMode="External" Id="rId1" /></Relationships>
</file>

<file path=xl/worksheets/_rels/sheet215.xml.rels><Relationships xmlns="http://schemas.openxmlformats.org/package/2006/relationships"><Relationship Type="http://schemas.openxmlformats.org/officeDocument/2006/relationships/hyperlink" Target="#'Contents'!A1" TargetMode="External" Id="rId1" /></Relationships>
</file>

<file path=xl/worksheets/_rels/sheet216.xml.rels><Relationships xmlns="http://schemas.openxmlformats.org/package/2006/relationships"><Relationship Type="http://schemas.openxmlformats.org/officeDocument/2006/relationships/hyperlink" Target="#'Contents'!A1" TargetMode="External" Id="rId1" /></Relationships>
</file>

<file path=xl/worksheets/_rels/sheet217.xml.rels><Relationships xmlns="http://schemas.openxmlformats.org/package/2006/relationships"><Relationship Type="http://schemas.openxmlformats.org/officeDocument/2006/relationships/hyperlink" Target="#'Contents'!A1" TargetMode="External" Id="rId1" /></Relationships>
</file>

<file path=xl/worksheets/_rels/sheet218.xml.rels><Relationships xmlns="http://schemas.openxmlformats.org/package/2006/relationships"><Relationship Type="http://schemas.openxmlformats.org/officeDocument/2006/relationships/hyperlink" Target="#'Contents'!A1" TargetMode="External" Id="rId1" /></Relationships>
</file>

<file path=xl/worksheets/_rels/sheet219.xml.rels><Relationships xmlns="http://schemas.openxmlformats.org/package/2006/relationships"><Relationship Type="http://schemas.openxmlformats.org/officeDocument/2006/relationships/hyperlink" Target="#'Contents'!A1" TargetMode="External" Id="rId1" /></Relationships>
</file>

<file path=xl/worksheets/_rels/sheet220.xml.rels><Relationships xmlns="http://schemas.openxmlformats.org/package/2006/relationships"><Relationship Type="http://schemas.openxmlformats.org/officeDocument/2006/relationships/hyperlink" Target="#'Contents'!A1" TargetMode="External" Id="rId1" /></Relationships>
</file>

<file path=xl/worksheets/_rels/sheet221.xml.rels><Relationships xmlns="http://schemas.openxmlformats.org/package/2006/relationships"><Relationship Type="http://schemas.openxmlformats.org/officeDocument/2006/relationships/hyperlink" Target="#'Contents'!A1" TargetMode="External" Id="rId1" /></Relationships>
</file>

<file path=xl/worksheets/_rels/sheet222.xml.rels><Relationships xmlns="http://schemas.openxmlformats.org/package/2006/relationships"><Relationship Type="http://schemas.openxmlformats.org/officeDocument/2006/relationships/hyperlink" Target="#'Contents'!A1" TargetMode="External" Id="rId1" /></Relationships>
</file>

<file path=xl/worksheets/_rels/sheet223.xml.rels><Relationships xmlns="http://schemas.openxmlformats.org/package/2006/relationships"><Relationship Type="http://schemas.openxmlformats.org/officeDocument/2006/relationships/hyperlink" Target="#'Contents'!A1" TargetMode="External" Id="rId1" /></Relationships>
</file>

<file path=xl/worksheets/_rels/sheet224.xml.rels><Relationships xmlns="http://schemas.openxmlformats.org/package/2006/relationships"><Relationship Type="http://schemas.openxmlformats.org/officeDocument/2006/relationships/hyperlink" Target="#'Contents'!A1" TargetMode="External" Id="rId1" /></Relationships>
</file>

<file path=xl/worksheets/_rels/sheet225.xml.rels><Relationships xmlns="http://schemas.openxmlformats.org/package/2006/relationships"><Relationship Type="http://schemas.openxmlformats.org/officeDocument/2006/relationships/hyperlink" Target="#'Contents'!A1" TargetMode="External" Id="rId1" /></Relationships>
</file>

<file path=xl/worksheets/_rels/sheet226.xml.rels><Relationships xmlns="http://schemas.openxmlformats.org/package/2006/relationships"><Relationship Type="http://schemas.openxmlformats.org/officeDocument/2006/relationships/hyperlink" Target="#'Contents'!A1" TargetMode="External" Id="rId1" /></Relationships>
</file>

<file path=xl/worksheets/_rels/sheet227.xml.rels><Relationships xmlns="http://schemas.openxmlformats.org/package/2006/relationships"><Relationship Type="http://schemas.openxmlformats.org/officeDocument/2006/relationships/hyperlink" Target="#'Contents'!A1" TargetMode="External" Id="rId1" /></Relationships>
</file>

<file path=xl/worksheets/_rels/sheet228.xml.rels><Relationships xmlns="http://schemas.openxmlformats.org/package/2006/relationships"><Relationship Type="http://schemas.openxmlformats.org/officeDocument/2006/relationships/hyperlink" Target="#'Contents'!A1" TargetMode="External" Id="rId1" /></Relationships>
</file>

<file path=xl/worksheets/_rels/sheet229.xml.rels><Relationships xmlns="http://schemas.openxmlformats.org/package/2006/relationships"><Relationship Type="http://schemas.openxmlformats.org/officeDocument/2006/relationships/hyperlink" Target="#'Contents'!A1" TargetMode="External" Id="rId1" /></Relationships>
</file>

<file path=xl/worksheets/_rels/sheet230.xml.rels><Relationships xmlns="http://schemas.openxmlformats.org/package/2006/relationships"><Relationship Type="http://schemas.openxmlformats.org/officeDocument/2006/relationships/hyperlink" Target="#'Contents'!A1" TargetMode="External" Id="rId1" /></Relationships>
</file>

<file path=xl/worksheets/_rels/sheet231.xml.rels><Relationships xmlns="http://schemas.openxmlformats.org/package/2006/relationships"><Relationship Type="http://schemas.openxmlformats.org/officeDocument/2006/relationships/hyperlink" Target="#'Contents'!A1" TargetMode="External" Id="rId1" /></Relationships>
</file>

<file path=xl/worksheets/_rels/sheet232.xml.rels><Relationships xmlns="http://schemas.openxmlformats.org/package/2006/relationships"><Relationship Type="http://schemas.openxmlformats.org/officeDocument/2006/relationships/hyperlink" Target="#'Contents'!A1" TargetMode="External" Id="rId1" /></Relationships>
</file>

<file path=xl/worksheets/_rels/sheet233.xml.rels><Relationships xmlns="http://schemas.openxmlformats.org/package/2006/relationships"><Relationship Type="http://schemas.openxmlformats.org/officeDocument/2006/relationships/hyperlink" Target="#'Contents'!A1" TargetMode="External" Id="rId1" /></Relationships>
</file>

<file path=xl/worksheets/_rels/sheet234.xml.rels><Relationships xmlns="http://schemas.openxmlformats.org/package/2006/relationships"><Relationship Type="http://schemas.openxmlformats.org/officeDocument/2006/relationships/hyperlink" Target="#'Contents'!A1" TargetMode="External" Id="rId1" /></Relationships>
</file>

<file path=xl/worksheets/_rels/sheet235.xml.rels><Relationships xmlns="http://schemas.openxmlformats.org/package/2006/relationships"><Relationship Type="http://schemas.openxmlformats.org/officeDocument/2006/relationships/hyperlink" Target="#'Contents'!A1" TargetMode="External" Id="rId1" /></Relationships>
</file>

<file path=xl/worksheets/_rels/sheet236.xml.rels><Relationships xmlns="http://schemas.openxmlformats.org/package/2006/relationships"><Relationship Type="http://schemas.openxmlformats.org/officeDocument/2006/relationships/hyperlink" Target="#'Contents'!A1" TargetMode="External" Id="rId1" /></Relationships>
</file>

<file path=xl/worksheets/_rels/sheet237.xml.rels><Relationships xmlns="http://schemas.openxmlformats.org/package/2006/relationships"><Relationship Type="http://schemas.openxmlformats.org/officeDocument/2006/relationships/hyperlink" Target="#'Contents'!A1" TargetMode="External" Id="rId1" /></Relationships>
</file>

<file path=xl/worksheets/_rels/sheet238.xml.rels><Relationships xmlns="http://schemas.openxmlformats.org/package/2006/relationships"><Relationship Type="http://schemas.openxmlformats.org/officeDocument/2006/relationships/hyperlink" Target="#'Contents'!A1" TargetMode="External" Id="rId1" /></Relationships>
</file>

<file path=xl/worksheets/_rels/sheet239.xml.rels><Relationships xmlns="http://schemas.openxmlformats.org/package/2006/relationships"><Relationship Type="http://schemas.openxmlformats.org/officeDocument/2006/relationships/hyperlink" Target="#'Contents'!A1" TargetMode="External" Id="rId1" /></Relationships>
</file>

<file path=xl/worksheets/_rels/sheet240.xml.rels><Relationships xmlns="http://schemas.openxmlformats.org/package/2006/relationships"><Relationship Type="http://schemas.openxmlformats.org/officeDocument/2006/relationships/hyperlink" Target="#'Contents'!A1" TargetMode="External" Id="rId1" /></Relationships>
</file>

<file path=xl/worksheets/_rels/sheet241.xml.rels><Relationships xmlns="http://schemas.openxmlformats.org/package/2006/relationships"><Relationship Type="http://schemas.openxmlformats.org/officeDocument/2006/relationships/hyperlink" Target="#'Contents'!A1" TargetMode="External" Id="rId1" /></Relationships>
</file>

<file path=xl/worksheets/_rels/sheet242.xml.rels><Relationships xmlns="http://schemas.openxmlformats.org/package/2006/relationships"><Relationship Type="http://schemas.openxmlformats.org/officeDocument/2006/relationships/hyperlink" Target="#'Contents'!A1" TargetMode="External" Id="rId1" /></Relationships>
</file>

<file path=xl/worksheets/_rels/sheet243.xml.rels><Relationships xmlns="http://schemas.openxmlformats.org/package/2006/relationships"><Relationship Type="http://schemas.openxmlformats.org/officeDocument/2006/relationships/hyperlink" Target="#'Contents'!A1" TargetMode="External" Id="rId1" /></Relationships>
</file>

<file path=xl/worksheets/_rels/sheet244.xml.rels><Relationships xmlns="http://schemas.openxmlformats.org/package/2006/relationships"><Relationship Type="http://schemas.openxmlformats.org/officeDocument/2006/relationships/hyperlink" Target="#'Contents'!A1" TargetMode="External" Id="rId1" /></Relationships>
</file>

<file path=xl/worksheets/_rels/sheet245.xml.rels><Relationships xmlns="http://schemas.openxmlformats.org/package/2006/relationships"><Relationship Type="http://schemas.openxmlformats.org/officeDocument/2006/relationships/hyperlink" Target="#'Contents'!A1" TargetMode="External" Id="rId1" /></Relationships>
</file>

<file path=xl/worksheets/_rels/sheet246.xml.rels><Relationships xmlns="http://schemas.openxmlformats.org/package/2006/relationships"><Relationship Type="http://schemas.openxmlformats.org/officeDocument/2006/relationships/hyperlink" Target="#'Contents'!A1" TargetMode="External" Id="rId1" /></Relationships>
</file>

<file path=xl/worksheets/_rels/sheet247.xml.rels><Relationships xmlns="http://schemas.openxmlformats.org/package/2006/relationships"><Relationship Type="http://schemas.openxmlformats.org/officeDocument/2006/relationships/hyperlink" Target="#'Contents'!A1" TargetMode="External" Id="rId1" /></Relationships>
</file>

<file path=xl/worksheets/_rels/sheet248.xml.rels><Relationships xmlns="http://schemas.openxmlformats.org/package/2006/relationships"><Relationship Type="http://schemas.openxmlformats.org/officeDocument/2006/relationships/hyperlink" Target="#'Contents'!A1" TargetMode="External" Id="rId1" /></Relationships>
</file>

<file path=xl/worksheets/_rels/sheet249.xml.rels><Relationships xmlns="http://schemas.openxmlformats.org/package/2006/relationships"><Relationship Type="http://schemas.openxmlformats.org/officeDocument/2006/relationships/hyperlink" Target="#'Contents'!A1" TargetMode="External" Id="rId1" /></Relationships>
</file>

<file path=xl/worksheets/_rels/sheet250.xml.rels><Relationships xmlns="http://schemas.openxmlformats.org/package/2006/relationships"><Relationship Type="http://schemas.openxmlformats.org/officeDocument/2006/relationships/hyperlink" Target="#'Contents'!A1" TargetMode="External" Id="rId1" /></Relationships>
</file>

<file path=xl/worksheets/_rels/sheet251.xml.rels><Relationships xmlns="http://schemas.openxmlformats.org/package/2006/relationships"><Relationship Type="http://schemas.openxmlformats.org/officeDocument/2006/relationships/hyperlink" Target="#'Contents'!A1" TargetMode="External" Id="rId1" /></Relationships>
</file>

<file path=xl/worksheets/_rels/sheet252.xml.rels><Relationships xmlns="http://schemas.openxmlformats.org/package/2006/relationships"><Relationship Type="http://schemas.openxmlformats.org/officeDocument/2006/relationships/hyperlink" Target="#'Contents'!A1" TargetMode="External" Id="rId1" /></Relationships>
</file>

<file path=xl/worksheets/_rels/sheet253.xml.rels><Relationships xmlns="http://schemas.openxmlformats.org/package/2006/relationships"><Relationship Type="http://schemas.openxmlformats.org/officeDocument/2006/relationships/hyperlink" Target="#'Contents'!A1" TargetMode="External" Id="rId1" /></Relationships>
</file>

<file path=xl/worksheets/_rels/sheet254.xml.rels><Relationships xmlns="http://schemas.openxmlformats.org/package/2006/relationships"><Relationship Type="http://schemas.openxmlformats.org/officeDocument/2006/relationships/hyperlink" Target="#'Contents'!A1" TargetMode="External" Id="rId1" /></Relationships>
</file>

<file path=xl/worksheets/_rels/sheet255.xml.rels><Relationships xmlns="http://schemas.openxmlformats.org/package/2006/relationships"><Relationship Type="http://schemas.openxmlformats.org/officeDocument/2006/relationships/hyperlink" Target="#'Contents'!A1" TargetMode="External" Id="rId1" /></Relationships>
</file>

<file path=xl/worksheets/_rels/sheet256.xml.rels><Relationships xmlns="http://schemas.openxmlformats.org/package/2006/relationships"><Relationship Type="http://schemas.openxmlformats.org/officeDocument/2006/relationships/hyperlink" Target="#'Contents'!A1" TargetMode="External" Id="rId1" /></Relationships>
</file>

<file path=xl/worksheets/_rels/sheet257.xml.rels><Relationships xmlns="http://schemas.openxmlformats.org/package/2006/relationships"><Relationship Type="http://schemas.openxmlformats.org/officeDocument/2006/relationships/hyperlink" Target="#'Contents'!A1" TargetMode="External" Id="rId1" /></Relationships>
</file>

<file path=xl/worksheets/_rels/sheet258.xml.rels><Relationships xmlns="http://schemas.openxmlformats.org/package/2006/relationships"><Relationship Type="http://schemas.openxmlformats.org/officeDocument/2006/relationships/hyperlink" Target="#'Contents'!A1" TargetMode="External" Id="rId1" /></Relationships>
</file>

<file path=xl/worksheets/_rels/sheet259.xml.rels><Relationships xmlns="http://schemas.openxmlformats.org/package/2006/relationships"><Relationship Type="http://schemas.openxmlformats.org/officeDocument/2006/relationships/hyperlink" Target="#'Contents'!A1" TargetMode="External" Id="rId1" /></Relationships>
</file>

<file path=xl/worksheets/_rels/sheet260.xml.rels><Relationships xmlns="http://schemas.openxmlformats.org/package/2006/relationships"><Relationship Type="http://schemas.openxmlformats.org/officeDocument/2006/relationships/hyperlink" Target="#'Contents'!A1" TargetMode="External" Id="rId1" /></Relationships>
</file>

<file path=xl/worksheets/_rels/sheet261.xml.rels><Relationships xmlns="http://schemas.openxmlformats.org/package/2006/relationships"><Relationship Type="http://schemas.openxmlformats.org/officeDocument/2006/relationships/hyperlink" Target="#'Contents'!A1" TargetMode="External" Id="rId1" /></Relationships>
</file>

<file path=xl/worksheets/_rels/sheet262.xml.rels><Relationships xmlns="http://schemas.openxmlformats.org/package/2006/relationships"><Relationship Type="http://schemas.openxmlformats.org/officeDocument/2006/relationships/hyperlink" Target="#'Contents'!A1" TargetMode="External" Id="rId1" /></Relationships>
</file>

<file path=xl/worksheets/_rels/sheet263.xml.rels><Relationships xmlns="http://schemas.openxmlformats.org/package/2006/relationships"><Relationship Type="http://schemas.openxmlformats.org/officeDocument/2006/relationships/hyperlink" Target="#'Contents'!A1" TargetMode="External" Id="rId1" /></Relationships>
</file>

<file path=xl/worksheets/_rels/sheet264.xml.rels><Relationships xmlns="http://schemas.openxmlformats.org/package/2006/relationships"><Relationship Type="http://schemas.openxmlformats.org/officeDocument/2006/relationships/hyperlink" Target="#'Contents'!A1" TargetMode="External" Id="rId1" /></Relationships>
</file>

<file path=xl/worksheets/_rels/sheet265.xml.rels><Relationships xmlns="http://schemas.openxmlformats.org/package/2006/relationships"><Relationship Type="http://schemas.openxmlformats.org/officeDocument/2006/relationships/hyperlink" Target="#'Contents'!A1" TargetMode="External" Id="rId1" /></Relationships>
</file>

<file path=xl/worksheets/_rels/sheet266.xml.rels><Relationships xmlns="http://schemas.openxmlformats.org/package/2006/relationships"><Relationship Type="http://schemas.openxmlformats.org/officeDocument/2006/relationships/hyperlink" Target="#'Contents'!A1" TargetMode="External" Id="rId1" /></Relationships>
</file>

<file path=xl/worksheets/_rels/sheet267.xml.rels><Relationships xmlns="http://schemas.openxmlformats.org/package/2006/relationships"><Relationship Type="http://schemas.openxmlformats.org/officeDocument/2006/relationships/hyperlink" Target="#'Contents'!A1" TargetMode="External" Id="rId1" /></Relationships>
</file>

<file path=xl/worksheets/_rels/sheet268.xml.rels><Relationships xmlns="http://schemas.openxmlformats.org/package/2006/relationships"><Relationship Type="http://schemas.openxmlformats.org/officeDocument/2006/relationships/hyperlink" Target="#'Contents'!A1" TargetMode="External" Id="rId1" /></Relationships>
</file>

<file path=xl/worksheets/_rels/sheet269.xml.rels><Relationships xmlns="http://schemas.openxmlformats.org/package/2006/relationships"><Relationship Type="http://schemas.openxmlformats.org/officeDocument/2006/relationships/hyperlink" Target="#'Contents'!A1" TargetMode="External" Id="rId1" /></Relationships>
</file>

<file path=xl/worksheets/_rels/sheet270.xml.rels><Relationships xmlns="http://schemas.openxmlformats.org/package/2006/relationships"><Relationship Type="http://schemas.openxmlformats.org/officeDocument/2006/relationships/hyperlink" Target="#'Contents'!A1" TargetMode="External" Id="rId1" /></Relationships>
</file>

<file path=xl/worksheets/_rels/sheet271.xml.rels><Relationships xmlns="http://schemas.openxmlformats.org/package/2006/relationships"><Relationship Type="http://schemas.openxmlformats.org/officeDocument/2006/relationships/hyperlink" Target="#'Contents'!A1" TargetMode="External" Id="rId1" /></Relationships>
</file>

<file path=xl/worksheets/_rels/sheet272.xml.rels><Relationships xmlns="http://schemas.openxmlformats.org/package/2006/relationships"><Relationship Type="http://schemas.openxmlformats.org/officeDocument/2006/relationships/hyperlink" Target="#'Contents'!A1" TargetMode="External" Id="rId1" /></Relationships>
</file>

<file path=xl/worksheets/_rels/sheet273.xml.rels><Relationships xmlns="http://schemas.openxmlformats.org/package/2006/relationships"><Relationship Type="http://schemas.openxmlformats.org/officeDocument/2006/relationships/hyperlink" Target="#'Contents'!A1" TargetMode="External" Id="rId1" /></Relationships>
</file>

<file path=xl/worksheets/_rels/sheet274.xml.rels><Relationships xmlns="http://schemas.openxmlformats.org/package/2006/relationships"><Relationship Type="http://schemas.openxmlformats.org/officeDocument/2006/relationships/hyperlink" Target="#'Contents'!A1" TargetMode="External" Id="rId1" /></Relationships>
</file>

<file path=xl/worksheets/_rels/sheet275.xml.rels><Relationships xmlns="http://schemas.openxmlformats.org/package/2006/relationships"><Relationship Type="http://schemas.openxmlformats.org/officeDocument/2006/relationships/hyperlink" Target="#'Contents'!A1" TargetMode="External" Id="rId1" /></Relationships>
</file>

<file path=xl/worksheets/_rels/sheet276.xml.rels><Relationships xmlns="http://schemas.openxmlformats.org/package/2006/relationships"><Relationship Type="http://schemas.openxmlformats.org/officeDocument/2006/relationships/hyperlink" Target="#'Contents'!A1" TargetMode="External" Id="rId1" /></Relationships>
</file>

<file path=xl/worksheets/_rels/sheet277.xml.rels><Relationships xmlns="http://schemas.openxmlformats.org/package/2006/relationships"><Relationship Type="http://schemas.openxmlformats.org/officeDocument/2006/relationships/hyperlink" Target="#'Contents'!A1" TargetMode="External" Id="rId1" /></Relationships>
</file>

<file path=xl/worksheets/_rels/sheet278.xml.rels><Relationships xmlns="http://schemas.openxmlformats.org/package/2006/relationships"><Relationship Type="http://schemas.openxmlformats.org/officeDocument/2006/relationships/hyperlink" Target="#'Contents'!A1" TargetMode="External" Id="rId1" /></Relationships>
</file>

<file path=xl/worksheets/_rels/sheet279.xml.rels><Relationships xmlns="http://schemas.openxmlformats.org/package/2006/relationships"><Relationship Type="http://schemas.openxmlformats.org/officeDocument/2006/relationships/hyperlink" Target="#'Contents'!A1" TargetMode="External" Id="rId1" /></Relationships>
</file>

<file path=xl/worksheets/sheet1.xml><?xml version="1.0" encoding="utf-8"?>
<worksheet xmlns="http://schemas.openxmlformats.org/spreadsheetml/2006/main">
  <sheetPr>
    <outlinePr summaryBelow="1" summaryRight="1"/>
    <pageSetUpPr/>
  </sheetPr>
  <dimension ref="A1:E283"/>
  <sheetViews>
    <sheetView workbookViewId="0">
      <selection activeCell="A1" sqref="A1"/>
    </sheetView>
  </sheetViews>
  <sheetFormatPr baseColWidth="8" defaultRowHeight="15"/>
  <cols>
    <col width="12" customWidth="1" min="1" max="1"/>
    <col width="30" customWidth="1" min="2" max="2"/>
    <col width="60" customWidth="1" min="3" max="3"/>
    <col width="14" customWidth="1" min="4" max="4"/>
    <col width="60" customWidth="1" min="5" max="5"/>
  </cols>
  <sheetData>
    <row r="1">
      <c r="A1" s="1" t="inlineStr">
        <is>
          <t>The Manchoukuo Year Book 1942 — tables</t>
        </is>
      </c>
    </row>
    <row r="2">
      <c r="A2" t="inlineStr">
        <is>
          <t>LLM-transcribed from 498 photographs of the printed volume (two-page spreads).</t>
        </is>
      </c>
    </row>
    <row r="3">
      <c r="A3" t="inlineStr">
        <is>
          <t>Warning: These tables were transcribed by the vision model of Opus 5.5. Before using any of these figures, you must verify specific statistics with the original source which is linked to whenever possible.</t>
        </is>
      </c>
    </row>
    <row r="5">
      <c r="A5" s="2" t="inlineStr">
        <is>
          <t>Sheet</t>
        </is>
      </c>
      <c r="B5" s="2" t="inlineStr">
        <is>
          <t>Chapter</t>
        </is>
      </c>
      <c r="C5" s="2" t="inlineStr">
        <is>
          <t>Table</t>
        </is>
      </c>
      <c r="D5" s="2" t="inlineStr">
        <is>
          <t>Printed pages</t>
        </is>
      </c>
      <c r="E5" s="2" t="inlineStr">
        <is>
          <t>Source</t>
        </is>
      </c>
    </row>
    <row r="6">
      <c r="A6" s="3" t="inlineStr">
        <is>
          <t>IMG_5451_1</t>
        </is>
      </c>
      <c r="B6" t="inlineStr">
        <is>
          <t>Front matter (charts)</t>
        </is>
      </c>
      <c r="C6" t="inlineStr">
        <is>
          <t>Population by Provinces</t>
        </is>
      </c>
      <c r="D6" t="inlineStr"/>
      <c r="E6" t="inlineStr"/>
    </row>
    <row r="7">
      <c r="A7" s="3" t="inlineStr">
        <is>
          <t>IMG_5451_2</t>
        </is>
      </c>
      <c r="B7" t="inlineStr">
        <is>
          <t>Front matter (charts)</t>
        </is>
      </c>
      <c r="C7" t="inlineStr">
        <is>
          <t>Japanese Investments Outstanding in Manchoukuo</t>
        </is>
      </c>
      <c r="D7" t="inlineStr"/>
      <c r="E7" t="inlineStr"/>
    </row>
    <row r="8">
      <c r="A8" s="3" t="inlineStr">
        <is>
          <t>IMG_5455_1</t>
        </is>
      </c>
      <c r="B8" t="inlineStr">
        <is>
          <t>Front matter</t>
        </is>
      </c>
      <c r="C8" t="inlineStr">
        <is>
          <t>Year Names and Equivalents</t>
        </is>
      </c>
      <c r="D8" t="inlineStr">
        <is>
          <t>[xv]</t>
        </is>
      </c>
      <c r="E8" t="inlineStr"/>
    </row>
    <row r="9">
      <c r="A9" s="3" t="inlineStr">
        <is>
          <t>IMG_5456_1</t>
        </is>
      </c>
      <c r="B9" t="inlineStr">
        <is>
          <t>Front matter</t>
        </is>
      </c>
      <c r="C9" t="inlineStr">
        <is>
          <t>Weights, Measures and Moneys</t>
        </is>
      </c>
      <c r="D9" t="inlineStr">
        <is>
          <t>[xvi]</t>
        </is>
      </c>
      <c r="E9" t="inlineStr"/>
    </row>
    <row r="10">
      <c r="A10" s="3" t="inlineStr">
        <is>
          <t>IMG_5456_2</t>
        </is>
      </c>
      <c r="B10" t="inlineStr">
        <is>
          <t>Geography and Geology</t>
        </is>
      </c>
      <c r="C10" t="inlineStr">
        <is>
          <t>Table 1. Position, Boundary and Coastline</t>
        </is>
      </c>
      <c r="D10" t="inlineStr">
        <is>
          <t>[1]</t>
        </is>
      </c>
      <c r="E10" t="inlineStr"/>
    </row>
    <row r="11">
      <c r="A11" s="3" t="inlineStr">
        <is>
          <t>IMG_5458_1</t>
        </is>
      </c>
      <c r="B11" t="inlineStr">
        <is>
          <t>Geography and Geology</t>
        </is>
      </c>
      <c r="C11" t="inlineStr">
        <is>
          <t>Table 2. Area of Manchoukuo</t>
        </is>
      </c>
      <c r="D11" t="inlineStr">
        <is>
          <t>4</t>
        </is>
      </c>
      <c r="E11" t="inlineStr"/>
    </row>
    <row r="12">
      <c r="A12" s="3" t="inlineStr">
        <is>
          <t>IMG_5460_1</t>
        </is>
      </c>
      <c r="B12" t="inlineStr">
        <is>
          <t>Geography and Geology</t>
        </is>
      </c>
      <c r="C12" t="inlineStr">
        <is>
          <t>Table 3. Principal Mountain Systems in Manchoukuo</t>
        </is>
      </c>
      <c r="D12" t="inlineStr">
        <is>
          <t>8, 9</t>
        </is>
      </c>
      <c r="E12" t="inlineStr"/>
    </row>
    <row r="13">
      <c r="A13" s="3" t="inlineStr">
        <is>
          <t>IMG_5466_1</t>
        </is>
      </c>
      <c r="B13" t="inlineStr">
        <is>
          <t>Geography and Geology</t>
        </is>
      </c>
      <c r="C13" t="inlineStr">
        <is>
          <t>Table 4. Duration of Navigation on Heilungkiang</t>
        </is>
      </c>
      <c r="D13" t="inlineStr">
        <is>
          <t>20</t>
        </is>
      </c>
      <c r="E13" t="inlineStr"/>
    </row>
    <row r="14">
      <c r="A14" s="3" t="inlineStr">
        <is>
          <t>IMG_5466_2</t>
        </is>
      </c>
      <c r="B14" t="inlineStr">
        <is>
          <t>Geography and Geology</t>
        </is>
      </c>
      <c r="C14" t="inlineStr">
        <is>
          <t>Table 5. Navigable Sections</t>
        </is>
      </c>
      <c r="D14" t="inlineStr">
        <is>
          <t>20</t>
        </is>
      </c>
      <c r="E14" t="inlineStr"/>
    </row>
    <row r="15">
      <c r="A15" s="3" t="inlineStr">
        <is>
          <t>IMG_5468_1</t>
        </is>
      </c>
      <c r="B15" t="inlineStr">
        <is>
          <t>Geography and Geology</t>
        </is>
      </c>
      <c r="C15" t="inlineStr">
        <is>
          <t>Table 6. Navigable Length of Sungari</t>
        </is>
      </c>
      <c r="D15" t="inlineStr">
        <is>
          <t>24</t>
        </is>
      </c>
      <c r="E15" t="inlineStr"/>
    </row>
    <row r="16">
      <c r="A16" s="3" t="inlineStr">
        <is>
          <t>IMG_5471_1</t>
        </is>
      </c>
      <c r="B16" t="inlineStr">
        <is>
          <t>Geography and Geology</t>
        </is>
      </c>
      <c r="C16" t="inlineStr">
        <is>
          <t>Table 7. Regular Service Route</t>
        </is>
      </c>
      <c r="D16" t="inlineStr">
        <is>
          <t>30</t>
        </is>
      </c>
      <c r="E16" t="inlineStr"/>
    </row>
    <row r="17">
      <c r="A17" s="3" t="inlineStr">
        <is>
          <t>IMG_5471_2</t>
        </is>
      </c>
      <c r="B17" t="inlineStr">
        <is>
          <t>Geography and Geology</t>
        </is>
      </c>
      <c r="C17" t="inlineStr">
        <is>
          <t>Table 8. Movement of Cargo on the Sungari</t>
        </is>
      </c>
      <c r="D17" t="inlineStr">
        <is>
          <t>31</t>
        </is>
      </c>
      <c r="E17" t="inlineStr"/>
    </row>
    <row r="18">
      <c r="A18" s="3" t="inlineStr">
        <is>
          <t>IMG_5474_1</t>
        </is>
      </c>
      <c r="B18" t="inlineStr">
        <is>
          <t>Geography and Geology</t>
        </is>
      </c>
      <c r="C18" t="inlineStr">
        <is>
          <t>Table 9. Principal River Systems</t>
        </is>
      </c>
      <c r="D18" t="inlineStr">
        <is>
          <t>37</t>
        </is>
      </c>
      <c r="E18" t="inlineStr"/>
    </row>
    <row r="19">
      <c r="A19" s="3" t="inlineStr">
        <is>
          <t>IMG_5477_1</t>
        </is>
      </c>
      <c r="B19" t="inlineStr">
        <is>
          <t>Geography and Geology</t>
        </is>
      </c>
      <c r="C19" t="inlineStr">
        <is>
          <t>Table 10. Principal Lakes</t>
        </is>
      </c>
      <c r="D19" t="inlineStr">
        <is>
          <t>43</t>
        </is>
      </c>
      <c r="E19" t="inlineStr"/>
    </row>
    <row r="20">
      <c r="A20" s="3" t="inlineStr">
        <is>
          <t>IMG_5478_1</t>
        </is>
      </c>
      <c r="B20" t="inlineStr">
        <is>
          <t>Geography and Geology</t>
        </is>
      </c>
      <c r="C20" t="inlineStr">
        <is>
          <t>Table 11. Mean Temperature in Manchoukuo</t>
        </is>
      </c>
      <c r="D20" t="inlineStr">
        <is>
          <t>44</t>
        </is>
      </c>
      <c r="E20" t="inlineStr"/>
    </row>
    <row r="21">
      <c r="A21" s="3" t="inlineStr">
        <is>
          <t>IMG_5478_2</t>
        </is>
      </c>
      <c r="B21" t="inlineStr">
        <is>
          <t>Geography and Geology</t>
        </is>
      </c>
      <c r="C21" t="inlineStr">
        <is>
          <t>Table 12. Temperature Compared with Japan</t>
        </is>
      </c>
      <c r="D21" t="inlineStr">
        <is>
          <t>45</t>
        </is>
      </c>
      <c r="E21" t="inlineStr"/>
    </row>
    <row r="22">
      <c r="A22" s="3" t="inlineStr">
        <is>
          <t>IMG_5479_1</t>
        </is>
      </c>
      <c r="B22" t="inlineStr">
        <is>
          <t>Geography and Geology</t>
        </is>
      </c>
      <c r="C22" t="inlineStr">
        <is>
          <t>Table 13. Precipitation, Snow and Frost</t>
        </is>
      </c>
      <c r="D22" t="inlineStr">
        <is>
          <t>46</t>
        </is>
      </c>
      <c r="E22" t="inlineStr"/>
    </row>
    <row r="23">
      <c r="A23" s="3" t="inlineStr">
        <is>
          <t>IMG_5479_2</t>
        </is>
      </c>
      <c r="B23" t="inlineStr">
        <is>
          <t>Geography and Geology</t>
        </is>
      </c>
      <c r="C23" t="inlineStr">
        <is>
          <t>Table 14. Monthly Precipitation Compared with Japan</t>
        </is>
      </c>
      <c r="D23" t="inlineStr">
        <is>
          <t>46, 47</t>
        </is>
      </c>
      <c r="E23" t="inlineStr"/>
    </row>
    <row r="24">
      <c r="A24" s="3" t="inlineStr">
        <is>
          <t>IMG_5479_3</t>
        </is>
      </c>
      <c r="B24" t="inlineStr">
        <is>
          <t>Geography and Geology</t>
        </is>
      </c>
      <c r="C24" t="inlineStr">
        <is>
          <t>Table 15. Sunrise and Sunset</t>
        </is>
      </c>
      <c r="D24" t="inlineStr">
        <is>
          <t>47</t>
        </is>
      </c>
      <c r="E24" t="inlineStr"/>
    </row>
    <row r="25">
      <c r="A25" s="3" t="inlineStr">
        <is>
          <t>IMG_5479_4</t>
        </is>
      </c>
      <c r="B25" t="inlineStr">
        <is>
          <t>Geography and Geology</t>
        </is>
      </c>
      <c r="C25" t="inlineStr">
        <is>
          <t>Table 16. Vertical Radiant Heat</t>
        </is>
      </c>
      <c r="D25" t="inlineStr">
        <is>
          <t>47, 48</t>
        </is>
      </c>
      <c r="E25" t="inlineStr"/>
    </row>
    <row r="26">
      <c r="A26" s="3" t="inlineStr">
        <is>
          <t>IMG_5480_1</t>
        </is>
      </c>
      <c r="B26" t="inlineStr">
        <is>
          <t>Geography and Geology</t>
        </is>
      </c>
      <c r="C26" t="inlineStr">
        <is>
          <t>Table 17. Direction of the Wind</t>
        </is>
      </c>
      <c r="D26" t="inlineStr">
        <is>
          <t>49, 50</t>
        </is>
      </c>
      <c r="E26" t="inlineStr"/>
    </row>
    <row r="27">
      <c r="A27" s="3" t="inlineStr">
        <is>
          <t>IMG_5482_1</t>
        </is>
      </c>
      <c r="B27" t="inlineStr">
        <is>
          <t>Geography and Geology</t>
        </is>
      </c>
      <c r="C27" t="inlineStr">
        <is>
          <t>Table 18. Geologic Formation of Manchuria</t>
        </is>
      </c>
      <c r="D27" t="inlineStr">
        <is>
          <t>53</t>
        </is>
      </c>
      <c r="E27" t="inlineStr"/>
    </row>
    <row r="28">
      <c r="A28" s="3" t="inlineStr">
        <is>
          <t>IMG_5483_1</t>
        </is>
      </c>
      <c r="B28" t="inlineStr">
        <is>
          <t>Geography and Geology</t>
        </is>
      </c>
      <c r="C28" t="inlineStr">
        <is>
          <t>Table 19. Geologic Formation of Mongolia</t>
        </is>
      </c>
      <c r="D28" t="inlineStr">
        <is>
          <t>54</t>
        </is>
      </c>
      <c r="E28" t="inlineStr"/>
    </row>
    <row r="29">
      <c r="A29" s="3" t="inlineStr">
        <is>
          <t>IMG_5508_1</t>
        </is>
      </c>
      <c r="B29" t="inlineStr">
        <is>
          <t>History</t>
        </is>
      </c>
      <c r="C29" t="inlineStr">
        <is>
          <t>Chronology of Important Events</t>
        </is>
      </c>
      <c r="D29" t="inlineStr">
        <is>
          <t>105, 106, 107, 108, 109, 110, 111, 112, 113, 114, 115, 116</t>
        </is>
      </c>
      <c r="E29" t="inlineStr"/>
    </row>
    <row r="30">
      <c r="A30" s="3" t="inlineStr">
        <is>
          <t>IMG_5514_1</t>
        </is>
      </c>
      <c r="B30" t="inlineStr">
        <is>
          <t>Population and Races</t>
        </is>
      </c>
      <c r="C30" t="inlineStr">
        <is>
          <t>Table 1. Yearly Comparison of Population</t>
        </is>
      </c>
      <c r="D30" t="inlineStr">
        <is>
          <t>117</t>
        </is>
      </c>
      <c r="E30" t="inlineStr"/>
    </row>
    <row r="31">
      <c r="A31" s="3" t="inlineStr">
        <is>
          <t>IMG_5515_1</t>
        </is>
      </c>
      <c r="B31" t="inlineStr">
        <is>
          <t>Population and Races</t>
        </is>
      </c>
      <c r="C31" t="inlineStr">
        <is>
          <t>Table 2. Population by Provinces</t>
        </is>
      </c>
      <c r="D31" t="inlineStr">
        <is>
          <t>119</t>
        </is>
      </c>
      <c r="E31" t="inlineStr"/>
    </row>
    <row r="32">
      <c r="A32" s="3" t="inlineStr">
        <is>
          <t>IMG_5515_2</t>
        </is>
      </c>
      <c r="B32" t="inlineStr">
        <is>
          <t>Population and Races</t>
        </is>
      </c>
      <c r="C32" t="inlineStr">
        <is>
          <t>Table 3. Census Population by Cities</t>
        </is>
      </c>
      <c r="D32" t="inlineStr">
        <is>
          <t>119, 120</t>
        </is>
      </c>
      <c r="E32" t="inlineStr"/>
    </row>
    <row r="33">
      <c r="A33" s="3" t="inlineStr">
        <is>
          <t>IMG_5516_1</t>
        </is>
      </c>
      <c r="B33" t="inlineStr">
        <is>
          <t>Population and Races</t>
        </is>
      </c>
      <c r="C33" t="inlineStr">
        <is>
          <t>Table 4. Population Classified by Occupations</t>
        </is>
      </c>
      <c r="D33" t="inlineStr">
        <is>
          <t>120</t>
        </is>
      </c>
      <c r="E33" t="inlineStr"/>
    </row>
    <row r="34">
      <c r="A34" s="3" t="inlineStr">
        <is>
          <t>IMG_5516_2</t>
        </is>
      </c>
      <c r="B34" t="inlineStr">
        <is>
          <t>Population and Races</t>
        </is>
      </c>
      <c r="C34" t="inlineStr">
        <is>
          <t>Table 5. Manchoukuoans Classified by Races</t>
        </is>
      </c>
      <c r="D34" t="inlineStr">
        <is>
          <t>120, 121</t>
        </is>
      </c>
      <c r="E34" t="inlineStr"/>
    </row>
    <row r="35">
      <c r="A35" s="3" t="inlineStr">
        <is>
          <t>IMG_5517_1</t>
        </is>
      </c>
      <c r="B35" t="inlineStr">
        <is>
          <t>Population and Races</t>
        </is>
      </c>
      <c r="C35" t="inlineStr">
        <is>
          <t>Table 6. Population by Races in Manchoukuo</t>
        </is>
      </c>
      <c r="D35" t="inlineStr">
        <is>
          <t>122</t>
        </is>
      </c>
      <c r="E35" t="inlineStr"/>
    </row>
    <row r="36">
      <c r="A36" s="3" t="inlineStr">
        <is>
          <t>IMG_5531_1</t>
        </is>
      </c>
      <c r="B36" t="inlineStr">
        <is>
          <t>State Administration</t>
        </is>
      </c>
      <c r="C36" t="inlineStr">
        <is>
          <t>Table 1. No. of Decorations Granted Classified</t>
        </is>
      </c>
      <c r="D36" t="inlineStr">
        <is>
          <t>147, 148</t>
        </is>
      </c>
      <c r="E36" t="inlineStr"/>
    </row>
    <row r="37">
      <c r="A37" s="3" t="inlineStr">
        <is>
          <t>IMG_5532_1</t>
        </is>
      </c>
      <c r="B37" t="inlineStr">
        <is>
          <t>State Administration</t>
        </is>
      </c>
      <c r="C37" t="inlineStr">
        <is>
          <t>Table 2. Scale of Salary of Civil Officials</t>
        </is>
      </c>
      <c r="D37" t="inlineStr">
        <is>
          <t>148</t>
        </is>
      </c>
      <c r="E37" t="inlineStr"/>
    </row>
    <row r="38">
      <c r="A38" s="3" t="inlineStr">
        <is>
          <t>IMG_5532_2</t>
        </is>
      </c>
      <c r="B38" t="inlineStr">
        <is>
          <t>State Administration</t>
        </is>
      </c>
      <c r="C38" t="inlineStr">
        <is>
          <t>Table 3. No. of Civil Officials</t>
        </is>
      </c>
      <c r="D38" t="inlineStr">
        <is>
          <t>149</t>
        </is>
      </c>
      <c r="E38" t="inlineStr"/>
    </row>
    <row r="39">
      <c r="A39" s="3" t="inlineStr">
        <is>
          <t>IMG_5534_1</t>
        </is>
      </c>
      <c r="B39" t="inlineStr">
        <is>
          <t>State Administration</t>
        </is>
      </c>
      <c r="C39" t="inlineStr">
        <is>
          <t>Table 4. List of Provinces, Cities, Prefectures and Banners</t>
        </is>
      </c>
      <c r="D39" t="inlineStr">
        <is>
          <t>153, 154, 155, 156</t>
        </is>
      </c>
      <c r="E39" t="inlineStr"/>
    </row>
    <row r="40">
      <c r="A40" s="3" t="inlineStr">
        <is>
          <t>IMG_5539_1</t>
        </is>
      </c>
      <c r="B40" t="inlineStr">
        <is>
          <t>State Administration</t>
        </is>
      </c>
      <c r="C40" t="inlineStr">
        <is>
          <t>Table 5. Occupants of Leading Manchoukuo Government Posts</t>
        </is>
      </c>
      <c r="D40" t="inlineStr">
        <is>
          <t>163, 164</t>
        </is>
      </c>
      <c r="E40" t="inlineStr"/>
    </row>
    <row r="41">
      <c r="A41" s="3" t="inlineStr">
        <is>
          <t>IMG_5548_1</t>
        </is>
      </c>
      <c r="B41" t="inlineStr">
        <is>
          <t>Basic Economic Policy</t>
        </is>
      </c>
      <c r="C41" t="inlineStr">
        <is>
          <t>Estimated Capital Outlay for Original and Revised Five-Year Industrial Plan, 1937-1941</t>
        </is>
      </c>
      <c r="D41" t="inlineStr">
        <is>
          <t>181</t>
        </is>
      </c>
      <c r="E41" t="inlineStr"/>
    </row>
    <row r="42">
      <c r="A42" s="3" t="inlineStr">
        <is>
          <t>IMG_5549_1</t>
        </is>
      </c>
      <c r="B42" t="inlineStr">
        <is>
          <t>Basic Economic Policy</t>
        </is>
      </c>
      <c r="C42" t="inlineStr">
        <is>
          <t>Estimated Annual Production in Closing Year of Original and Revised 5-Year Industrial Plans, 1937-1941</t>
        </is>
      </c>
      <c r="D42" t="inlineStr">
        <is>
          <t>182</t>
        </is>
      </c>
      <c r="E42" t="inlineStr"/>
    </row>
    <row r="43">
      <c r="A43" s="3" t="inlineStr">
        <is>
          <t>IMG_5560_1</t>
        </is>
      </c>
      <c r="B43" t="inlineStr">
        <is>
          <t>State Finance</t>
        </is>
      </c>
      <c r="C43" t="inlineStr">
        <is>
          <t>Table 1. Yearly Comparison of State Finance</t>
        </is>
      </c>
      <c r="D43" t="inlineStr">
        <is>
          <t>205, 206</t>
        </is>
      </c>
      <c r="E43" t="inlineStr"/>
    </row>
    <row r="44">
      <c r="A44" s="3" t="inlineStr">
        <is>
          <t>IMG_5561_1</t>
        </is>
      </c>
      <c r="B44" t="inlineStr">
        <is>
          <t>State Finance</t>
        </is>
      </c>
      <c r="C44" t="inlineStr">
        <is>
          <t>Table 2. State Revenues Classified</t>
        </is>
      </c>
      <c r="D44" t="inlineStr">
        <is>
          <t>206, 207, 208</t>
        </is>
      </c>
      <c r="E44" t="inlineStr"/>
    </row>
    <row r="45">
      <c r="A45" s="3" t="inlineStr">
        <is>
          <t>IMG_5562_1</t>
        </is>
      </c>
      <c r="B45" t="inlineStr">
        <is>
          <t>State Finance</t>
        </is>
      </c>
      <c r="C45" t="inlineStr">
        <is>
          <t>Table 3. State Expenditures Classified</t>
        </is>
      </c>
      <c r="D45" t="inlineStr">
        <is>
          <t>208, 209, 210</t>
        </is>
      </c>
      <c r="E45" t="inlineStr"/>
    </row>
    <row r="46">
      <c r="A46" s="3" t="inlineStr">
        <is>
          <t>IMG_5563_1</t>
        </is>
      </c>
      <c r="B46" t="inlineStr">
        <is>
          <t>State Finance</t>
        </is>
      </c>
      <c r="C46" t="inlineStr">
        <is>
          <t>Table 4. National Loans &amp; Borrowings Outstanding</t>
        </is>
      </c>
      <c r="D46" t="inlineStr">
        <is>
          <t>211</t>
        </is>
      </c>
      <c r="E46" t="inlineStr"/>
    </row>
    <row r="47">
      <c r="A47" s="3" t="inlineStr">
        <is>
          <t>IMG_5563_2</t>
        </is>
      </c>
      <c r="B47" t="inlineStr">
        <is>
          <t>State Finance</t>
        </is>
      </c>
      <c r="C47" t="inlineStr">
        <is>
          <t>Table 5. Details of Outstanding National Loans</t>
        </is>
      </c>
      <c r="D47" t="inlineStr">
        <is>
          <t>211, 212</t>
        </is>
      </c>
      <c r="E47" t="inlineStr"/>
    </row>
    <row r="48">
      <c r="A48" s="3" t="inlineStr">
        <is>
          <t>IMG_5570_1</t>
        </is>
      </c>
      <c r="B48" t="inlineStr">
        <is>
          <t>State Finance</t>
        </is>
      </c>
      <c r="C48" t="inlineStr">
        <is>
          <t>Table 7. Revenue from Customs</t>
        </is>
      </c>
      <c r="D48" t="inlineStr">
        <is>
          <t>225</t>
        </is>
      </c>
      <c r="E48" t="inlineStr"/>
    </row>
    <row r="49">
      <c r="A49" s="3" t="inlineStr">
        <is>
          <t>IMG_5580_1</t>
        </is>
      </c>
      <c r="B49" t="inlineStr">
        <is>
          <t>Banking and Currency</t>
        </is>
      </c>
      <c r="C49" t="inlineStr">
        <is>
          <t>Table 1. Deposits &amp; Loans of Financing Organs in Manchoukuo</t>
        </is>
      </c>
      <c r="D49" t="inlineStr">
        <is>
          <t>242, 243</t>
        </is>
      </c>
      <c r="E49" t="inlineStr"/>
    </row>
    <row r="50">
      <c r="A50" s="3" t="inlineStr">
        <is>
          <t>IMG_5580_2</t>
        </is>
      </c>
      <c r="B50" t="inlineStr">
        <is>
          <t>Banking and Currency</t>
        </is>
      </c>
      <c r="C50" t="inlineStr">
        <is>
          <t>Table 2. Statistics of Banks in Principal Cities</t>
        </is>
      </c>
      <c r="D50" t="inlineStr">
        <is>
          <t>243</t>
        </is>
      </c>
      <c r="E50" t="inlineStr"/>
    </row>
    <row r="51">
      <c r="A51" s="3" t="inlineStr">
        <is>
          <t>IMG_5581_1</t>
        </is>
      </c>
      <c r="B51" t="inlineStr">
        <is>
          <t>Banking and Currency</t>
        </is>
      </c>
      <c r="C51" t="inlineStr">
        <is>
          <t>Table 3. Principal Accounts of the Central Bank of Manchou</t>
        </is>
      </c>
      <c r="D51" t="inlineStr">
        <is>
          <t>244, 245</t>
        </is>
      </c>
      <c r="E51" t="inlineStr"/>
    </row>
    <row r="52">
      <c r="A52" s="3" t="inlineStr">
        <is>
          <t>IMG_5581_2</t>
        </is>
      </c>
      <c r="B52" t="inlineStr">
        <is>
          <t>Banking and Currency</t>
        </is>
      </c>
      <c r="C52" t="inlineStr">
        <is>
          <t>Table 4. Interest Rates at the Central Bank of Manchou</t>
        </is>
      </c>
      <c r="D52" t="inlineStr">
        <is>
          <t>245, 246</t>
        </is>
      </c>
      <c r="E52" t="inlineStr"/>
    </row>
    <row r="53">
      <c r="A53" s="3" t="inlineStr">
        <is>
          <t>IMG_5582_1</t>
        </is>
      </c>
      <c r="B53" t="inlineStr">
        <is>
          <t>Banking and Currency</t>
        </is>
      </c>
      <c r="C53" t="inlineStr">
        <is>
          <t>Table 5. Principal Accounts of the Industrial Bank of Manchou</t>
        </is>
      </c>
      <c r="D53" t="inlineStr">
        <is>
          <t>247</t>
        </is>
      </c>
      <c r="E53" t="inlineStr"/>
    </row>
    <row r="54">
      <c r="A54" s="3" t="inlineStr">
        <is>
          <t>IMG_5583_1</t>
        </is>
      </c>
      <c r="B54" t="inlineStr">
        <is>
          <t>Banking and Currency</t>
        </is>
      </c>
      <c r="C54" t="inlineStr">
        <is>
          <t>Table 6. Principal Banks in Manchoukuo</t>
        </is>
      </c>
      <c r="D54" t="inlineStr">
        <is>
          <t>248</t>
        </is>
      </c>
      <c r="E54" t="inlineStr"/>
    </row>
    <row r="55">
      <c r="A55" s="3" t="inlineStr">
        <is>
          <t>IMG_5583_2</t>
        </is>
      </c>
      <c r="B55" t="inlineStr">
        <is>
          <t>Banking and Currency</t>
        </is>
      </c>
      <c r="C55" t="inlineStr">
        <is>
          <t>Table 7. Other Financial Organs</t>
        </is>
      </c>
      <c r="D55" t="inlineStr">
        <is>
          <t>249</t>
        </is>
      </c>
      <c r="E55" t="inlineStr"/>
    </row>
    <row r="56">
      <c r="A56" s="3" t="inlineStr">
        <is>
          <t>IMG_5584_1</t>
        </is>
      </c>
      <c r="B56" t="inlineStr">
        <is>
          <t>Banking and Currency</t>
        </is>
      </c>
      <c r="C56" t="inlineStr">
        <is>
          <t>Table 8. Loans Classified by Purposes</t>
        </is>
      </c>
      <c r="D56" t="inlineStr">
        <is>
          <t>250</t>
        </is>
      </c>
      <c r="E56" t="inlineStr"/>
    </row>
    <row r="57">
      <c r="A57" s="3" t="inlineStr">
        <is>
          <t>IMG_5584_2</t>
        </is>
      </c>
      <c r="B57" t="inlineStr">
        <is>
          <t>Banking and Currency</t>
        </is>
      </c>
      <c r="C57" t="inlineStr">
        <is>
          <t>Table 9. No. of Monetary Organs</t>
        </is>
      </c>
      <c r="D57" t="inlineStr">
        <is>
          <t>251</t>
        </is>
      </c>
      <c r="E57" t="inlineStr"/>
    </row>
    <row r="58">
      <c r="A58" s="3" t="inlineStr">
        <is>
          <t>IMG_5585_1</t>
        </is>
      </c>
      <c r="B58" t="inlineStr">
        <is>
          <t>Banking and Currency</t>
        </is>
      </c>
      <c r="C58" t="inlineStr">
        <is>
          <t>Table 10. Statistics of Postal Savings</t>
        </is>
      </c>
      <c r="D58" t="inlineStr">
        <is>
          <t>252</t>
        </is>
      </c>
      <c r="E58" t="inlineStr"/>
    </row>
    <row r="59">
      <c r="A59" s="3" t="inlineStr">
        <is>
          <t>IMG_5585_2</t>
        </is>
      </c>
      <c r="B59" t="inlineStr">
        <is>
          <t>Banking and Currency</t>
        </is>
      </c>
      <c r="C59" t="inlineStr">
        <is>
          <t>Table 11. Statistics of Postal Money Orders</t>
        </is>
      </c>
      <c r="D59" t="inlineStr">
        <is>
          <t>252</t>
        </is>
      </c>
      <c r="E59" t="inlineStr"/>
    </row>
    <row r="60">
      <c r="A60" s="3" t="inlineStr">
        <is>
          <t>IMG_5586_1</t>
        </is>
      </c>
      <c r="B60" t="inlineStr">
        <is>
          <t>Banking and Currency</t>
        </is>
      </c>
      <c r="C60" t="inlineStr">
        <is>
          <t>Table 12. Manchoukuo Yuan Foreign Exchange Rates</t>
        </is>
      </c>
      <c r="D60" t="inlineStr">
        <is>
          <t>254, 255</t>
        </is>
      </c>
      <c r="E60" t="inlineStr"/>
    </row>
    <row r="61">
      <c r="A61" s="3" t="inlineStr">
        <is>
          <t>IMG_5586_2</t>
        </is>
      </c>
      <c r="B61" t="inlineStr">
        <is>
          <t>Banking and Currency</t>
        </is>
      </c>
      <c r="C61" t="inlineStr">
        <is>
          <t>Table 13. Amount of Bills Cleared at Clearing Houses</t>
        </is>
      </c>
      <c r="D61" t="inlineStr">
        <is>
          <t>255</t>
        </is>
      </c>
      <c r="E61" t="inlineStr"/>
    </row>
    <row r="62">
      <c r="A62" s="3" t="inlineStr">
        <is>
          <t>IMG_5588_1</t>
        </is>
      </c>
      <c r="B62" t="inlineStr">
        <is>
          <t>Banking and Currency</t>
        </is>
      </c>
      <c r="C62" t="inlineStr">
        <is>
          <t>Table 14. Notes Issued and Amount of Reserves of the Central Bank of Manchou</t>
        </is>
      </c>
      <c r="D62" t="inlineStr">
        <is>
          <t>259</t>
        </is>
      </c>
      <c r="E62" t="inlineStr"/>
    </row>
    <row r="63">
      <c r="A63" s="3" t="inlineStr">
        <is>
          <t>IMG_5588_2</t>
        </is>
      </c>
      <c r="B63" t="inlineStr">
        <is>
          <t>Banking and Currency</t>
        </is>
      </c>
      <c r="C63" t="inlineStr">
        <is>
          <t>Table 15. Amount of Gold Purchased by the Central Bank of Manchou</t>
        </is>
      </c>
      <c r="D63" t="inlineStr">
        <is>
          <t>259</t>
        </is>
      </c>
      <c r="E63" t="inlineStr"/>
    </row>
    <row r="64">
      <c r="A64" s="3" t="inlineStr">
        <is>
          <t>IMG_5588_3</t>
        </is>
      </c>
      <c r="B64" t="inlineStr">
        <is>
          <t>Banking and Currency</t>
        </is>
      </c>
      <c r="C64" t="inlineStr">
        <is>
          <t>Table 16. Gold Purchase Rate of Central Bank of Manchou</t>
        </is>
      </c>
      <c r="D64" t="inlineStr">
        <is>
          <t>259</t>
        </is>
      </c>
      <c r="E64" t="inlineStr"/>
    </row>
    <row r="65">
      <c r="A65" s="3" t="inlineStr">
        <is>
          <t>IMG_5589_1</t>
        </is>
      </c>
      <c r="B65" t="inlineStr">
        <is>
          <t>Banking and Currency</t>
        </is>
      </c>
      <c r="C65" t="inlineStr">
        <is>
          <t>Table 17. Statistics of Insurance Business</t>
        </is>
      </c>
      <c r="D65" t="inlineStr">
        <is>
          <t>260, 261</t>
        </is>
      </c>
      <c r="E65" t="inlineStr"/>
    </row>
    <row r="66">
      <c r="A66" s="3" t="inlineStr">
        <is>
          <t>IMG_5591_1</t>
        </is>
      </c>
      <c r="B66" t="inlineStr">
        <is>
          <t>Banking and Currency</t>
        </is>
      </c>
      <c r="C66" t="inlineStr">
        <is>
          <t>[Capital subscription of the Manchuria Fire and Marine Insurance Company]</t>
        </is>
      </c>
      <c r="D66" t="inlineStr">
        <is>
          <t>264</t>
        </is>
      </c>
      <c r="E66" t="inlineStr"/>
    </row>
    <row r="67">
      <c r="A67" s="3" t="inlineStr">
        <is>
          <t>IMG_5592_1</t>
        </is>
      </c>
      <c r="B67" t="inlineStr">
        <is>
          <t>Commerce</t>
        </is>
      </c>
      <c r="C67" t="inlineStr">
        <is>
          <t>Table 1. No. of Chamber of Commerce and Industry</t>
        </is>
      </c>
      <c r="D67" t="inlineStr">
        <is>
          <t>267</t>
        </is>
      </c>
      <c r="E67" t="inlineStr"/>
    </row>
    <row r="68">
      <c r="A68" s="3" t="inlineStr">
        <is>
          <t>IMG_5593_1</t>
        </is>
      </c>
      <c r="B68" t="inlineStr">
        <is>
          <t>Commerce</t>
        </is>
      </c>
      <c r="C68" t="inlineStr">
        <is>
          <t>Table 2. Condition of Import Guilds</t>
        </is>
      </c>
      <c r="D68" t="inlineStr">
        <is>
          <t>268</t>
        </is>
      </c>
      <c r="E68" t="inlineStr"/>
    </row>
    <row r="69">
      <c r="A69" s="3" t="inlineStr">
        <is>
          <t>IMG_5594_1</t>
        </is>
      </c>
      <c r="B69" t="inlineStr">
        <is>
          <t>Commerce</t>
        </is>
      </c>
      <c r="C69" t="inlineStr">
        <is>
          <t>Table 3. International Comparison of Wholesale Prices</t>
        </is>
      </c>
      <c r="D69" t="inlineStr">
        <is>
          <t>271</t>
        </is>
      </c>
      <c r="E69" t="inlineStr"/>
    </row>
    <row r="70">
      <c r="A70" s="3" t="inlineStr">
        <is>
          <t>IMG_5595_1</t>
        </is>
      </c>
      <c r="B70" t="inlineStr">
        <is>
          <t>Commerce</t>
        </is>
      </c>
      <c r="C70" t="inlineStr">
        <is>
          <t>Table 4. Wholesale Commodity Price Indices in Hsinking</t>
        </is>
      </c>
      <c r="D70" t="inlineStr">
        <is>
          <t>272</t>
        </is>
      </c>
      <c r="E70" t="inlineStr"/>
    </row>
    <row r="71">
      <c r="A71" s="3" t="inlineStr">
        <is>
          <t>IMG_5595_2</t>
        </is>
      </c>
      <c r="B71" t="inlineStr">
        <is>
          <t>Commerce</t>
        </is>
      </c>
      <c r="C71" t="inlineStr">
        <is>
          <t>Table 5. Wholesale Prices of Principal Staple Commodities in Hsinking</t>
        </is>
      </c>
      <c r="D71" t="inlineStr">
        <is>
          <t>272, 273</t>
        </is>
      </c>
      <c r="E71" t="inlineStr"/>
    </row>
    <row r="72">
      <c r="A72" s="3" t="inlineStr">
        <is>
          <t>IMG_5596_1</t>
        </is>
      </c>
      <c r="B72" t="inlineStr">
        <is>
          <t>Commerce</t>
        </is>
      </c>
      <c r="C72" t="inlineStr">
        <is>
          <t>Table 6. Movements of Paid-up Capital</t>
        </is>
      </c>
      <c r="D72" t="inlineStr">
        <is>
          <t>274</t>
        </is>
      </c>
      <c r="E72" t="inlineStr"/>
    </row>
    <row r="73">
      <c r="A73" s="3" t="inlineStr">
        <is>
          <t>IMG_5596_2</t>
        </is>
      </c>
      <c r="B73" t="inlineStr">
        <is>
          <t>Commerce</t>
        </is>
      </c>
      <c r="C73" t="inlineStr">
        <is>
          <t>Table 7. Companies Classified by Industries</t>
        </is>
      </c>
      <c r="D73" t="inlineStr">
        <is>
          <t>274, 275, 276</t>
        </is>
      </c>
      <c r="E73" t="inlineStr"/>
    </row>
    <row r="74">
      <c r="A74" s="3" t="inlineStr">
        <is>
          <t>IMG_5597_1</t>
        </is>
      </c>
      <c r="B74" t="inlineStr">
        <is>
          <t>Commerce</t>
        </is>
      </c>
      <c r="C74" t="inlineStr">
        <is>
          <t>Table 8. No. of Patent Right, Utility Model and Trade Marks Registered</t>
        </is>
      </c>
      <c r="D74" t="inlineStr">
        <is>
          <t>276, 277</t>
        </is>
      </c>
      <c r="E74" t="inlineStr"/>
    </row>
    <row r="75">
      <c r="A75" s="3" t="inlineStr">
        <is>
          <t>IMG_5599_1</t>
        </is>
      </c>
      <c r="B75" t="inlineStr">
        <is>
          <t>Commerce</t>
        </is>
      </c>
      <c r="C75" t="inlineStr">
        <is>
          <t>[Revised Five-Year Industrial Program: production goals]</t>
        </is>
      </c>
      <c r="D75" t="inlineStr">
        <is>
          <t>281, 282</t>
        </is>
      </c>
      <c r="E75" t="inlineStr"/>
    </row>
    <row r="76">
      <c r="A76" s="3" t="inlineStr">
        <is>
          <t>IMG_5604_1</t>
        </is>
      </c>
      <c r="B76" t="inlineStr">
        <is>
          <t>Commerce</t>
        </is>
      </c>
      <c r="C76" t="inlineStr">
        <is>
          <t>Table 10. Principal Japanese Investments Since 1932</t>
        </is>
      </c>
      <c r="D76" t="inlineStr">
        <is>
          <t>290, 291</t>
        </is>
      </c>
      <c r="E76" t="inlineStr"/>
    </row>
    <row r="77">
      <c r="A77" s="3" t="inlineStr">
        <is>
          <t>IMG_5605_1</t>
        </is>
      </c>
      <c r="B77" t="inlineStr">
        <is>
          <t>Commerce</t>
        </is>
      </c>
      <c r="C77" t="inlineStr">
        <is>
          <t>Table 11. Disposal of Japanese Investments</t>
        </is>
      </c>
      <c r="D77" t="inlineStr">
        <is>
          <t>293</t>
        </is>
      </c>
      <c r="E77" t="inlineStr"/>
    </row>
    <row r="78">
      <c r="A78" s="3" t="inlineStr">
        <is>
          <t>IMG_5605_2</t>
        </is>
      </c>
      <c r="B78" t="inlineStr">
        <is>
          <t>Commerce</t>
        </is>
      </c>
      <c r="C78" t="inlineStr">
        <is>
          <t>Table 12. Foreign Investments in Manchuria by Countries (1928)</t>
        </is>
      </c>
      <c r="D78" t="inlineStr">
        <is>
          <t>293</t>
        </is>
      </c>
      <c r="E78" t="inlineStr"/>
    </row>
    <row r="79">
      <c r="A79" s="3" t="inlineStr">
        <is>
          <t>IMG_5606_1</t>
        </is>
      </c>
      <c r="B79" t="inlineStr">
        <is>
          <t>Commerce</t>
        </is>
      </c>
      <c r="C79" t="inlineStr">
        <is>
          <t>Table 13. Financial Condition of Manchuria Industrial Development Corporation</t>
        </is>
      </c>
      <c r="D79" t="inlineStr">
        <is>
          <t>295, 296</t>
        </is>
      </c>
      <c r="E79" t="inlineStr"/>
    </row>
    <row r="80">
      <c r="A80" s="3" t="inlineStr">
        <is>
          <t>IMG_5607_2</t>
        </is>
      </c>
      <c r="B80" t="inlineStr">
        <is>
          <t>Commerce</t>
        </is>
      </c>
      <c r="C80" t="inlineStr">
        <is>
          <t>Table 14. Balance Sheet of Manchuria Industrial Development Corp.</t>
        </is>
      </c>
      <c r="D80" t="inlineStr">
        <is>
          <t>296, 297</t>
        </is>
      </c>
      <c r="E80" t="inlineStr"/>
    </row>
    <row r="81">
      <c r="A81" s="3" t="inlineStr">
        <is>
          <t>IMG_5607_3</t>
        </is>
      </c>
      <c r="B81" t="inlineStr">
        <is>
          <t>Commerce</t>
        </is>
      </c>
      <c r="C81" t="inlineStr">
        <is>
          <t>Table 15. Securities Owned by Manchuria Industrial Development Corporation Classified</t>
        </is>
      </c>
      <c r="D81" t="inlineStr">
        <is>
          <t>297, 298</t>
        </is>
      </c>
      <c r="E81" t="inlineStr"/>
    </row>
    <row r="82">
      <c r="A82" s="3" t="inlineStr">
        <is>
          <t>IMG_5615_1</t>
        </is>
      </c>
      <c r="B82" t="inlineStr">
        <is>
          <t>Foreign Trade</t>
        </is>
      </c>
      <c r="C82" t="inlineStr">
        <is>
          <t>Table 1. Gross Foreign Trade of Manchoukuo</t>
        </is>
      </c>
      <c r="D82" t="inlineStr">
        <is>
          <t>313</t>
        </is>
      </c>
      <c r="E82" t="inlineStr"/>
    </row>
    <row r="83">
      <c r="A83" s="3" t="inlineStr">
        <is>
          <t>IMG_5615_2</t>
        </is>
      </c>
      <c r="B83" t="inlineStr">
        <is>
          <t>Foreign Trade</t>
        </is>
      </c>
      <c r="C83" t="inlineStr">
        <is>
          <t>Table 2. Value Percentage of Exports &amp; Imports of Merchandise by Countries and by Categories</t>
        </is>
      </c>
      <c r="D83" t="inlineStr">
        <is>
          <t>313, 314, 315</t>
        </is>
      </c>
      <c r="E83" t="inlineStr"/>
    </row>
    <row r="84">
      <c r="A84" s="3" t="inlineStr">
        <is>
          <t>IMG_5617_1</t>
        </is>
      </c>
      <c r="B84" t="inlineStr">
        <is>
          <t>Foreign Trade</t>
        </is>
      </c>
      <c r="C84" t="inlineStr">
        <is>
          <t>Table 3. Manchoukuo's Foreign Trade Classified by Principal Countries</t>
        </is>
      </c>
      <c r="D84" t="inlineStr">
        <is>
          <t>316</t>
        </is>
      </c>
      <c r="E84" t="inlineStr"/>
    </row>
    <row r="85">
      <c r="A85" s="3" t="inlineStr">
        <is>
          <t>IMG_5618_1</t>
        </is>
      </c>
      <c r="B85" t="inlineStr">
        <is>
          <t>Foreign Trade</t>
        </is>
      </c>
      <c r="C85" t="inlineStr">
        <is>
          <t>Table 4. Volume of Principal Articles Exported and Imported</t>
        </is>
      </c>
      <c r="D85" t="inlineStr">
        <is>
          <t>318, 319</t>
        </is>
      </c>
      <c r="E85" t="inlineStr"/>
    </row>
    <row r="86">
      <c r="A86" s="3" t="inlineStr">
        <is>
          <t>IMG_5618_2</t>
        </is>
      </c>
      <c r="B86" t="inlineStr">
        <is>
          <t>Foreign Trade</t>
        </is>
      </c>
      <c r="C86" t="inlineStr">
        <is>
          <t>Table 8. International Balance of Payments</t>
        </is>
      </c>
      <c r="D86" t="inlineStr">
        <is>
          <t>319, 320</t>
        </is>
      </c>
      <c r="E86" t="inlineStr"/>
    </row>
    <row r="87">
      <c r="A87" s="3" t="inlineStr">
        <is>
          <t>IMG_5619_1</t>
        </is>
      </c>
      <c r="B87" t="inlineStr">
        <is>
          <t>Foreign Trade</t>
        </is>
      </c>
      <c r="C87" t="inlineStr">
        <is>
          <t>Table 5. Commerce by Principal Customs Districts</t>
        </is>
      </c>
      <c r="D87" t="inlineStr">
        <is>
          <t>321</t>
        </is>
      </c>
      <c r="E87" t="inlineStr"/>
    </row>
    <row r="88">
      <c r="A88" s="3" t="inlineStr">
        <is>
          <t>IMG_5619_2</t>
        </is>
      </c>
      <c r="B88" t="inlineStr">
        <is>
          <t>Foreign Trade</t>
        </is>
      </c>
      <c r="C88" t="inlineStr">
        <is>
          <t>Table 9. Vessels Entered and Cleared by Flags</t>
        </is>
      </c>
      <c r="D88" t="inlineStr">
        <is>
          <t>321, 322</t>
        </is>
      </c>
      <c r="E88" t="inlineStr"/>
    </row>
    <row r="89">
      <c r="A89" s="3" t="inlineStr">
        <is>
          <t>IMG_5622_1</t>
        </is>
      </c>
      <c r="B89" t="inlineStr">
        <is>
          <t>Foreign Trade</t>
        </is>
      </c>
      <c r="C89" t="inlineStr">
        <is>
          <t>Table 6. Exports of Principal Commodities</t>
        </is>
      </c>
      <c r="D89" t="inlineStr">
        <is>
          <t>326, 327, 328, 329, 330</t>
        </is>
      </c>
      <c r="E89" t="inlineStr"/>
    </row>
    <row r="90">
      <c r="A90" s="3" t="inlineStr">
        <is>
          <t>IMG_5624_1</t>
        </is>
      </c>
      <c r="B90" t="inlineStr">
        <is>
          <t>Foreign Trade</t>
        </is>
      </c>
      <c r="C90" t="inlineStr">
        <is>
          <t>Table 7. Imports of Principal Commodities</t>
        </is>
      </c>
      <c r="D90" t="inlineStr">
        <is>
          <t>330, 331, 332, 333, 334, 335, 336</t>
        </is>
      </c>
      <c r="E90" t="inlineStr"/>
    </row>
    <row r="91">
      <c r="A91" s="3" t="inlineStr">
        <is>
          <t>IMG_5628_1</t>
        </is>
      </c>
      <c r="B91" t="inlineStr">
        <is>
          <t>Peace Preservation</t>
        </is>
      </c>
      <c r="C91" t="inlineStr">
        <is>
          <t>Table 1. Military Educational Organs</t>
        </is>
      </c>
      <c r="D91" t="inlineStr">
        <is>
          <t>338</t>
        </is>
      </c>
      <c r="E91" t="inlineStr"/>
    </row>
    <row r="92">
      <c r="A92" s="3" t="inlineStr">
        <is>
          <t>IMG_5628_2</t>
        </is>
      </c>
      <c r="B92" t="inlineStr">
        <is>
          <t>Peace Preservation</t>
        </is>
      </c>
      <c r="C92" t="inlineStr">
        <is>
          <t>Table 2. Location of Army Headquarters</t>
        </is>
      </c>
      <c r="D92" t="inlineStr">
        <is>
          <t>338</t>
        </is>
      </c>
      <c r="E92" t="inlineStr"/>
    </row>
    <row r="93">
      <c r="A93" s="3" t="inlineStr">
        <is>
          <t>IMG_5629_1</t>
        </is>
      </c>
      <c r="B93" t="inlineStr">
        <is>
          <t>Peace Preservation</t>
        </is>
      </c>
      <c r="C93" t="inlineStr">
        <is>
          <t>Table 3. Results of Bandit Suppression</t>
        </is>
      </c>
      <c r="D93" t="inlineStr">
        <is>
          <t>340</t>
        </is>
      </c>
      <c r="E93" t="inlineStr"/>
    </row>
    <row r="94">
      <c r="A94" s="3" t="inlineStr">
        <is>
          <t>IMG_5630_1</t>
        </is>
      </c>
      <c r="B94" t="inlineStr">
        <is>
          <t>Peace Preservation</t>
        </is>
      </c>
      <c r="C94" t="inlineStr">
        <is>
          <t>Table 4. Term of Posts</t>
        </is>
      </c>
      <c r="D94" t="inlineStr">
        <is>
          <t>342</t>
        </is>
      </c>
      <c r="E94" t="inlineStr"/>
    </row>
    <row r="95">
      <c r="A95" s="3" t="inlineStr">
        <is>
          <t>IMG_5630_2</t>
        </is>
      </c>
      <c r="B95" t="inlineStr">
        <is>
          <t>Peace Preservation</t>
        </is>
      </c>
      <c r="C95" t="inlineStr">
        <is>
          <t>Table 5. Number of Police Stations and Officers</t>
        </is>
      </c>
      <c r="D95" t="inlineStr">
        <is>
          <t>343</t>
        </is>
      </c>
      <c r="E95" t="inlineStr"/>
    </row>
    <row r="96">
      <c r="A96" s="3" t="inlineStr">
        <is>
          <t>IMG_5631_1</t>
        </is>
      </c>
      <c r="B96" t="inlineStr">
        <is>
          <t>Peace Preservation</t>
        </is>
      </c>
      <c r="C96" t="inlineStr">
        <is>
          <t>Water Police Bureaus</t>
        </is>
      </c>
      <c r="D96" t="inlineStr">
        <is>
          <t>344</t>
        </is>
      </c>
      <c r="E96" t="inlineStr"/>
    </row>
    <row r="97">
      <c r="A97" s="3" t="inlineStr">
        <is>
          <t>IMG_5641_1</t>
        </is>
      </c>
      <c r="B97" t="inlineStr">
        <is>
          <t>Diplomacy</t>
        </is>
      </c>
      <c r="C97" t="inlineStr">
        <is>
          <t>[Recognition of Manchoukuo by the Powers]</t>
        </is>
      </c>
      <c r="D97" t="inlineStr">
        <is>
          <t>364</t>
        </is>
      </c>
      <c r="E97" t="inlineStr"/>
    </row>
    <row r="98">
      <c r="A98" s="3" t="inlineStr">
        <is>
          <t>IMG_5643_1</t>
        </is>
      </c>
      <c r="B98" t="inlineStr">
        <is>
          <t>Diplomacy</t>
        </is>
      </c>
      <c r="C98" t="inlineStr">
        <is>
          <t>[Manchoukuo-German trade accounts under the trade agreements]</t>
        </is>
      </c>
      <c r="D98" t="inlineStr">
        <is>
          <t>369</t>
        </is>
      </c>
      <c r="E98" t="inlineStr"/>
    </row>
    <row r="99">
      <c r="A99" s="3" t="inlineStr">
        <is>
          <t>IMG_5645_1</t>
        </is>
      </c>
      <c r="B99" t="inlineStr">
        <is>
          <t>Diplomacy</t>
        </is>
      </c>
      <c r="C99" t="inlineStr">
        <is>
          <t>Diplomatic and Others Foreign Representatives in Manchoukuo</t>
        </is>
      </c>
      <c r="D99" t="inlineStr">
        <is>
          <t>372, 373</t>
        </is>
      </c>
      <c r="E99" t="inlineStr"/>
    </row>
    <row r="100">
      <c r="A100" s="3" t="inlineStr">
        <is>
          <t>IMG_5645_2</t>
        </is>
      </c>
      <c r="B100" t="inlineStr">
        <is>
          <t>Diplomacy</t>
        </is>
      </c>
      <c r="C100" t="inlineStr">
        <is>
          <t>Localities of Consulate</t>
        </is>
      </c>
      <c r="D100" t="inlineStr">
        <is>
          <t>373</t>
        </is>
      </c>
      <c r="E100" t="inlineStr"/>
    </row>
    <row r="101">
      <c r="A101" s="3" t="inlineStr">
        <is>
          <t>IMG_5647_1</t>
        </is>
      </c>
      <c r="B101" t="inlineStr">
        <is>
          <t>Judicature</t>
        </is>
      </c>
      <c r="C101" t="inlineStr">
        <is>
          <t>Table 1. Number of Judicial Organs</t>
        </is>
      </c>
      <c r="D101" t="inlineStr">
        <is>
          <t>377</t>
        </is>
      </c>
      <c r="E101" t="inlineStr"/>
    </row>
    <row r="102">
      <c r="A102" s="3" t="inlineStr">
        <is>
          <t>IMG_5648_1</t>
        </is>
      </c>
      <c r="B102" t="inlineStr">
        <is>
          <t>Judicature</t>
        </is>
      </c>
      <c r="C102" t="inlineStr">
        <is>
          <t>Table 2. Crimes and Arrests Classified</t>
        </is>
      </c>
      <c r="D102" t="inlineStr">
        <is>
          <t>378, 379</t>
        </is>
      </c>
      <c r="E102" t="inlineStr"/>
    </row>
    <row r="103">
      <c r="A103" s="3" t="inlineStr">
        <is>
          <t>IMG_5651_1</t>
        </is>
      </c>
      <c r="B103" t="inlineStr">
        <is>
          <t>Judicature</t>
        </is>
      </c>
      <c r="C103" t="inlineStr">
        <is>
          <t>Table 3. Number of Judicial Officers Despatched to Japan for Study</t>
        </is>
      </c>
      <c r="D103" t="inlineStr">
        <is>
          <t>384</t>
        </is>
      </c>
      <c r="E103" t="inlineStr"/>
    </row>
    <row r="104">
      <c r="A104" s="3" t="inlineStr">
        <is>
          <t>IMG_5652_1</t>
        </is>
      </c>
      <c r="B104" t="inlineStr">
        <is>
          <t>Judicature</t>
        </is>
      </c>
      <c r="C104" t="inlineStr">
        <is>
          <t>Table 4. Prison Inmates Classified by Races &amp; Crimes</t>
        </is>
      </c>
      <c r="D104" t="inlineStr">
        <is>
          <t>387, 388</t>
        </is>
      </c>
      <c r="E104" t="inlineStr"/>
    </row>
    <row r="105">
      <c r="A105" s="3" t="inlineStr">
        <is>
          <t>IMG_5662_1</t>
        </is>
      </c>
      <c r="B105" t="inlineStr">
        <is>
          <t>Land Development</t>
        </is>
      </c>
      <c r="C105" t="inlineStr">
        <is>
          <t>Table 1. Twenty-Year Plan for Implanting 1,000,000 Japanese Families (5,000,000 Persons) in Manchoukuo</t>
        </is>
      </c>
      <c r="D105" t="inlineStr">
        <is>
          <t>407</t>
        </is>
      </c>
      <c r="E105" t="inlineStr"/>
    </row>
    <row r="106">
      <c r="A106" s="3" t="inlineStr">
        <is>
          <t>IMG_5663_1</t>
        </is>
      </c>
      <c r="B106" t="inlineStr">
        <is>
          <t>Land Development</t>
        </is>
      </c>
      <c r="C106" t="inlineStr">
        <is>
          <t>Table 2. Per Household Government Subsidy</t>
        </is>
      </c>
      <c r="D106" t="inlineStr">
        <is>
          <t>408</t>
        </is>
      </c>
      <c r="E106" t="inlineStr"/>
    </row>
    <row r="107">
      <c r="A107" s="3" t="inlineStr">
        <is>
          <t>IMG_5665_1</t>
        </is>
      </c>
      <c r="B107" t="inlineStr">
        <is>
          <t>Land Development</t>
        </is>
      </c>
      <c r="C107" t="inlineStr">
        <is>
          <t>Table 3. Japanese Settlers Classified by Localities</t>
        </is>
      </c>
      <c r="D107" t="inlineStr">
        <is>
          <t>413, 414</t>
        </is>
      </c>
      <c r="E107" t="inlineStr"/>
    </row>
    <row r="108">
      <c r="A108" s="3" t="inlineStr">
        <is>
          <t>IMG_5666_1</t>
        </is>
      </c>
      <c r="B108" t="inlineStr">
        <is>
          <t>Land Development</t>
        </is>
      </c>
      <c r="C108" t="inlineStr">
        <is>
          <t>Table 4. Number of Chosenese Settlers</t>
        </is>
      </c>
      <c r="D108" t="inlineStr">
        <is>
          <t>414</t>
        </is>
      </c>
      <c r="E108" t="inlineStr"/>
    </row>
    <row r="109">
      <c r="A109" s="3" t="inlineStr">
        <is>
          <t>IMG_5668_1</t>
        </is>
      </c>
      <c r="B109" t="inlineStr">
        <is>
          <t>Agriculture</t>
        </is>
      </c>
      <c r="C109" t="inlineStr">
        <is>
          <t>Table 1. Utilization of Land</t>
        </is>
      </c>
      <c r="D109" t="inlineStr">
        <is>
          <t>419</t>
        </is>
      </c>
      <c r="E109" t="inlineStr"/>
    </row>
    <row r="110">
      <c r="A110" s="3" t="inlineStr">
        <is>
          <t>IMG_5671_1</t>
        </is>
      </c>
      <c r="B110" t="inlineStr">
        <is>
          <t>Agriculture</t>
        </is>
      </c>
      <c r="C110" t="inlineStr">
        <is>
          <t>Table 4. Area Under Various Crops</t>
        </is>
      </c>
      <c r="D110" t="inlineStr">
        <is>
          <t>425</t>
        </is>
      </c>
      <c r="E110" t="inlineStr"/>
    </row>
    <row r="111">
      <c r="A111" s="3" t="inlineStr">
        <is>
          <t>IMG_5671_2</t>
        </is>
      </c>
      <c r="B111" t="inlineStr">
        <is>
          <t>Agriculture</t>
        </is>
      </c>
      <c r="C111" t="inlineStr">
        <is>
          <t>Table 5. Output of Principal Crops</t>
        </is>
      </c>
      <c r="D111" t="inlineStr">
        <is>
          <t>425, 426</t>
        </is>
      </c>
      <c r="E111" t="inlineStr"/>
    </row>
    <row r="112">
      <c r="A112" s="3" t="inlineStr">
        <is>
          <t>IMG_5674_1</t>
        </is>
      </c>
      <c r="B112" t="inlineStr">
        <is>
          <t>Agriculture</t>
        </is>
      </c>
      <c r="C112" t="inlineStr">
        <is>
          <t>Table 6. Principal Industrial Crops</t>
        </is>
      </c>
      <c r="D112" t="inlineStr">
        <is>
          <t>430, 431, 432</t>
        </is>
      </c>
      <c r="E112" t="inlineStr"/>
    </row>
    <row r="113">
      <c r="A113" s="3" t="inlineStr">
        <is>
          <t>IMG_5675_1</t>
        </is>
      </c>
      <c r="B113" t="inlineStr">
        <is>
          <t>Agriculture</t>
        </is>
      </c>
      <c r="C113" t="inlineStr">
        <is>
          <t>Table 7. Statistic of Cotton Plantation</t>
        </is>
      </c>
      <c r="D113" t="inlineStr">
        <is>
          <t>432, 433</t>
        </is>
      </c>
      <c r="E113" t="inlineStr"/>
    </row>
    <row r="114">
      <c r="A114" s="3" t="inlineStr">
        <is>
          <t>IMG_5677_1</t>
        </is>
      </c>
      <c r="B114" t="inlineStr">
        <is>
          <t>Agriculture</t>
        </is>
      </c>
      <c r="C114" t="inlineStr">
        <is>
          <t>Table 8. Twenty-five-year Expansion Plan for Wheat Production</t>
        </is>
      </c>
      <c r="D114" t="inlineStr">
        <is>
          <t>436</t>
        </is>
      </c>
      <c r="E114" t="inlineStr"/>
    </row>
    <row r="115">
      <c r="A115" s="3" t="inlineStr">
        <is>
          <t>IMG_5677_2</t>
        </is>
      </c>
      <c r="B115" t="inlineStr">
        <is>
          <t>Agriculture</t>
        </is>
      </c>
      <c r="C115" t="inlineStr">
        <is>
          <t>Table 9. Analysis of Soil in North Manchuria</t>
        </is>
      </c>
      <c r="D115" t="inlineStr">
        <is>
          <t>436</t>
        </is>
      </c>
      <c r="E115" t="inlineStr"/>
    </row>
    <row r="116">
      <c r="A116" s="3" t="inlineStr">
        <is>
          <t>IMG_5677_3</t>
        </is>
      </c>
      <c r="B116" t="inlineStr">
        <is>
          <t>Agriculture</t>
        </is>
      </c>
      <c r="C116" t="inlineStr">
        <is>
          <t>Table 10. Chemical Composition of Soil in Wheat Raising Regions (Koshan)</t>
        </is>
      </c>
      <c r="D116" t="inlineStr">
        <is>
          <t>437</t>
        </is>
      </c>
      <c r="E116" t="inlineStr"/>
    </row>
    <row r="117">
      <c r="A117" s="3" t="inlineStr">
        <is>
          <t>IMG_5678_1</t>
        </is>
      </c>
      <c r="B117" t="inlineStr">
        <is>
          <t>Agriculture</t>
        </is>
      </c>
      <c r="C117" t="inlineStr">
        <is>
          <t>Table 18. Income from and Expenditures of Soya Bean and Wheat Production in North Manchuria (Hailun-hsien)</t>
        </is>
      </c>
      <c r="D117" t="inlineStr">
        <is>
          <t>438, 439</t>
        </is>
      </c>
      <c r="E117" t="inlineStr"/>
    </row>
    <row r="118">
      <c r="A118" s="3" t="inlineStr">
        <is>
          <t>IMG_5682_1</t>
        </is>
      </c>
      <c r="B118" t="inlineStr">
        <is>
          <t>Agriculture</t>
        </is>
      </c>
      <c r="C118" t="inlineStr">
        <is>
          <t>Table 20. Legalized Area for Poppy Growing</t>
        </is>
      </c>
      <c r="D118" t="inlineStr">
        <is>
          <t>446</t>
        </is>
      </c>
      <c r="E118" t="inlineStr"/>
    </row>
    <row r="119">
      <c r="A119" s="3" t="inlineStr">
        <is>
          <t>IMG_5682_2</t>
        </is>
      </c>
      <c r="B119" t="inlineStr">
        <is>
          <t>Agriculture</t>
        </is>
      </c>
      <c r="C119" t="inlineStr">
        <is>
          <t>Table 21. State Purchases and Sales of Opium</t>
        </is>
      </c>
      <c r="D119" t="inlineStr">
        <is>
          <t>447</t>
        </is>
      </c>
      <c r="E119" t="inlineStr"/>
    </row>
    <row r="120">
      <c r="A120" s="3" t="inlineStr">
        <is>
          <t>IMG_5682_3</t>
        </is>
      </c>
      <c r="B120" t="inlineStr">
        <is>
          <t>Agriculture</t>
        </is>
      </c>
      <c r="C120" t="inlineStr">
        <is>
          <t>Table 22. Imports of Agricultural Machineries, Implements, Tools, etc.</t>
        </is>
      </c>
      <c r="D120" t="inlineStr">
        <is>
          <t>447</t>
        </is>
      </c>
      <c r="E120" t="inlineStr"/>
    </row>
    <row r="121">
      <c r="A121" s="3" t="inlineStr">
        <is>
          <t>IMG_5683_1</t>
        </is>
      </c>
      <c r="B121" t="inlineStr">
        <is>
          <t>Agriculture</t>
        </is>
      </c>
      <c r="C121" t="inlineStr">
        <is>
          <t>Table 23. Statistics on Granaries</t>
        </is>
      </c>
      <c r="D121" t="inlineStr">
        <is>
          <t>449</t>
        </is>
      </c>
      <c r="E121" t="inlineStr"/>
    </row>
    <row r="122">
      <c r="A122" s="3" t="inlineStr">
        <is>
          <t>IMG_5685_1</t>
        </is>
      </c>
      <c r="B122" t="inlineStr">
        <is>
          <t>Stock-Breeding</t>
        </is>
      </c>
      <c r="C122" t="inlineStr">
        <is>
          <t>Table 1. Distribution of Domestic Animals</t>
        </is>
      </c>
      <c r="D122" t="inlineStr">
        <is>
          <t>452</t>
        </is>
      </c>
      <c r="E122" t="inlineStr"/>
    </row>
    <row r="123">
      <c r="A123" s="3" t="inlineStr">
        <is>
          <t>IMG_5686_1</t>
        </is>
      </c>
      <c r="B123" t="inlineStr">
        <is>
          <t>Stock-Breeding</t>
        </is>
      </c>
      <c r="C123" t="inlineStr">
        <is>
          <t>Table 7. Wool Yield by Breeds</t>
        </is>
      </c>
      <c r="D123" t="inlineStr">
        <is>
          <t>455</t>
        </is>
      </c>
      <c r="E123" t="inlineStr"/>
    </row>
    <row r="124">
      <c r="A124" s="3" t="inlineStr">
        <is>
          <t>IMG_5686_2</t>
        </is>
      </c>
      <c r="B124" t="inlineStr">
        <is>
          <t>Stock-Breeding</t>
        </is>
      </c>
      <c r="C124" t="inlineStr">
        <is>
          <t>Table 6. 30-Year Plan for Sheep's Wool Production in Manchoukuo and Kwantung Province</t>
        </is>
      </c>
      <c r="D124" t="inlineStr">
        <is>
          <t>455, 456</t>
        </is>
      </c>
      <c r="E124" t="inlineStr"/>
    </row>
    <row r="125">
      <c r="A125" s="3" t="inlineStr">
        <is>
          <t>IMG_5687_1</t>
        </is>
      </c>
      <c r="B125" t="inlineStr">
        <is>
          <t>Stock-Breeding</t>
        </is>
      </c>
      <c r="C125" t="inlineStr">
        <is>
          <t>Table 2. No. of Animals Slaughtered</t>
        </is>
      </c>
      <c r="D125" t="inlineStr">
        <is>
          <t>457</t>
        </is>
      </c>
      <c r="E125" t="inlineStr"/>
    </row>
    <row r="126">
      <c r="A126" s="3" t="inlineStr">
        <is>
          <t>IMG_5687_2</t>
        </is>
      </c>
      <c r="B126" t="inlineStr">
        <is>
          <t>Stock-Breeding</t>
        </is>
      </c>
      <c r="C126" t="inlineStr">
        <is>
          <t>Table 3. Exports of Live Animals Classified</t>
        </is>
      </c>
      <c r="D126" t="inlineStr">
        <is>
          <t>457</t>
        </is>
      </c>
      <c r="E126" t="inlineStr"/>
    </row>
    <row r="127">
      <c r="A127" s="3" t="inlineStr">
        <is>
          <t>IMG_5687_3</t>
        </is>
      </c>
      <c r="B127" t="inlineStr">
        <is>
          <t>Stock-Breeding</t>
        </is>
      </c>
      <c r="C127" t="inlineStr">
        <is>
          <t>Table 4. Exports of Animal Products</t>
        </is>
      </c>
      <c r="D127" t="inlineStr">
        <is>
          <t>457, 458</t>
        </is>
      </c>
      <c r="E127" t="inlineStr"/>
    </row>
    <row r="128">
      <c r="A128" s="3" t="inlineStr">
        <is>
          <t>IMG_5688_1</t>
        </is>
      </c>
      <c r="B128" t="inlineStr">
        <is>
          <t>Stock-Breeding</t>
        </is>
      </c>
      <c r="C128" t="inlineStr">
        <is>
          <t>Table 5. Imports of Animal Products Classified</t>
        </is>
      </c>
      <c r="D128" t="inlineStr">
        <is>
          <t>458</t>
        </is>
      </c>
      <c r="E128" t="inlineStr"/>
    </row>
    <row r="129">
      <c r="A129" s="3" t="inlineStr">
        <is>
          <t>IMG_5690_1</t>
        </is>
      </c>
      <c r="B129" t="inlineStr">
        <is>
          <t>Forestry</t>
        </is>
      </c>
      <c r="C129" t="inlineStr">
        <is>
          <t>Table 1. The Wealth of Forest by Provinces</t>
        </is>
      </c>
      <c r="D129" t="inlineStr">
        <is>
          <t>462</t>
        </is>
      </c>
      <c r="E129" t="inlineStr"/>
    </row>
    <row r="130">
      <c r="A130" s="3" t="inlineStr">
        <is>
          <t>IMG_5691_1</t>
        </is>
      </c>
      <c r="B130" t="inlineStr">
        <is>
          <t>Forestry</t>
        </is>
      </c>
      <c r="C130" t="inlineStr">
        <is>
          <t>Table 2. Demand and Supply of Timber</t>
        </is>
      </c>
      <c r="D130" t="inlineStr">
        <is>
          <t>464</t>
        </is>
      </c>
      <c r="E130" t="inlineStr"/>
    </row>
    <row r="131">
      <c r="A131" s="3" t="inlineStr">
        <is>
          <t>IMG_5691_2</t>
        </is>
      </c>
      <c r="B131" t="inlineStr">
        <is>
          <t>Forestry</t>
        </is>
      </c>
      <c r="C131" t="inlineStr">
        <is>
          <t>Table 3. Forestry Output by Districts and Kinds</t>
        </is>
      </c>
      <c r="D131" t="inlineStr">
        <is>
          <t>464</t>
        </is>
      </c>
      <c r="E131" t="inlineStr"/>
    </row>
    <row r="132">
      <c r="A132" s="3" t="inlineStr">
        <is>
          <t>IMG_5691_3</t>
        </is>
      </c>
      <c r="B132" t="inlineStr">
        <is>
          <t>Forestry</t>
        </is>
      </c>
      <c r="C132" t="inlineStr">
        <is>
          <t>Table 4. Outline of Lumber Producers' Guilds in Manchoukuo</t>
        </is>
      </c>
      <c r="D132" t="inlineStr">
        <is>
          <t>465</t>
        </is>
      </c>
      <c r="E132" t="inlineStr"/>
    </row>
    <row r="133">
      <c r="A133" s="3" t="inlineStr">
        <is>
          <t>IMG_5692_1</t>
        </is>
      </c>
      <c r="B133" t="inlineStr">
        <is>
          <t>Forestry</t>
        </is>
      </c>
      <c r="C133" t="inlineStr">
        <is>
          <t>Table 5. Export of Timber and Wood</t>
        </is>
      </c>
      <c r="D133" t="inlineStr">
        <is>
          <t>466</t>
        </is>
      </c>
      <c r="E133" t="inlineStr"/>
    </row>
    <row r="134">
      <c r="A134" s="3" t="inlineStr">
        <is>
          <t>IMG_5692_2</t>
        </is>
      </c>
      <c r="B134" t="inlineStr">
        <is>
          <t>Forestry</t>
        </is>
      </c>
      <c r="C134" t="inlineStr">
        <is>
          <t>Table 6. Import of Timber and Wood</t>
        </is>
      </c>
      <c r="D134" t="inlineStr">
        <is>
          <t>466</t>
        </is>
      </c>
      <c r="E134" t="inlineStr"/>
    </row>
    <row r="135">
      <c r="A135" s="3" t="inlineStr">
        <is>
          <t>IMG_5692_3</t>
        </is>
      </c>
      <c r="B135" t="inlineStr">
        <is>
          <t>Forestry</t>
        </is>
      </c>
      <c r="C135" t="inlineStr">
        <is>
          <t>Table 7. Indice of Timber Industry</t>
        </is>
      </c>
      <c r="D135" t="inlineStr">
        <is>
          <t>466</t>
        </is>
      </c>
      <c r="E135" t="inlineStr"/>
    </row>
    <row r="136">
      <c r="A136" s="3" t="inlineStr">
        <is>
          <t>IMG_5692_4</t>
        </is>
      </c>
      <c r="B136" t="inlineStr">
        <is>
          <t>Forestry</t>
        </is>
      </c>
      <c r="C136" t="inlineStr">
        <is>
          <t>Table 8. Forestry Offices in Manchoukuo</t>
        </is>
      </c>
      <c r="D136" t="inlineStr">
        <is>
          <t>467</t>
        </is>
      </c>
      <c r="E136" t="inlineStr"/>
    </row>
    <row r="137">
      <c r="A137" s="3" t="inlineStr">
        <is>
          <t>IMG_5693_1</t>
        </is>
      </c>
      <c r="B137" t="inlineStr">
        <is>
          <t>Forestry</t>
        </is>
      </c>
      <c r="C137" t="inlineStr">
        <is>
          <t>Table 9. Pulp Companies in Manchoukuo and Kwantung</t>
        </is>
      </c>
      <c r="D137" t="inlineStr">
        <is>
          <t>468, 469</t>
        </is>
      </c>
      <c r="E137" t="inlineStr"/>
    </row>
    <row r="138">
      <c r="A138" s="3" t="inlineStr">
        <is>
          <t>IMG_5693_2</t>
        </is>
      </c>
      <c r="B138" t="inlineStr">
        <is>
          <t>Forestry</t>
        </is>
      </c>
      <c r="C138" t="inlineStr">
        <is>
          <t>Table 10. Area of Forests in Kwantung by Ownership</t>
        </is>
      </c>
      <c r="D138" t="inlineStr">
        <is>
          <t>469</t>
        </is>
      </c>
      <c r="E138" t="inlineStr"/>
    </row>
    <row r="139">
      <c r="A139" s="3" t="inlineStr">
        <is>
          <t>IMG_5694_1</t>
        </is>
      </c>
      <c r="B139" t="inlineStr">
        <is>
          <t>Fisheries</t>
        </is>
      </c>
      <c r="C139" t="inlineStr">
        <is>
          <t>Table 1. Length of Important Rivers</t>
        </is>
      </c>
      <c r="D139" t="inlineStr">
        <is>
          <t>470</t>
        </is>
      </c>
      <c r="E139" t="inlineStr"/>
    </row>
    <row r="140">
      <c r="A140" s="3" t="inlineStr">
        <is>
          <t>IMG_5694_2</t>
        </is>
      </c>
      <c r="B140" t="inlineStr">
        <is>
          <t>Fisheries</t>
        </is>
      </c>
      <c r="C140" t="inlineStr">
        <is>
          <t>Table 2. Water Expanse of Leading Lakes</t>
        </is>
      </c>
      <c r="D140" t="inlineStr">
        <is>
          <t>470</t>
        </is>
      </c>
      <c r="E140" t="inlineStr"/>
    </row>
    <row r="141">
      <c r="A141" s="3" t="inlineStr">
        <is>
          <t>IMG_5695_1</t>
        </is>
      </c>
      <c r="B141" t="inlineStr">
        <is>
          <t>Fisheries</t>
        </is>
      </c>
      <c r="C141" t="inlineStr">
        <is>
          <t>Table 3. No. of Fishing Households and Population in Kwantung Province</t>
        </is>
      </c>
      <c r="D141" t="inlineStr">
        <is>
          <t>473</t>
        </is>
      </c>
      <c r="E141" t="inlineStr"/>
    </row>
    <row r="142">
      <c r="A142" s="3" t="inlineStr">
        <is>
          <t>IMG_5695_2</t>
        </is>
      </c>
      <c r="B142" t="inlineStr">
        <is>
          <t>Fisheries</t>
        </is>
      </c>
      <c r="C142" t="inlineStr">
        <is>
          <t>Table 4. Fishery Catch Classified</t>
        </is>
      </c>
      <c r="D142" t="inlineStr">
        <is>
          <t>473, 474</t>
        </is>
      </c>
      <c r="E142" t="inlineStr"/>
    </row>
    <row r="143">
      <c r="A143" s="3" t="inlineStr">
        <is>
          <t>IMG_5696_1</t>
        </is>
      </c>
      <c r="B143" t="inlineStr">
        <is>
          <t>Fisheries</t>
        </is>
      </c>
      <c r="C143" t="inlineStr">
        <is>
          <t>Table 5. No. of Fishing Crafts in Kwantung Province</t>
        </is>
      </c>
      <c r="D143" t="inlineStr">
        <is>
          <t>474</t>
        </is>
      </c>
      <c r="E143" t="inlineStr"/>
    </row>
    <row r="144">
      <c r="A144" s="3" t="inlineStr">
        <is>
          <t>IMG_5696_2</t>
        </is>
      </c>
      <c r="B144" t="inlineStr">
        <is>
          <t>Fisheries</t>
        </is>
      </c>
      <c r="C144" t="inlineStr">
        <is>
          <t>Table 6. Marine Catches in Kwantung Province</t>
        </is>
      </c>
      <c r="D144" t="inlineStr">
        <is>
          <t>474</t>
        </is>
      </c>
      <c r="E144" t="inlineStr"/>
    </row>
    <row r="145">
      <c r="A145" s="3" t="inlineStr">
        <is>
          <t>IMG_5696_3</t>
        </is>
      </c>
      <c r="B145" t="inlineStr">
        <is>
          <t>Fisheries</t>
        </is>
      </c>
      <c r="C145" t="inlineStr">
        <is>
          <t>Table 7. Amount and Value of Marine Manufactures in Kwantung Province</t>
        </is>
      </c>
      <c r="D145" t="inlineStr">
        <is>
          <t>475</t>
        </is>
      </c>
      <c r="E145" t="inlineStr"/>
    </row>
    <row r="146">
      <c r="A146" s="3" t="inlineStr">
        <is>
          <t>IMG_5696_4</t>
        </is>
      </c>
      <c r="B146" t="inlineStr">
        <is>
          <t>Fisheries</t>
        </is>
      </c>
      <c r="C146" t="inlineStr">
        <is>
          <t>Table 8. Exports &amp; Imports of Marine Products</t>
        </is>
      </c>
      <c r="D146" t="inlineStr">
        <is>
          <t>475</t>
        </is>
      </c>
      <c r="E146" t="inlineStr"/>
    </row>
    <row r="147">
      <c r="A147" s="3" t="inlineStr">
        <is>
          <t>IMG_5697_1</t>
        </is>
      </c>
      <c r="B147" t="inlineStr">
        <is>
          <t>Fisheries</t>
        </is>
      </c>
      <c r="C147" t="inlineStr">
        <is>
          <t>Table 9. Salt Production in Manchuria</t>
        </is>
      </c>
      <c r="D147" t="inlineStr">
        <is>
          <t>476</t>
        </is>
      </c>
      <c r="E147" t="inlineStr"/>
    </row>
    <row r="148">
      <c r="A148" s="3" t="inlineStr">
        <is>
          <t>IMG_5697_2</t>
        </is>
      </c>
      <c r="B148" t="inlineStr">
        <is>
          <t>Fisheries</t>
        </is>
      </c>
      <c r="C148" t="inlineStr">
        <is>
          <t>Table 10. Demand and Supply of Salt</t>
        </is>
      </c>
      <c r="D148" t="inlineStr">
        <is>
          <t>476</t>
        </is>
      </c>
      <c r="E148" t="inlineStr"/>
    </row>
    <row r="149">
      <c r="A149" s="3" t="inlineStr">
        <is>
          <t>IMG_5697_3</t>
        </is>
      </c>
      <c r="B149" t="inlineStr">
        <is>
          <t>Fisheries</t>
        </is>
      </c>
      <c r="C149" t="inlineStr">
        <is>
          <t>Table 11. Salt Production Program</t>
        </is>
      </c>
      <c r="D149" t="inlineStr">
        <is>
          <t>477</t>
        </is>
      </c>
      <c r="E149" t="inlineStr"/>
    </row>
    <row r="150">
      <c r="A150" s="3" t="inlineStr">
        <is>
          <t>IMG_5698_1</t>
        </is>
      </c>
      <c r="B150" t="inlineStr">
        <is>
          <t>Mining</t>
        </is>
      </c>
      <c r="C150" t="inlineStr">
        <is>
          <t>Table 1. Mineral Resources (1938)</t>
        </is>
      </c>
      <c r="D150" t="inlineStr">
        <is>
          <t>478</t>
        </is>
      </c>
      <c r="E150" t="inlineStr"/>
    </row>
    <row r="151">
      <c r="A151" s="3" t="inlineStr">
        <is>
          <t>IMG_5698_2</t>
        </is>
      </c>
      <c r="B151" t="inlineStr">
        <is>
          <t>Mining</t>
        </is>
      </c>
      <c r="C151" t="inlineStr">
        <is>
          <t>Table 2. Output of Principal Minerals</t>
        </is>
      </c>
      <c r="D151" t="inlineStr">
        <is>
          <t>478</t>
        </is>
      </c>
      <c r="E151" t="inlineStr"/>
    </row>
    <row r="152">
      <c r="A152" s="3" t="inlineStr">
        <is>
          <t>IMG_5699_1</t>
        </is>
      </c>
      <c r="B152" t="inlineStr">
        <is>
          <t>Mining</t>
        </is>
      </c>
      <c r="C152" t="inlineStr">
        <is>
          <t>Table 3. Principal Coal Mines</t>
        </is>
      </c>
      <c r="D152" t="inlineStr">
        <is>
          <t>480, 481</t>
        </is>
      </c>
      <c r="E152" t="inlineStr"/>
    </row>
    <row r="153">
      <c r="A153" s="3" t="inlineStr">
        <is>
          <t>IMG_5699_2</t>
        </is>
      </c>
      <c r="B153" t="inlineStr">
        <is>
          <t>Mining</t>
        </is>
      </c>
      <c r="C153" t="inlineStr">
        <is>
          <t>Table 4. Analysis of Coal Classified</t>
        </is>
      </c>
      <c r="D153" t="inlineStr">
        <is>
          <t>481</t>
        </is>
      </c>
      <c r="E153" t="inlineStr"/>
    </row>
    <row r="154">
      <c r="A154" s="3" t="inlineStr">
        <is>
          <t>IMG_5703_1</t>
        </is>
      </c>
      <c r="B154" t="inlineStr">
        <is>
          <t>Mining</t>
        </is>
      </c>
      <c r="C154" t="inlineStr">
        <is>
          <t>Table 5. Output of Coal</t>
        </is>
      </c>
      <c r="D154" t="inlineStr">
        <is>
          <t>489, 490</t>
        </is>
      </c>
      <c r="E154" t="inlineStr"/>
    </row>
    <row r="155">
      <c r="A155" s="3" t="inlineStr">
        <is>
          <t>IMG_5704_1</t>
        </is>
      </c>
      <c r="B155" t="inlineStr">
        <is>
          <t>Mining</t>
        </is>
      </c>
      <c r="C155" t="inlineStr">
        <is>
          <t>Table 6. Coal Consumption Classified</t>
        </is>
      </c>
      <c r="D155" t="inlineStr">
        <is>
          <t>490</t>
        </is>
      </c>
      <c r="E155" t="inlineStr"/>
    </row>
    <row r="156">
      <c r="A156" s="3" t="inlineStr">
        <is>
          <t>IMG_5704_2</t>
        </is>
      </c>
      <c r="B156" t="inlineStr">
        <is>
          <t>Mining</t>
        </is>
      </c>
      <c r="C156" t="inlineStr">
        <is>
          <t>Table 7. Principal Iron Deposits by Regions</t>
        </is>
      </c>
      <c r="D156" t="inlineStr">
        <is>
          <t>491</t>
        </is>
      </c>
      <c r="E156" t="inlineStr"/>
    </row>
    <row r="157">
      <c r="A157" s="3" t="inlineStr">
        <is>
          <t>IMG_5705_1</t>
        </is>
      </c>
      <c r="B157" t="inlineStr">
        <is>
          <t>Mining</t>
        </is>
      </c>
      <c r="C157" t="inlineStr">
        <is>
          <t>Table 8. Chemical Analysis of Manchurian Iron Ore</t>
        </is>
      </c>
      <c r="D157" t="inlineStr">
        <is>
          <t>492</t>
        </is>
      </c>
      <c r="E157" t="inlineStr"/>
    </row>
    <row r="158">
      <c r="A158" s="3" t="inlineStr">
        <is>
          <t>IMG_5705_2</t>
        </is>
      </c>
      <c r="B158" t="inlineStr">
        <is>
          <t>Mining</t>
        </is>
      </c>
      <c r="C158" t="inlineStr">
        <is>
          <t>Table 9. Iron Ore Production in Manchoukuo</t>
        </is>
      </c>
      <c r="D158" t="inlineStr">
        <is>
          <t>492</t>
        </is>
      </c>
      <c r="E158" t="inlineStr"/>
    </row>
    <row r="159">
      <c r="A159" s="3" t="inlineStr">
        <is>
          <t>IMG_5705_3</t>
        </is>
      </c>
      <c r="B159" t="inlineStr">
        <is>
          <t>Mining</t>
        </is>
      </c>
      <c r="C159" t="inlineStr">
        <is>
          <t>Table 10. Production of Steel Materials by Kinds</t>
        </is>
      </c>
      <c r="D159" t="inlineStr">
        <is>
          <t>492</t>
        </is>
      </c>
      <c r="E159" t="inlineStr"/>
    </row>
    <row r="160">
      <c r="A160" s="3" t="inlineStr">
        <is>
          <t>IMG_5705_4</t>
        </is>
      </c>
      <c r="B160" t="inlineStr">
        <is>
          <t>Mining</t>
        </is>
      </c>
      <c r="C160" t="inlineStr">
        <is>
          <t>Table 11. Pig Iron Production</t>
        </is>
      </c>
      <c r="D160" t="inlineStr">
        <is>
          <t>492</t>
        </is>
      </c>
      <c r="E160" t="inlineStr"/>
    </row>
    <row r="161">
      <c r="A161" s="3" t="inlineStr">
        <is>
          <t>IMG_5705_5</t>
        </is>
      </c>
      <c r="B161" t="inlineStr">
        <is>
          <t>Mining</t>
        </is>
      </c>
      <c r="C161" t="inlineStr">
        <is>
          <t>Table 12. Pig Iron Production Classified by Companies</t>
        </is>
      </c>
      <c r="D161" t="inlineStr">
        <is>
          <t>493</t>
        </is>
      </c>
      <c r="E161" t="inlineStr"/>
    </row>
    <row r="162">
      <c r="A162" s="3" t="inlineStr">
        <is>
          <t>IMG_5705_6</t>
        </is>
      </c>
      <c r="B162" t="inlineStr">
        <is>
          <t>Mining</t>
        </is>
      </c>
      <c r="C162" t="inlineStr">
        <is>
          <t>Table 13. Pig Iron Production Capacity</t>
        </is>
      </c>
      <c r="D162" t="inlineStr">
        <is>
          <t>493</t>
        </is>
      </c>
      <c r="E162" t="inlineStr"/>
    </row>
    <row r="163">
      <c r="A163" s="3" t="inlineStr">
        <is>
          <t>IMG_5705_7</t>
        </is>
      </c>
      <c r="B163" t="inlineStr">
        <is>
          <t>Mining</t>
        </is>
      </c>
      <c r="C163" t="inlineStr">
        <is>
          <t>Table 14. Principal By-products in Pig Iron Manufacturing</t>
        </is>
      </c>
      <c r="D163" t="inlineStr">
        <is>
          <t>493</t>
        </is>
      </c>
      <c r="E163" t="inlineStr"/>
    </row>
    <row r="164">
      <c r="A164" s="3" t="inlineStr">
        <is>
          <t>IMG_5709_1</t>
        </is>
      </c>
      <c r="B164" t="inlineStr">
        <is>
          <t>Mining</t>
        </is>
      </c>
      <c r="C164" t="inlineStr">
        <is>
          <t>Table 15. Gold Output</t>
        </is>
      </c>
      <c r="D164" t="inlineStr">
        <is>
          <t>500</t>
        </is>
      </c>
      <c r="E164" t="inlineStr"/>
    </row>
    <row r="165">
      <c r="A165" s="3" t="inlineStr">
        <is>
          <t>IMG_5710_1</t>
        </is>
      </c>
      <c r="B165" t="inlineStr">
        <is>
          <t>Mining</t>
        </is>
      </c>
      <c r="C165" t="inlineStr">
        <is>
          <t>Table 16. Lead, Zinc and Copper Reserves</t>
        </is>
      </c>
      <c r="D165" t="inlineStr">
        <is>
          <t>504</t>
        </is>
      </c>
      <c r="E165" t="inlineStr"/>
    </row>
    <row r="166">
      <c r="A166" s="3" t="inlineStr">
        <is>
          <t>IMG_5711_1</t>
        </is>
      </c>
      <c r="B166" t="inlineStr">
        <is>
          <t>Mining</t>
        </is>
      </c>
      <c r="C166" t="inlineStr">
        <is>
          <t>Table 17. Limestone Production</t>
        </is>
      </c>
      <c r="D166" t="inlineStr">
        <is>
          <t>506</t>
        </is>
      </c>
      <c r="E166" t="inlineStr"/>
    </row>
    <row r="167">
      <c r="A167" s="3" t="inlineStr">
        <is>
          <t>IMG_5711_2</t>
        </is>
      </c>
      <c r="B167" t="inlineStr">
        <is>
          <t>Mining</t>
        </is>
      </c>
      <c r="C167" t="inlineStr">
        <is>
          <t>Table 18. Soapstone Production</t>
        </is>
      </c>
      <c r="D167" t="inlineStr">
        <is>
          <t>506</t>
        </is>
      </c>
      <c r="E167" t="inlineStr"/>
    </row>
    <row r="168">
      <c r="A168" s="3" t="inlineStr">
        <is>
          <t>IMG_5711_3</t>
        </is>
      </c>
      <c r="B168" t="inlineStr">
        <is>
          <t>Mining</t>
        </is>
      </c>
      <c r="C168" t="inlineStr">
        <is>
          <t>Table 19. Alumina Shale Reserves</t>
        </is>
      </c>
      <c r="D168" t="inlineStr">
        <is>
          <t>507</t>
        </is>
      </c>
      <c r="E168" t="inlineStr"/>
    </row>
    <row r="169">
      <c r="A169" s="3" t="inlineStr">
        <is>
          <t>IMG_5712_1</t>
        </is>
      </c>
      <c r="B169" t="inlineStr">
        <is>
          <t>Mining</t>
        </is>
      </c>
      <c r="C169" t="inlineStr">
        <is>
          <t>Table 20. Statistics of Principal Magnesite Regions</t>
        </is>
      </c>
      <c r="D169" t="inlineStr">
        <is>
          <t>509</t>
        </is>
      </c>
      <c r="E169" t="inlineStr"/>
    </row>
    <row r="170">
      <c r="A170" s="3" t="inlineStr">
        <is>
          <t>IMG_5713_1</t>
        </is>
      </c>
      <c r="B170" t="inlineStr">
        <is>
          <t>Mining</t>
        </is>
      </c>
      <c r="C170" t="inlineStr">
        <is>
          <t>Table 21. Chemical Analysis of Manchurian Dolomite</t>
        </is>
      </c>
      <c r="D170" t="inlineStr">
        <is>
          <t>510</t>
        </is>
      </c>
      <c r="E170" t="inlineStr"/>
    </row>
    <row r="171">
      <c r="A171" s="3" t="inlineStr">
        <is>
          <t>IMG_5714_1</t>
        </is>
      </c>
      <c r="B171" t="inlineStr">
        <is>
          <t>Mining</t>
        </is>
      </c>
      <c r="C171" t="inlineStr">
        <is>
          <t>Table 22. Oil Shale Reserves</t>
        </is>
      </c>
      <c r="D171" t="inlineStr">
        <is>
          <t>512</t>
        </is>
      </c>
      <c r="E171" t="inlineStr"/>
    </row>
    <row r="172">
      <c r="A172" s="3" t="inlineStr">
        <is>
          <t>IMG_5715_1</t>
        </is>
      </c>
      <c r="B172" t="inlineStr">
        <is>
          <t>Manufacturing Industry</t>
        </is>
      </c>
      <c r="C172" t="inlineStr">
        <is>
          <t>[Plants capitalized at over 1,000,000 yuan to be completed by end of 1939 in the Tetsunishi district, Mukden]</t>
        </is>
      </c>
      <c r="D172" t="inlineStr">
        <is>
          <t>514</t>
        </is>
      </c>
      <c r="E172" t="inlineStr"/>
    </row>
    <row r="173">
      <c r="A173" s="3" t="inlineStr">
        <is>
          <t>IMG_5715_2</t>
        </is>
      </c>
      <c r="B173" t="inlineStr">
        <is>
          <t>Manufacturing Industry</t>
        </is>
      </c>
      <c r="C173" t="inlineStr">
        <is>
          <t>Table 1. Statistics of Manufacturing Industries in Manchuria</t>
        </is>
      </c>
      <c r="D173" t="inlineStr">
        <is>
          <t>515, 516</t>
        </is>
      </c>
      <c r="E173" t="inlineStr"/>
    </row>
    <row r="174">
      <c r="A174" s="3" t="inlineStr">
        <is>
          <t>IMG_5716_1</t>
        </is>
      </c>
      <c r="B174" t="inlineStr">
        <is>
          <t>Manufacturing Industry</t>
        </is>
      </c>
      <c r="C174" t="inlineStr">
        <is>
          <t>Table 2. Condition of Industrial Companies</t>
        </is>
      </c>
      <c r="D174" t="inlineStr">
        <is>
          <t>516, 517</t>
        </is>
      </c>
      <c r="E174" t="inlineStr"/>
    </row>
    <row r="175">
      <c r="A175" s="3" t="inlineStr">
        <is>
          <t>IMG_5717_1</t>
        </is>
      </c>
      <c r="B175" t="inlineStr">
        <is>
          <t>Manufacturing Industry</t>
        </is>
      </c>
      <c r="C175" t="inlineStr">
        <is>
          <t>Table 3. Details of Spinning Industry</t>
        </is>
      </c>
      <c r="D175" t="inlineStr">
        <is>
          <t>518</t>
        </is>
      </c>
      <c r="E175" t="inlineStr"/>
    </row>
    <row r="176">
      <c r="A176" s="3" t="inlineStr">
        <is>
          <t>IMG_5717_2</t>
        </is>
      </c>
      <c r="B176" t="inlineStr">
        <is>
          <t>Manufacturing Industry</t>
        </is>
      </c>
      <c r="C176" t="inlineStr">
        <is>
          <t>Table 4. Spinning Cos. in Manchuria</t>
        </is>
      </c>
      <c r="D176" t="inlineStr">
        <is>
          <t>518</t>
        </is>
      </c>
      <c r="E176" t="inlineStr"/>
    </row>
    <row r="177">
      <c r="A177" s="3" t="inlineStr">
        <is>
          <t>IMG_5717_3</t>
        </is>
      </c>
      <c r="B177" t="inlineStr">
        <is>
          <t>Manufacturing Industry</t>
        </is>
      </c>
      <c r="C177" t="inlineStr">
        <is>
          <t>Table 5. Raw Cotton Import</t>
        </is>
      </c>
      <c r="D177" t="inlineStr">
        <is>
          <t>519</t>
        </is>
      </c>
      <c r="E177" t="inlineStr"/>
    </row>
    <row r="178">
      <c r="A178" s="3" t="inlineStr">
        <is>
          <t>IMG_5717_4</t>
        </is>
      </c>
      <c r="B178" t="inlineStr">
        <is>
          <t>Manufacturing Industry</t>
        </is>
      </c>
      <c r="C178" t="inlineStr">
        <is>
          <t>Table 6. Cotton Yarn Import</t>
        </is>
      </c>
      <c r="D178" t="inlineStr">
        <is>
          <t>519</t>
        </is>
      </c>
      <c r="E178" t="inlineStr"/>
    </row>
    <row r="179">
      <c r="A179" s="3" t="inlineStr">
        <is>
          <t>IMG_5718_1</t>
        </is>
      </c>
      <c r="B179" t="inlineStr">
        <is>
          <t>Manufacturing Industry</t>
        </is>
      </c>
      <c r="C179" t="inlineStr">
        <is>
          <t>Table 12. Export (Inclusive of Shipment to Japan) of Wild Silk Cocoons and Others</t>
        </is>
      </c>
      <c r="D179" t="inlineStr">
        <is>
          <t>520</t>
        </is>
      </c>
      <c r="E179" t="inlineStr"/>
    </row>
    <row r="180">
      <c r="A180" s="3" t="inlineStr">
        <is>
          <t>IMG_5719_1</t>
        </is>
      </c>
      <c r="B180" t="inlineStr">
        <is>
          <t>Manufacturing Industry</t>
        </is>
      </c>
      <c r="C180" t="inlineStr">
        <is>
          <t>Table 9. Manufactures of Manchuria Hemp-Dressing Co.</t>
        </is>
      </c>
      <c r="D180" t="inlineStr">
        <is>
          <t>522</t>
        </is>
      </c>
      <c r="E180" t="inlineStr"/>
    </row>
    <row r="181">
      <c r="A181" s="3" t="inlineStr">
        <is>
          <t>IMG_5719_2</t>
        </is>
      </c>
      <c r="B181" t="inlineStr">
        <is>
          <t>Manufacturing Industry</t>
        </is>
      </c>
      <c r="C181" t="inlineStr">
        <is>
          <t>Table 10. Plantation of Ni-Chi-Man Flax Spinning &amp; Weaving Co.</t>
        </is>
      </c>
      <c r="D181" t="inlineStr">
        <is>
          <t>522</t>
        </is>
      </c>
      <c r="E181" t="inlineStr"/>
    </row>
    <row r="182">
      <c r="A182" s="3" t="inlineStr">
        <is>
          <t>IMG_5719_3</t>
        </is>
      </c>
      <c r="B182" t="inlineStr">
        <is>
          <t>Manufacturing Industry</t>
        </is>
      </c>
      <c r="C182" t="inlineStr">
        <is>
          <t>Table 11. Import of Flax, Ramie, Hemp and Manufactures Thereof</t>
        </is>
      </c>
      <c r="D182" t="inlineStr">
        <is>
          <t>522</t>
        </is>
      </c>
      <c r="E182" t="inlineStr"/>
    </row>
    <row r="183">
      <c r="A183" s="3" t="inlineStr">
        <is>
          <t>IMG_5720_1</t>
        </is>
      </c>
      <c r="B183" t="inlineStr">
        <is>
          <t>Manufacturing Industry</t>
        </is>
      </c>
      <c r="C183" t="inlineStr">
        <is>
          <t>Table 22. Output of Bean Oil at the Principal Cities</t>
        </is>
      </c>
      <c r="D183" t="inlineStr">
        <is>
          <t>524</t>
        </is>
      </c>
      <c r="E183" t="inlineStr"/>
    </row>
    <row r="184">
      <c r="A184" s="3" t="inlineStr">
        <is>
          <t>IMG_5720_2</t>
        </is>
      </c>
      <c r="B184" t="inlineStr">
        <is>
          <t>Manufacturing Industry</t>
        </is>
      </c>
      <c r="C184" t="inlineStr">
        <is>
          <t>Table 23. Output of Bean Cake at the Principal Cities</t>
        </is>
      </c>
      <c r="D184" t="inlineStr">
        <is>
          <t>524</t>
        </is>
      </c>
      <c r="E184" t="inlineStr"/>
    </row>
    <row r="185">
      <c r="A185" s="3" t="inlineStr">
        <is>
          <t>IMG_5720_3</t>
        </is>
      </c>
      <c r="B185" t="inlineStr">
        <is>
          <t>Manufacturing Industry</t>
        </is>
      </c>
      <c r="C185" t="inlineStr">
        <is>
          <t>Table 24. Number of Bean-Cake Mills and Productive Capacity</t>
        </is>
      </c>
      <c r="D185" t="inlineStr">
        <is>
          <t>525</t>
        </is>
      </c>
      <c r="E185" t="inlineStr"/>
    </row>
    <row r="186">
      <c r="A186" s="3" t="inlineStr">
        <is>
          <t>IMG_5721_1</t>
        </is>
      </c>
      <c r="B186" t="inlineStr">
        <is>
          <t>Manufacturing Industry</t>
        </is>
      </c>
      <c r="C186" t="inlineStr">
        <is>
          <t>Table 25. Export of Bean Oil and Bean-Cake by Destinations</t>
        </is>
      </c>
      <c r="D186" t="inlineStr">
        <is>
          <t>526</t>
        </is>
      </c>
      <c r="E186" t="inlineStr"/>
    </row>
    <row r="187">
      <c r="A187" s="3" t="inlineStr">
        <is>
          <t>IMG_5721_2</t>
        </is>
      </c>
      <c r="B187" t="inlineStr">
        <is>
          <t>Manufacturing Industry</t>
        </is>
      </c>
      <c r="C187" t="inlineStr">
        <is>
          <t>Table 34. Statistics of Flour Mills</t>
        </is>
      </c>
      <c r="D187" t="inlineStr">
        <is>
          <t>527</t>
        </is>
      </c>
      <c r="E187" t="inlineStr"/>
    </row>
    <row r="188">
      <c r="A188" s="3" t="inlineStr">
        <is>
          <t>IMG_5722_1</t>
        </is>
      </c>
      <c r="B188" t="inlineStr">
        <is>
          <t>Manufacturing Industry</t>
        </is>
      </c>
      <c r="C188" t="inlineStr">
        <is>
          <t>Table 28. Alcohol Factories in Manchoukuo</t>
        </is>
      </c>
      <c r="D188" t="inlineStr">
        <is>
          <t>529</t>
        </is>
      </c>
      <c r="E188" t="inlineStr"/>
    </row>
    <row r="189">
      <c r="A189" s="3" t="inlineStr">
        <is>
          <t>IMG_5722_2</t>
        </is>
      </c>
      <c r="B189" t="inlineStr">
        <is>
          <t>Manufacturing Industry</t>
        </is>
      </c>
      <c r="C189" t="inlineStr">
        <is>
          <t>Table 26. Production of Alcoholic Liquors in Kwantung</t>
        </is>
      </c>
      <c r="D189" t="inlineStr">
        <is>
          <t>529</t>
        </is>
      </c>
      <c r="E189" t="inlineStr"/>
    </row>
    <row r="190">
      <c r="A190" s="3" t="inlineStr">
        <is>
          <t>IMG_5723_1</t>
        </is>
      </c>
      <c r="B190" t="inlineStr">
        <is>
          <t>Manufacturing Industry</t>
        </is>
      </c>
      <c r="C190" t="inlineStr">
        <is>
          <t>Table 27. Beer Brewery Companies in Manchoukuo</t>
        </is>
      </c>
      <c r="D190" t="inlineStr">
        <is>
          <t>530</t>
        </is>
      </c>
      <c r="E190" t="inlineStr"/>
    </row>
    <row r="191">
      <c r="A191" s="3" t="inlineStr">
        <is>
          <t>IMG_5723_2</t>
        </is>
      </c>
      <c r="B191" t="inlineStr">
        <is>
          <t>Manufacturing Industry</t>
        </is>
      </c>
      <c r="C191" t="inlineStr">
        <is>
          <t>Table 29. Production of Soy and Miso (Bean Paste) in Kwantung</t>
        </is>
      </c>
      <c r="D191" t="inlineStr">
        <is>
          <t>531</t>
        </is>
      </c>
      <c r="E191" t="inlineStr"/>
    </row>
    <row r="192">
      <c r="A192" s="3" t="inlineStr">
        <is>
          <t>IMG_5723_3</t>
        </is>
      </c>
      <c r="B192" t="inlineStr">
        <is>
          <t>Manufacturing Industry</t>
        </is>
      </c>
      <c r="C192" t="inlineStr">
        <is>
          <t>Table 30-A. Sugar Production in Manchoukuo</t>
        </is>
      </c>
      <c r="D192" t="inlineStr">
        <is>
          <t>531, 532</t>
        </is>
      </c>
      <c r="E192" t="inlineStr"/>
    </row>
    <row r="193">
      <c r="A193" s="3" t="inlineStr">
        <is>
          <t>IMG_5724_1</t>
        </is>
      </c>
      <c r="B193" t="inlineStr">
        <is>
          <t>Manufacturing Industry</t>
        </is>
      </c>
      <c r="C193" t="inlineStr">
        <is>
          <t>Table 30-B. Area, Production, Extract, etc.</t>
        </is>
      </c>
      <c r="D193" t="inlineStr">
        <is>
          <t>532</t>
        </is>
      </c>
      <c r="E193" t="inlineStr"/>
    </row>
    <row r="194">
      <c r="A194" s="3" t="inlineStr">
        <is>
          <t>IMG_5724_2</t>
        </is>
      </c>
      <c r="B194" t="inlineStr">
        <is>
          <t>Manufacturing Industry</t>
        </is>
      </c>
      <c r="C194" t="inlineStr">
        <is>
          <t>Table 31. Sugar Manufacturing Companies in Manchuria</t>
        </is>
      </c>
      <c r="D194" t="inlineStr">
        <is>
          <t>533</t>
        </is>
      </c>
      <c r="E194" t="inlineStr"/>
    </row>
    <row r="195">
      <c r="A195" s="3" t="inlineStr">
        <is>
          <t>IMG_5724_3</t>
        </is>
      </c>
      <c r="B195" t="inlineStr">
        <is>
          <t>Manufacturing Industry</t>
        </is>
      </c>
      <c r="C195" t="inlineStr">
        <is>
          <t>Table 32. Demand and Supply of Sugar in Manchuria</t>
        </is>
      </c>
      <c r="D195" t="inlineStr">
        <is>
          <t>533</t>
        </is>
      </c>
      <c r="E195" t="inlineStr"/>
    </row>
    <row r="196">
      <c r="A196" s="3" t="inlineStr">
        <is>
          <t>IMG_5725_1</t>
        </is>
      </c>
      <c r="B196" t="inlineStr">
        <is>
          <t>Manufacturing Industry</t>
        </is>
      </c>
      <c r="C196" t="inlineStr">
        <is>
          <t>Table 33. Sugar Imports of Manchuria by Kinds</t>
        </is>
      </c>
      <c r="D196" t="inlineStr">
        <is>
          <t>534</t>
        </is>
      </c>
      <c r="E196" t="inlineStr"/>
    </row>
    <row r="197">
      <c r="A197" s="3" t="inlineStr">
        <is>
          <t>IMG_5725_2</t>
        </is>
      </c>
      <c r="B197" t="inlineStr">
        <is>
          <t>Manufacturing Industry</t>
        </is>
      </c>
      <c r="C197" t="inlineStr">
        <is>
          <t>[Contemplated annual production of the Manchuria Electro-Chemical Industry Company]</t>
        </is>
      </c>
      <c r="D197" t="inlineStr">
        <is>
          <t>534, 535</t>
        </is>
      </c>
      <c r="E197" t="inlineStr"/>
    </row>
    <row r="198">
      <c r="A198" s="3" t="inlineStr">
        <is>
          <t>IMG_5725_3</t>
        </is>
      </c>
      <c r="B198" t="inlineStr">
        <is>
          <t>Manufacturing Industry</t>
        </is>
      </c>
      <c r="C198" t="inlineStr">
        <is>
          <t>Table 18. Production of Sulphate of Ammonia</t>
        </is>
      </c>
      <c r="D198" t="inlineStr">
        <is>
          <t>535, 536</t>
        </is>
      </c>
      <c r="E198" t="inlineStr"/>
    </row>
    <row r="199">
      <c r="A199" s="3" t="inlineStr">
        <is>
          <t>IMG_5726_1</t>
        </is>
      </c>
      <c r="B199" t="inlineStr">
        <is>
          <t>Manufacturing Industry</t>
        </is>
      </c>
      <c r="C199" t="inlineStr">
        <is>
          <t>Table 19. Production Capacity of Manchuria Chemical Industrial Co.</t>
        </is>
      </c>
      <c r="D199" t="inlineStr">
        <is>
          <t>536</t>
        </is>
      </c>
      <c r="E199" t="inlineStr"/>
    </row>
    <row r="200">
      <c r="A200" s="3" t="inlineStr">
        <is>
          <t>IMG_5727_1</t>
        </is>
      </c>
      <c r="B200" t="inlineStr">
        <is>
          <t>Manufacturing Industry</t>
        </is>
      </c>
      <c r="C200" t="inlineStr">
        <is>
          <t>Table 17. Pulp Manufacturing Concerns</t>
        </is>
      </c>
      <c r="D200" t="inlineStr">
        <is>
          <t>538</t>
        </is>
      </c>
      <c r="E200" t="inlineStr"/>
    </row>
    <row r="201">
      <c r="A201" s="3" t="inlineStr">
        <is>
          <t>IMG_5727_2</t>
        </is>
      </c>
      <c r="B201" t="inlineStr">
        <is>
          <t>Manufacturing Industry</t>
        </is>
      </c>
      <c r="C201" t="inlineStr">
        <is>
          <t>Table 13. Demand and Supply of Cement</t>
        </is>
      </c>
      <c r="D201" t="inlineStr">
        <is>
          <t>539, 540</t>
        </is>
      </c>
      <c r="E201" t="inlineStr"/>
    </row>
    <row r="202">
      <c r="A202" s="3" t="inlineStr">
        <is>
          <t>IMG_5728_1</t>
        </is>
      </c>
      <c r="B202" t="inlineStr">
        <is>
          <t>Manufacturing Industry</t>
        </is>
      </c>
      <c r="C202" t="inlineStr">
        <is>
          <t>Table 14. Cement Manufacturing Cos. in Manchuria</t>
        </is>
      </c>
      <c r="D202" t="inlineStr">
        <is>
          <t>540</t>
        </is>
      </c>
      <c r="E202" t="inlineStr"/>
    </row>
    <row r="203">
      <c r="A203" s="3" t="inlineStr">
        <is>
          <t>IMG_5729_1</t>
        </is>
      </c>
      <c r="B203" t="inlineStr">
        <is>
          <t>Manufacturing Industry</t>
        </is>
      </c>
      <c r="C203" t="inlineStr">
        <is>
          <t>Table 21. Match Manufacturing Companies in Manchuria</t>
        </is>
      </c>
      <c r="D203" t="inlineStr">
        <is>
          <t>542, 543</t>
        </is>
      </c>
      <c r="E203" t="inlineStr"/>
    </row>
    <row r="204">
      <c r="A204" s="3" t="inlineStr">
        <is>
          <t>IMG_5730_1</t>
        </is>
      </c>
      <c r="B204" t="inlineStr">
        <is>
          <t>Manufacturing Industry</t>
        </is>
      </c>
      <c r="C204" t="inlineStr">
        <is>
          <t>Table 16. Sheet Glass Manufacturing Companies</t>
        </is>
      </c>
      <c r="D204" t="inlineStr">
        <is>
          <t>545</t>
        </is>
      </c>
      <c r="E204" t="inlineStr"/>
    </row>
    <row r="205">
      <c r="A205" s="3" t="inlineStr">
        <is>
          <t>IMG_5732_1</t>
        </is>
      </c>
      <c r="B205" t="inlineStr">
        <is>
          <t>Manufacturing Industry</t>
        </is>
      </c>
      <c r="C205" t="inlineStr">
        <is>
          <t>Table 35. Imports of Machinery and Tools, Vehicles and Vessels</t>
        </is>
      </c>
      <c r="D205" t="inlineStr">
        <is>
          <t>549, 550</t>
        </is>
      </c>
      <c r="E205" t="inlineStr"/>
    </row>
    <row r="206">
      <c r="A206" s="3" t="inlineStr">
        <is>
          <t>IMG_5735_1</t>
        </is>
      </c>
      <c r="B206" t="inlineStr">
        <is>
          <t>Manufacturing Industry</t>
        </is>
      </c>
      <c r="C206" t="inlineStr">
        <is>
          <t>Table 37. Export of Hide, Leather and Skins</t>
        </is>
      </c>
      <c r="D206" t="inlineStr">
        <is>
          <t>554</t>
        </is>
      </c>
      <c r="E206" t="inlineStr"/>
    </row>
    <row r="207">
      <c r="A207" s="3" t="inlineStr">
        <is>
          <t>IMG_5735_2</t>
        </is>
      </c>
      <c r="B207" t="inlineStr">
        <is>
          <t>Manufacturing Industry</t>
        </is>
      </c>
      <c r="C207" t="inlineStr">
        <is>
          <t>Cigarette Production by Companies</t>
        </is>
      </c>
      <c r="D207" t="inlineStr">
        <is>
          <t>555</t>
        </is>
      </c>
      <c r="E207" t="inlineStr"/>
    </row>
    <row r="208">
      <c r="A208" s="3" t="inlineStr">
        <is>
          <t>IMG_5735_3</t>
        </is>
      </c>
      <c r="B208" t="inlineStr">
        <is>
          <t>Manufacturing Industry</t>
        </is>
      </c>
      <c r="C208" t="inlineStr">
        <is>
          <t>Table 36. Import of Tobacco Classified</t>
        </is>
      </c>
      <c r="D208" t="inlineStr">
        <is>
          <t>555</t>
        </is>
      </c>
      <c r="E208" t="inlineStr"/>
    </row>
    <row r="209">
      <c r="A209" s="3" t="inlineStr">
        <is>
          <t>IMG_5736_1</t>
        </is>
      </c>
      <c r="B209" t="inlineStr">
        <is>
          <t>Electric and Gas Industries</t>
        </is>
      </c>
      <c r="C209" t="inlineStr">
        <is>
          <t>Table 1. Electric Power Generation Potentialities of Principal River Systems</t>
        </is>
      </c>
      <c r="D209" t="inlineStr">
        <is>
          <t>557</t>
        </is>
      </c>
      <c r="E209" t="inlineStr"/>
    </row>
    <row r="210">
      <c r="A210" s="3" t="inlineStr">
        <is>
          <t>IMG_5738_1</t>
        </is>
      </c>
      <c r="B210" t="inlineStr">
        <is>
          <t>Electric and Gas Industries</t>
        </is>
      </c>
      <c r="C210" t="inlineStr">
        <is>
          <t>Table 2. Statistics of Power Generation</t>
        </is>
      </c>
      <c r="D210" t="inlineStr">
        <is>
          <t>561</t>
        </is>
      </c>
      <c r="E210" t="inlineStr"/>
    </row>
    <row r="211">
      <c r="A211" s="3" t="inlineStr">
        <is>
          <t>IMG_5739_1</t>
        </is>
      </c>
      <c r="B211" t="inlineStr">
        <is>
          <t>Electric and Gas Industries</t>
        </is>
      </c>
      <c r="C211" t="inlineStr">
        <is>
          <t>Table 3. Electric Power Consumption Classified</t>
        </is>
      </c>
      <c r="D211" t="inlineStr">
        <is>
          <t>562</t>
        </is>
      </c>
      <c r="E211" t="inlineStr"/>
    </row>
    <row r="212">
      <c r="A212" s="3" t="inlineStr">
        <is>
          <t>IMG_5739_2</t>
        </is>
      </c>
      <c r="B212" t="inlineStr">
        <is>
          <t>Electric and Gas Industries</t>
        </is>
      </c>
      <c r="C212" t="inlineStr">
        <is>
          <t>Table 4. Electric Power Consumption Classified by Industries</t>
        </is>
      </c>
      <c r="D212" t="inlineStr">
        <is>
          <t>562</t>
        </is>
      </c>
      <c r="E212" t="inlineStr"/>
    </row>
    <row r="213">
      <c r="A213" s="3" t="inlineStr">
        <is>
          <t>IMG_5739_3</t>
        </is>
      </c>
      <c r="B213" t="inlineStr">
        <is>
          <t>Electric and Gas Industries</t>
        </is>
      </c>
      <c r="C213" t="inlineStr">
        <is>
          <t>Table 5. Electric Power Consumption Classified by Industries</t>
        </is>
      </c>
      <c r="D213" t="inlineStr">
        <is>
          <t>563, 564</t>
        </is>
      </c>
      <c r="E213" t="inlineStr"/>
    </row>
    <row r="214">
      <c r="A214" s="3" t="inlineStr">
        <is>
          <t>IMG_5741_1</t>
        </is>
      </c>
      <c r="B214" t="inlineStr">
        <is>
          <t>Electric and Gas Industries</t>
        </is>
      </c>
      <c r="C214" t="inlineStr">
        <is>
          <t>Table 6. Subsidiary Companies of the Manchuria Electric Co.</t>
        </is>
      </c>
      <c r="D214" t="inlineStr">
        <is>
          <t>566</t>
        </is>
      </c>
      <c r="E214" t="inlineStr"/>
    </row>
    <row r="215">
      <c r="A215" s="3" t="inlineStr">
        <is>
          <t>IMG_5743_1</t>
        </is>
      </c>
      <c r="B215" t="inlineStr">
        <is>
          <t>Electric and Gas Industries</t>
        </is>
      </c>
      <c r="C215" t="inlineStr">
        <is>
          <t>Table 7. Statistics of Gas Industry</t>
        </is>
      </c>
      <c r="D215" t="inlineStr">
        <is>
          <t>570</t>
        </is>
      </c>
      <c r="E215" t="inlineStr"/>
    </row>
    <row r="216">
      <c r="A216" s="3" t="inlineStr">
        <is>
          <t>IMG_5743_2</t>
        </is>
      </c>
      <c r="B216" t="inlineStr">
        <is>
          <t>Transportation</t>
        </is>
      </c>
      <c r="C216" t="inlineStr">
        <is>
          <t>Table 1. Road and Bridge Construction</t>
        </is>
      </c>
      <c r="D216" t="inlineStr">
        <is>
          <t>571</t>
        </is>
      </c>
      <c r="E216" t="inlineStr"/>
    </row>
    <row r="217">
      <c r="A217" s="3" t="inlineStr">
        <is>
          <t>IMG_5744_1</t>
        </is>
      </c>
      <c r="B217" t="inlineStr">
        <is>
          <t>Transportation</t>
        </is>
      </c>
      <c r="C217" t="inlineStr">
        <is>
          <t>Table 2. Length of Roads Classified</t>
        </is>
      </c>
      <c r="D217" t="inlineStr">
        <is>
          <t>572</t>
        </is>
      </c>
      <c r="E217" t="inlineStr"/>
    </row>
    <row r="218">
      <c r="A218" s="3" t="inlineStr">
        <is>
          <t>IMG_5744_2</t>
        </is>
      </c>
      <c r="B218" t="inlineStr">
        <is>
          <t>Transportation</t>
        </is>
      </c>
      <c r="C218" t="inlineStr">
        <is>
          <t>Table 3. Five-Year Plan for Improvement of Local Roads and Bridges</t>
        </is>
      </c>
      <c r="D218" t="inlineStr">
        <is>
          <t>572</t>
        </is>
      </c>
      <c r="E218" t="inlineStr"/>
    </row>
    <row r="219">
      <c r="A219" s="3" t="inlineStr">
        <is>
          <t>IMG_5745_1</t>
        </is>
      </c>
      <c r="B219" t="inlineStr">
        <is>
          <t>Transportation</t>
        </is>
      </c>
      <c r="C219" t="inlineStr">
        <is>
          <t>Table 4. Condition of Motor Bus Transportation</t>
        </is>
      </c>
      <c r="D219" t="inlineStr">
        <is>
          <t>574</t>
        </is>
      </c>
      <c r="E219" t="inlineStr"/>
    </row>
    <row r="220">
      <c r="A220" s="3" t="inlineStr">
        <is>
          <t>IMG_5745_2</t>
        </is>
      </c>
      <c r="B220" t="inlineStr">
        <is>
          <t>Transportation</t>
        </is>
      </c>
      <c r="C220" t="inlineStr">
        <is>
          <t>Table 5. State Bus Lines</t>
        </is>
      </c>
      <c r="D220" t="inlineStr">
        <is>
          <t>575, 576, 577, 578</t>
        </is>
      </c>
      <c r="E220" t="inlineStr"/>
    </row>
    <row r="221">
      <c r="A221" s="3" t="inlineStr">
        <is>
          <t>IMG_5747_1</t>
        </is>
      </c>
      <c r="B221" t="inlineStr">
        <is>
          <t>Transportation</t>
        </is>
      </c>
      <c r="C221" t="inlineStr">
        <is>
          <t>Table 6. Navigation Bureaus by Territories</t>
        </is>
      </c>
      <c r="D221" t="inlineStr">
        <is>
          <t>579</t>
        </is>
      </c>
      <c r="E221" t="inlineStr"/>
    </row>
    <row r="222">
      <c r="A222" s="3" t="inlineStr">
        <is>
          <t>IMG_5748_1</t>
        </is>
      </c>
      <c r="B222" t="inlineStr">
        <is>
          <t>Transportation</t>
        </is>
      </c>
      <c r="C222" t="inlineStr">
        <is>
          <t>Table 7. Regular River Voyage Course</t>
        </is>
      </c>
      <c r="D222" t="inlineStr">
        <is>
          <t>580</t>
        </is>
      </c>
      <c r="E222" t="inlineStr"/>
    </row>
    <row r="223">
      <c r="A223" s="3" t="inlineStr">
        <is>
          <t>IMG_5748_2</t>
        </is>
      </c>
      <c r="B223" t="inlineStr">
        <is>
          <t>Transportation</t>
        </is>
      </c>
      <c r="C223" t="inlineStr">
        <is>
          <t>Table 8. Results of River Voyage</t>
        </is>
      </c>
      <c r="D223" t="inlineStr">
        <is>
          <t>580</t>
        </is>
      </c>
      <c r="E223" t="inlineStr"/>
    </row>
    <row r="224">
      <c r="A224" s="3" t="inlineStr">
        <is>
          <t>IMG_5748_3</t>
        </is>
      </c>
      <c r="B224" t="inlineStr">
        <is>
          <t>Transportation</t>
        </is>
      </c>
      <c r="C224" t="inlineStr">
        <is>
          <t>Table 9. Number of Registered Vessels</t>
        </is>
      </c>
      <c r="D224" t="inlineStr">
        <is>
          <t>580</t>
        </is>
      </c>
      <c r="E224" t="inlineStr"/>
    </row>
    <row r="225">
      <c r="A225" s="3" t="inlineStr">
        <is>
          <t>IMG_5750_1</t>
        </is>
      </c>
      <c r="B225" t="inlineStr">
        <is>
          <t>Railways</t>
        </is>
      </c>
      <c r="C225" t="inlineStr">
        <is>
          <t>Table 1. General Statistics of Railways in Manchuria</t>
        </is>
      </c>
      <c r="D225" t="inlineStr">
        <is>
          <t>585, 587</t>
        </is>
      </c>
      <c r="E225" t="inlineStr"/>
    </row>
    <row r="226">
      <c r="A226" s="3" t="inlineStr">
        <is>
          <t>IMG_5751_1</t>
        </is>
      </c>
      <c r="B226" t="inlineStr">
        <is>
          <t>Railways</t>
        </is>
      </c>
      <c r="C226" t="inlineStr">
        <is>
          <t>Table 2. Railways Built Prior to Founding of Manchoukuo in 1932</t>
        </is>
      </c>
      <c r="D226" t="inlineStr">
        <is>
          <t>587, 588</t>
        </is>
      </c>
      <c r="E226" t="inlineStr"/>
    </row>
    <row r="227">
      <c r="A227" s="3" t="inlineStr">
        <is>
          <t>IMG_5752_1</t>
        </is>
      </c>
      <c r="B227" t="inlineStr">
        <is>
          <t>Railways</t>
        </is>
      </c>
      <c r="C227" t="inlineStr">
        <is>
          <t>Table 3. State Railways Built from 1933 to 1940</t>
        </is>
      </c>
      <c r="D227" t="inlineStr">
        <is>
          <t>588, 589</t>
        </is>
      </c>
      <c r="E227" t="inlineStr"/>
    </row>
    <row r="228">
      <c r="A228" s="3" t="inlineStr">
        <is>
          <t>IMG_5752_2</t>
        </is>
      </c>
      <c r="B228" t="inlineStr">
        <is>
          <t>Railways</t>
        </is>
      </c>
      <c r="C228" t="inlineStr">
        <is>
          <t>Table 4. Goods Hauled by Kinds</t>
        </is>
      </c>
      <c r="D228" t="inlineStr">
        <is>
          <t>589</t>
        </is>
      </c>
      <c r="E228" t="inlineStr"/>
    </row>
    <row r="229">
      <c r="A229" s="3" t="inlineStr">
        <is>
          <t>IMG_5752_3</t>
        </is>
      </c>
      <c r="B229" t="inlineStr">
        <is>
          <t>Railways</t>
        </is>
      </c>
      <c r="C229" t="inlineStr">
        <is>
          <t>Table 5. Principal Commodities Hauled</t>
        </is>
      </c>
      <c r="D229" t="inlineStr">
        <is>
          <t>589, 590</t>
        </is>
      </c>
      <c r="E229" t="inlineStr"/>
    </row>
    <row r="230">
      <c r="A230" s="3" t="inlineStr">
        <is>
          <t>IMG_5755_1</t>
        </is>
      </c>
      <c r="B230" t="inlineStr">
        <is>
          <t>Railways</t>
        </is>
      </c>
      <c r="C230" t="inlineStr">
        <is>
          <t>[Tonnage freighted by the Chinese Eastern Railway, 1903-1932]</t>
        </is>
      </c>
      <c r="D230" t="inlineStr">
        <is>
          <t>594</t>
        </is>
      </c>
      <c r="E230" t="inlineStr"/>
    </row>
    <row r="231">
      <c r="A231" s="3" t="inlineStr">
        <is>
          <t>IMG_5758_1</t>
        </is>
      </c>
      <c r="B231" t="inlineStr">
        <is>
          <t>Railways</t>
        </is>
      </c>
      <c r="C231" t="inlineStr">
        <is>
          <t>Table 6. South Manchuria Railway Lines</t>
        </is>
      </c>
      <c r="D231" t="inlineStr">
        <is>
          <t>601</t>
        </is>
      </c>
      <c r="E231" t="inlineStr"/>
    </row>
    <row r="232">
      <c r="A232" s="3" t="inlineStr">
        <is>
          <t>IMG_5764_1</t>
        </is>
      </c>
      <c r="B232" t="inlineStr">
        <is>
          <t>Railways</t>
        </is>
      </c>
      <c r="C232" t="inlineStr">
        <is>
          <t>Tables of Distances</t>
        </is>
      </c>
      <c r="D232" t="inlineStr">
        <is>
          <t>612</t>
        </is>
      </c>
      <c r="E232" t="inlineStr"/>
    </row>
    <row r="233">
      <c r="A233" s="3" t="inlineStr">
        <is>
          <t>IMG_5765_1</t>
        </is>
      </c>
      <c r="B233" t="inlineStr">
        <is>
          <t>Communications</t>
        </is>
      </c>
      <c r="C233" t="inlineStr">
        <is>
          <t>Table 1. Number of Post Offices by Jurisdictions</t>
        </is>
      </c>
      <c r="D233" t="inlineStr">
        <is>
          <t>615</t>
        </is>
      </c>
      <c r="E233" t="inlineStr"/>
    </row>
    <row r="234">
      <c r="A234" s="3" t="inlineStr">
        <is>
          <t>IMG_5766_1</t>
        </is>
      </c>
      <c r="B234" t="inlineStr">
        <is>
          <t>Communications</t>
        </is>
      </c>
      <c r="C234" t="inlineStr">
        <is>
          <t>Table 2. Number of Inland Mails Handled</t>
        </is>
      </c>
      <c r="D234" t="inlineStr">
        <is>
          <t>616</t>
        </is>
      </c>
      <c r="E234" t="inlineStr"/>
    </row>
    <row r="235">
      <c r="A235" s="3" t="inlineStr">
        <is>
          <t>IMG_5767_1</t>
        </is>
      </c>
      <c r="B235" t="inlineStr">
        <is>
          <t>Communications</t>
        </is>
      </c>
      <c r="C235" t="inlineStr">
        <is>
          <t>Table 3. Foreign Mail Handled</t>
        </is>
      </c>
      <c r="D235" t="inlineStr">
        <is>
          <t>618</t>
        </is>
      </c>
      <c r="E235" t="inlineStr"/>
    </row>
    <row r="236">
      <c r="A236" s="3" t="inlineStr">
        <is>
          <t>IMG_5767_2</t>
        </is>
      </c>
      <c r="B236" t="inlineStr">
        <is>
          <t>Communications</t>
        </is>
      </c>
      <c r="C236" t="inlineStr">
        <is>
          <t>Table 4. Air Mails Handled</t>
        </is>
      </c>
      <c r="D236" t="inlineStr">
        <is>
          <t>618, 619</t>
        </is>
      </c>
      <c r="E236" t="inlineStr"/>
    </row>
    <row r="237">
      <c r="A237" s="3" t="inlineStr">
        <is>
          <t>IMG_5769_1</t>
        </is>
      </c>
      <c r="B237" t="inlineStr">
        <is>
          <t>Communications</t>
        </is>
      </c>
      <c r="C237" t="inlineStr">
        <is>
          <t>Table 5. General Statistics on Telegraph and Telephone</t>
        </is>
      </c>
      <c r="D237" t="inlineStr">
        <is>
          <t>623</t>
        </is>
      </c>
      <c r="E237" t="inlineStr"/>
    </row>
    <row r="238">
      <c r="A238" s="3" t="inlineStr">
        <is>
          <t>IMG_5770_1</t>
        </is>
      </c>
      <c r="B238" t="inlineStr">
        <is>
          <t>Communications</t>
        </is>
      </c>
      <c r="C238" t="inlineStr">
        <is>
          <t>Table 6. No. of Telegraph Office</t>
        </is>
      </c>
      <c r="D238" t="inlineStr">
        <is>
          <t>624</t>
        </is>
      </c>
      <c r="E238" t="inlineStr"/>
    </row>
    <row r="239">
      <c r="A239" s="3" t="inlineStr">
        <is>
          <t>IMG_5770_2</t>
        </is>
      </c>
      <c r="B239" t="inlineStr">
        <is>
          <t>Communications</t>
        </is>
      </c>
      <c r="C239" t="inlineStr">
        <is>
          <t>Table 7. Number of Telegrams Handled</t>
        </is>
      </c>
      <c r="D239" t="inlineStr">
        <is>
          <t>624, 625</t>
        </is>
      </c>
      <c r="E239" t="inlineStr"/>
    </row>
    <row r="240">
      <c r="A240" s="3" t="inlineStr">
        <is>
          <t>IMG_5772_1</t>
        </is>
      </c>
      <c r="B240" t="inlineStr">
        <is>
          <t>Communications</t>
        </is>
      </c>
      <c r="C240" t="inlineStr">
        <is>
          <t>[Overseas broadcast programme schedules]</t>
        </is>
      </c>
      <c r="D240" t="inlineStr">
        <is>
          <t>628, 629</t>
        </is>
      </c>
      <c r="E240" t="inlineStr"/>
    </row>
    <row r="241">
      <c r="A241" s="3" t="inlineStr">
        <is>
          <t>IMG_5772_2</t>
        </is>
      </c>
      <c r="B241" t="inlineStr">
        <is>
          <t>Communications</t>
        </is>
      </c>
      <c r="C241" t="inlineStr">
        <is>
          <t>Table 8. No. of Broadcasting Stations</t>
        </is>
      </c>
      <c r="D241" t="inlineStr">
        <is>
          <t>629</t>
        </is>
      </c>
      <c r="E241" t="inlineStr"/>
    </row>
    <row r="242">
      <c r="A242" s="3" t="inlineStr">
        <is>
          <t>IMG_5773_1</t>
        </is>
      </c>
      <c r="B242" t="inlineStr">
        <is>
          <t>Labor</t>
        </is>
      </c>
      <c r="C242" t="inlineStr">
        <is>
          <t>Table 1. Immigration Movement from North China</t>
        </is>
      </c>
      <c r="D242" t="inlineStr">
        <is>
          <t>631, 632</t>
        </is>
      </c>
      <c r="E242" t="inlineStr"/>
    </row>
    <row r="243">
      <c r="A243" s="3" t="inlineStr">
        <is>
          <t>IMG_5774_1</t>
        </is>
      </c>
      <c r="B243" t="inlineStr">
        <is>
          <t>Labor</t>
        </is>
      </c>
      <c r="C243" t="inlineStr">
        <is>
          <t>[Immigrants admitted and identity papers issued by the Tatung Company, 1935-1940]</t>
        </is>
      </c>
      <c r="D243" t="inlineStr">
        <is>
          <t>633</t>
        </is>
      </c>
      <c r="E243" t="inlineStr"/>
    </row>
    <row r="244">
      <c r="A244" s="3" t="inlineStr">
        <is>
          <t>IMG_5775_1</t>
        </is>
      </c>
      <c r="B244" t="inlineStr">
        <is>
          <t>Labor</t>
        </is>
      </c>
      <c r="C244" t="inlineStr">
        <is>
          <t>Table 2. Daily Standard Wages for Male Workers</t>
        </is>
      </c>
      <c r="D244" t="inlineStr">
        <is>
          <t>635, 636</t>
        </is>
      </c>
      <c r="E244" t="inlineStr"/>
    </row>
    <row r="245">
      <c r="A245" s="3" t="inlineStr">
        <is>
          <t>IMG_5779_1</t>
        </is>
      </c>
      <c r="B245" t="inlineStr">
        <is>
          <t>Labor</t>
        </is>
      </c>
      <c r="C245" t="inlineStr">
        <is>
          <t>Table 3. General Indices of Cost of Living</t>
        </is>
      </c>
      <c r="D245" t="inlineStr">
        <is>
          <t>643, 644</t>
        </is>
      </c>
      <c r="E245" t="inlineStr"/>
    </row>
    <row r="246">
      <c r="A246" s="3" t="inlineStr">
        <is>
          <t>IMG_5780_1</t>
        </is>
      </c>
      <c r="B246" t="inlineStr">
        <is>
          <t>Labor</t>
        </is>
      </c>
      <c r="C246" t="inlineStr">
        <is>
          <t>Table 4. Indices of Cost of Living Classified</t>
        </is>
      </c>
      <c r="D246" t="inlineStr">
        <is>
          <t>644, 645</t>
        </is>
      </c>
      <c r="E246" t="inlineStr"/>
    </row>
    <row r="247">
      <c r="A247" s="3" t="inlineStr">
        <is>
          <t>IMG_5780_2</t>
        </is>
      </c>
      <c r="B247" t="inlineStr">
        <is>
          <t>Labor</t>
        </is>
      </c>
      <c r="C247" t="inlineStr">
        <is>
          <t>Table 5. Average Daily Wages</t>
        </is>
      </c>
      <c r="D247" t="inlineStr">
        <is>
          <t>645, 646</t>
        </is>
      </c>
      <c r="E247" t="inlineStr"/>
    </row>
    <row r="248">
      <c r="A248" s="3" t="inlineStr">
        <is>
          <t>IMG_5781_1</t>
        </is>
      </c>
      <c r="B248" t="inlineStr">
        <is>
          <t>Labor</t>
        </is>
      </c>
      <c r="C248" t="inlineStr">
        <is>
          <t>Table 6. Labor Disputes</t>
        </is>
      </c>
      <c r="D248" t="inlineStr">
        <is>
          <t>647</t>
        </is>
      </c>
      <c r="E248" t="inlineStr"/>
    </row>
    <row r="249">
      <c r="A249" s="3" t="inlineStr">
        <is>
          <t>IMG_5781_2</t>
        </is>
      </c>
      <c r="B249" t="inlineStr">
        <is>
          <t>Labor</t>
        </is>
      </c>
      <c r="C249" t="inlineStr">
        <is>
          <t>Table 7. Labor Disputes by Causes</t>
        </is>
      </c>
      <c r="D249" t="inlineStr">
        <is>
          <t>647</t>
        </is>
      </c>
      <c r="E249" t="inlineStr"/>
    </row>
    <row r="250">
      <c r="A250" s="3" t="inlineStr">
        <is>
          <t>IMG_5783_1</t>
        </is>
      </c>
      <c r="B250" t="inlineStr">
        <is>
          <t>Cultural Activities</t>
        </is>
      </c>
      <c r="C250" t="inlineStr">
        <is>
          <t>[Educational institutions in Manchuria in 1929 (final statistics of the Northeastern regime)]</t>
        </is>
      </c>
      <c r="D250" t="inlineStr">
        <is>
          <t>650</t>
        </is>
      </c>
      <c r="E250" t="inlineStr"/>
    </row>
    <row r="251">
      <c r="A251" s="3" t="inlineStr">
        <is>
          <t>IMG_5785_1</t>
        </is>
      </c>
      <c r="B251" t="inlineStr">
        <is>
          <t>Cultural Activities</t>
        </is>
      </c>
      <c r="C251" t="inlineStr">
        <is>
          <t>Table 1. Statistics of Primary Educational Organs</t>
        </is>
      </c>
      <c r="D251" t="inlineStr">
        <is>
          <t>654, 655</t>
        </is>
      </c>
      <c r="E251" t="inlineStr"/>
    </row>
    <row r="252">
      <c r="A252" s="3" t="inlineStr">
        <is>
          <t>IMG_5785_2</t>
        </is>
      </c>
      <c r="B252" t="inlineStr">
        <is>
          <t>Cultural Activities</t>
        </is>
      </c>
      <c r="C252" t="inlineStr">
        <is>
          <t>Table 2. Children of Primary Education Age</t>
        </is>
      </c>
      <c r="D252" t="inlineStr">
        <is>
          <t>655</t>
        </is>
      </c>
      <c r="E252" t="inlineStr"/>
    </row>
    <row r="253">
      <c r="A253" s="3" t="inlineStr">
        <is>
          <t>IMG_5785_3</t>
        </is>
      </c>
      <c r="B253" t="inlineStr">
        <is>
          <t>Cultural Activities</t>
        </is>
      </c>
      <c r="C253" t="inlineStr">
        <is>
          <t>Table 3. Private Institutes</t>
        </is>
      </c>
      <c r="D253" t="inlineStr">
        <is>
          <t>655</t>
        </is>
      </c>
      <c r="E253" t="inlineStr"/>
    </row>
    <row r="254">
      <c r="A254" s="3" t="inlineStr">
        <is>
          <t>IMG_5786_1</t>
        </is>
      </c>
      <c r="B254" t="inlineStr">
        <is>
          <t>Cultural Activities</t>
        </is>
      </c>
      <c r="C254" t="inlineStr">
        <is>
          <t>Table 4. Kindergartens</t>
        </is>
      </c>
      <c r="D254" t="inlineStr">
        <is>
          <t>656</t>
        </is>
      </c>
      <c r="E254" t="inlineStr"/>
    </row>
    <row r="255">
      <c r="A255" s="3" t="inlineStr">
        <is>
          <t>IMG_5787_1</t>
        </is>
      </c>
      <c r="B255" t="inlineStr">
        <is>
          <t>Cultural Activities</t>
        </is>
      </c>
      <c r="C255" t="inlineStr">
        <is>
          <t>Table 5. Statistics of Secondary Schools</t>
        </is>
      </c>
      <c r="D255" t="inlineStr">
        <is>
          <t>659</t>
        </is>
      </c>
      <c r="E255" t="inlineStr"/>
    </row>
    <row r="256">
      <c r="A256" s="3" t="inlineStr">
        <is>
          <t>IMG_5787_2</t>
        </is>
      </c>
      <c r="B256" t="inlineStr">
        <is>
          <t>Cultural Activities</t>
        </is>
      </c>
      <c r="C256" t="inlineStr">
        <is>
          <t>Table 6. Secondary Schools by Province</t>
        </is>
      </c>
      <c r="D256" t="inlineStr">
        <is>
          <t>659, 660</t>
        </is>
      </c>
      <c r="E256" t="inlineStr"/>
    </row>
    <row r="257">
      <c r="A257" s="3" t="inlineStr">
        <is>
          <t>IMG_5788_1</t>
        </is>
      </c>
      <c r="B257" t="inlineStr">
        <is>
          <t>Cultural Activities</t>
        </is>
      </c>
      <c r="C257" t="inlineStr">
        <is>
          <t>Table 7. Normal Schools</t>
        </is>
      </c>
      <c r="D257" t="inlineStr">
        <is>
          <t>661</t>
        </is>
      </c>
      <c r="E257" t="inlineStr"/>
    </row>
    <row r="258">
      <c r="A258" s="3" t="inlineStr">
        <is>
          <t>IMG_5790_1</t>
        </is>
      </c>
      <c r="B258" t="inlineStr">
        <is>
          <t>Cultural Activities</t>
        </is>
      </c>
      <c r="C258" t="inlineStr">
        <is>
          <t>Table 8. Yearly Comparison of Higher Educational Organs</t>
        </is>
      </c>
      <c r="D258" t="inlineStr">
        <is>
          <t>664</t>
        </is>
      </c>
      <c r="E258" t="inlineStr"/>
    </row>
    <row r="259">
      <c r="A259" s="3" t="inlineStr">
        <is>
          <t>IMG_5790_2</t>
        </is>
      </c>
      <c r="B259" t="inlineStr">
        <is>
          <t>Cultural Activities</t>
        </is>
      </c>
      <c r="C259" t="inlineStr">
        <is>
          <t>Table 9. Higher Educational Organs</t>
        </is>
      </c>
      <c r="D259" t="inlineStr">
        <is>
          <t>664</t>
        </is>
      </c>
      <c r="E259" t="inlineStr"/>
    </row>
    <row r="260">
      <c r="A260" s="3" t="inlineStr">
        <is>
          <t>IMG_5790_3</t>
        </is>
      </c>
      <c r="B260" t="inlineStr">
        <is>
          <t>Cultural Activities</t>
        </is>
      </c>
      <c r="C260" t="inlineStr">
        <is>
          <t>Table 10. Students Despatched for Further Study by the Manchoukuo Gov't</t>
        </is>
      </c>
      <c r="D260" t="inlineStr">
        <is>
          <t>665</t>
        </is>
      </c>
      <c r="E260" t="inlineStr"/>
    </row>
    <row r="261">
      <c r="A261" s="3" t="inlineStr">
        <is>
          <t>IMG_5790_4</t>
        </is>
      </c>
      <c r="B261" t="inlineStr">
        <is>
          <t>Cultural Activities</t>
        </is>
      </c>
      <c r="C261" t="inlineStr">
        <is>
          <t>Table 11. Students Studying in Japan Classified</t>
        </is>
      </c>
      <c r="D261" t="inlineStr">
        <is>
          <t>665</t>
        </is>
      </c>
      <c r="E261" t="inlineStr"/>
    </row>
    <row r="262">
      <c r="A262" s="3" t="inlineStr">
        <is>
          <t>IMG_5791_1</t>
        </is>
      </c>
      <c r="B262" t="inlineStr">
        <is>
          <t>Cultural Activities</t>
        </is>
      </c>
      <c r="C262" t="inlineStr">
        <is>
          <t>Table 12. Statistics of Religious Parties</t>
        </is>
      </c>
      <c r="D262" t="inlineStr">
        <is>
          <t>666</t>
        </is>
      </c>
      <c r="E262" t="inlineStr"/>
    </row>
    <row r="263">
      <c r="A263" s="3" t="inlineStr">
        <is>
          <t>IMG_5796_1</t>
        </is>
      </c>
      <c r="B263" t="inlineStr">
        <is>
          <t>Cultural Activities</t>
        </is>
      </c>
      <c r="C263" t="inlineStr">
        <is>
          <t>Table 13. Motion Picture Films Censored</t>
        </is>
      </c>
      <c r="D263" t="inlineStr">
        <is>
          <t>677</t>
        </is>
      </c>
      <c r="E263" t="inlineStr"/>
    </row>
    <row r="264">
      <c r="A264" s="3" t="inlineStr">
        <is>
          <t>IMG_5798_1</t>
        </is>
      </c>
      <c r="B264" t="inlineStr">
        <is>
          <t>Cultural Activities</t>
        </is>
      </c>
      <c r="C264" t="inlineStr">
        <is>
          <t>Table 14. Number of Publications</t>
        </is>
      </c>
      <c r="D264" t="inlineStr">
        <is>
          <t>678</t>
        </is>
      </c>
      <c r="E264" t="inlineStr"/>
    </row>
    <row r="265">
      <c r="A265" s="3" t="inlineStr">
        <is>
          <t>IMG_5798_2</t>
        </is>
      </c>
      <c r="B265" t="inlineStr">
        <is>
          <t>Cultural Activities</t>
        </is>
      </c>
      <c r="C265" t="inlineStr">
        <is>
          <t>Table 15. Publications Classified</t>
        </is>
      </c>
      <c r="D265" t="inlineStr">
        <is>
          <t>678</t>
        </is>
      </c>
      <c r="E265" t="inlineStr"/>
    </row>
    <row r="266">
      <c r="A266" s="3" t="inlineStr">
        <is>
          <t>IMG_5798_3</t>
        </is>
      </c>
      <c r="B266" t="inlineStr">
        <is>
          <t>Cultural Activities</t>
        </is>
      </c>
      <c r="C266" t="inlineStr">
        <is>
          <t>Table 16. Leading Journals in Manchoukuo</t>
        </is>
      </c>
      <c r="D266" t="inlineStr">
        <is>
          <t>679</t>
        </is>
      </c>
      <c r="E266" t="inlineStr"/>
    </row>
    <row r="267">
      <c r="A267" s="3" t="inlineStr">
        <is>
          <t>IMG_5799_1</t>
        </is>
      </c>
      <c r="B267" t="inlineStr">
        <is>
          <t>Sanitation</t>
        </is>
      </c>
      <c r="C267" t="inlineStr">
        <is>
          <t>Table 1. Number of Medical Institutes</t>
        </is>
      </c>
      <c r="D267" t="inlineStr">
        <is>
          <t>681</t>
        </is>
      </c>
      <c r="E267" t="inlineStr"/>
    </row>
    <row r="268">
      <c r="A268" s="3" t="inlineStr">
        <is>
          <t>IMG_5800_1</t>
        </is>
      </c>
      <c r="B268" t="inlineStr">
        <is>
          <t>Sanitation</t>
        </is>
      </c>
      <c r="C268" t="inlineStr">
        <is>
          <t>Table 2. Number of Medical Practitioners</t>
        </is>
      </c>
      <c r="D268" t="inlineStr">
        <is>
          <t>682</t>
        </is>
      </c>
      <c r="E268" t="inlineStr"/>
    </row>
    <row r="269">
      <c r="A269" s="3" t="inlineStr">
        <is>
          <t>IMG_5800_2</t>
        </is>
      </c>
      <c r="B269" t="inlineStr">
        <is>
          <t>Sanitation</t>
        </is>
      </c>
      <c r="C269" t="inlineStr">
        <is>
          <t>Table 3. Number of Patients Treated by Public Physicians</t>
        </is>
      </c>
      <c r="D269" t="inlineStr">
        <is>
          <t>683</t>
        </is>
      </c>
      <c r="E269" t="inlineStr"/>
    </row>
    <row r="270">
      <c r="A270" s="3" t="inlineStr">
        <is>
          <t>IMG_5802_1</t>
        </is>
      </c>
      <c r="B270" t="inlineStr">
        <is>
          <t>Sanitation</t>
        </is>
      </c>
      <c r="C270" t="inlineStr">
        <is>
          <t>Table 4. Notifiable Infectious Diseases</t>
        </is>
      </c>
      <c r="D270" t="inlineStr">
        <is>
          <t>687</t>
        </is>
      </c>
      <c r="E270" t="inlineStr"/>
    </row>
    <row r="271">
      <c r="A271" s="3" t="inlineStr">
        <is>
          <t>IMG_5803_1</t>
        </is>
      </c>
      <c r="B271" t="inlineStr">
        <is>
          <t>Sanitation</t>
        </is>
      </c>
      <c r="C271" t="inlineStr">
        <is>
          <t>Table 5. Death Rate of Japanese in Manchoukuo per 1,000 Population</t>
        </is>
      </c>
      <c r="D271" t="inlineStr">
        <is>
          <t>688</t>
        </is>
      </c>
      <c r="E271" t="inlineStr"/>
    </row>
    <row r="272">
      <c r="A272" s="3" t="inlineStr">
        <is>
          <t>IMG_5803_2</t>
        </is>
      </c>
      <c r="B272" t="inlineStr">
        <is>
          <t>Sanitation</t>
        </is>
      </c>
      <c r="C272" t="inlineStr">
        <is>
          <t>Table 6. Death Rate of School Children per 10,000</t>
        </is>
      </c>
      <c r="D272" t="inlineStr">
        <is>
          <t>688</t>
        </is>
      </c>
      <c r="E272" t="inlineStr"/>
    </row>
    <row r="273">
      <c r="A273" s="3" t="inlineStr">
        <is>
          <t>IMG_5806_1</t>
        </is>
      </c>
      <c r="B273" t="inlineStr">
        <is>
          <t>Sanitation</t>
        </is>
      </c>
      <c r="C273" t="inlineStr">
        <is>
          <t>Table 7. Foreign Hospitals</t>
        </is>
      </c>
      <c r="D273" t="inlineStr">
        <is>
          <t>694</t>
        </is>
      </c>
      <c r="E273" t="inlineStr"/>
    </row>
    <row r="274">
      <c r="A274" s="3" t="inlineStr">
        <is>
          <t>IMG_5808_1</t>
        </is>
      </c>
      <c r="B274" t="inlineStr">
        <is>
          <t>Sanitation</t>
        </is>
      </c>
      <c r="C274" t="inlineStr">
        <is>
          <t>Table 8. No. of Registered Opium and Other Narcotics Addicts</t>
        </is>
      </c>
      <c r="D274" t="inlineStr">
        <is>
          <t>698</t>
        </is>
      </c>
      <c r="E274" t="inlineStr"/>
    </row>
    <row r="275">
      <c r="A275" s="3" t="inlineStr">
        <is>
          <t>IMG_5808_2</t>
        </is>
      </c>
      <c r="B275" t="inlineStr">
        <is>
          <t>Sanitation</t>
        </is>
      </c>
      <c r="C275" t="inlineStr">
        <is>
          <t>Table 9. Ten-Year Addict Relief Program</t>
        </is>
      </c>
      <c r="D275" t="inlineStr">
        <is>
          <t>699</t>
        </is>
      </c>
      <c r="E275" t="inlineStr"/>
    </row>
    <row r="276">
      <c r="A276" s="3" t="inlineStr">
        <is>
          <t>IMG_5814_1</t>
        </is>
      </c>
      <c r="B276" t="inlineStr">
        <is>
          <t>Sports</t>
        </is>
      </c>
      <c r="C276" t="inlineStr">
        <is>
          <t>Table 2. All Japan Ice Skate Contest</t>
        </is>
      </c>
      <c r="D276" t="inlineStr">
        <is>
          <t>711, 712</t>
        </is>
      </c>
      <c r="E276" t="inlineStr"/>
    </row>
    <row r="277">
      <c r="A277" s="3" t="inlineStr">
        <is>
          <t>IMG_5822_1</t>
        </is>
      </c>
      <c r="B277" t="inlineStr">
        <is>
          <t>Sports</t>
        </is>
      </c>
      <c r="C277" t="inlineStr">
        <is>
          <t>[Fur supplying and exporting districts, 1931-32 hunting season]</t>
        </is>
      </c>
      <c r="D277" t="inlineStr">
        <is>
          <t>727</t>
        </is>
      </c>
      <c r="E277" t="inlineStr"/>
    </row>
    <row r="278">
      <c r="A278" s="3" t="inlineStr">
        <is>
          <t>IMG_5822_2</t>
        </is>
      </c>
      <c r="B278" t="inlineStr">
        <is>
          <t>Sports</t>
        </is>
      </c>
      <c r="C278" t="inlineStr">
        <is>
          <t>Trade in Wild Animals Furs, Meat and Other By-Products of North Manchoukuo for the 1931-32 Hunting Season</t>
        </is>
      </c>
      <c r="D278" t="inlineStr">
        <is>
          <t>727, 728</t>
        </is>
      </c>
      <c r="E278" t="inlineStr"/>
    </row>
    <row r="279">
      <c r="A279" s="3" t="inlineStr">
        <is>
          <t>IMG_5839_1</t>
        </is>
      </c>
      <c r="B279" t="inlineStr">
        <is>
          <t>The Concordia Association</t>
        </is>
      </c>
      <c r="C279" t="inlineStr">
        <is>
          <t>Table 1. Distribution of Concordia Association</t>
        </is>
      </c>
      <c r="D279" t="inlineStr">
        <is>
          <t>760</t>
        </is>
      </c>
      <c r="E279" t="inlineStr"/>
    </row>
    <row r="280">
      <c r="A280" s="3" t="inlineStr">
        <is>
          <t>IMG_5850_1</t>
        </is>
      </c>
      <c r="B280" t="inlineStr">
        <is>
          <t>Texts of Bulletins, Laws, Regulations, Treaties, etc.</t>
        </is>
      </c>
      <c r="C280" t="inlineStr">
        <is>
          <t>[Main differences between the old passport visé regulation under the Chinese administration and the new regulation]</t>
        </is>
      </c>
      <c r="D280" t="inlineStr">
        <is>
          <t>782, 783, 784, 785</t>
        </is>
      </c>
      <c r="E280" t="inlineStr"/>
    </row>
    <row r="281">
      <c r="A281" s="3" t="inlineStr">
        <is>
          <t>IMG_5853_1</t>
        </is>
      </c>
      <c r="B281" t="inlineStr">
        <is>
          <t>Texts of Bulletins, Laws, Regulations, Treaties, etc.</t>
        </is>
      </c>
      <c r="C281" t="inlineStr">
        <is>
          <t>[Payment of foreign and other claims by the Manchoukuo Liquidation Commission: amount shared by each creditor nation]</t>
        </is>
      </c>
      <c r="D281" t="inlineStr">
        <is>
          <t>789</t>
        </is>
      </c>
      <c r="E281" t="inlineStr"/>
    </row>
    <row r="282">
      <c r="A282" s="3" t="inlineStr">
        <is>
          <t>IMG_5879_1</t>
        </is>
      </c>
      <c r="B282" t="inlineStr">
        <is>
          <t>Texts of Bulletins, Laws, Regulations, Treaties, etc.</t>
        </is>
      </c>
      <c r="C282" t="inlineStr">
        <is>
          <t>[Names and locations of prisons (Prison Law, April 1, 1935)]</t>
        </is>
      </c>
      <c r="D282" t="inlineStr">
        <is>
          <t>840, 841</t>
        </is>
      </c>
      <c r="E282" t="inlineStr"/>
    </row>
    <row r="283">
      <c r="A283" s="3" t="inlineStr">
        <is>
          <t>IMG_5880_1</t>
        </is>
      </c>
      <c r="B283" t="inlineStr">
        <is>
          <t>Texts of Bulletins, Laws, Regulations, Treaties, etc.</t>
        </is>
      </c>
      <c r="C283" t="inlineStr">
        <is>
          <t>[Revision of the Organization Law of the Monopoly Bureau: former positions and corresponding new positions]</t>
        </is>
      </c>
      <c r="D283" t="inlineStr">
        <is>
          <t>843</t>
        </is>
      </c>
      <c r="E283" t="inlineStr"/>
    </row>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4" r:id="rId99"/>
    <hyperlink xmlns:r="http://schemas.openxmlformats.org/officeDocument/2006/relationships" ref="A105" r:id="rId100"/>
    <hyperlink xmlns:r="http://schemas.openxmlformats.org/officeDocument/2006/relationships" ref="A106" r:id="rId101"/>
    <hyperlink xmlns:r="http://schemas.openxmlformats.org/officeDocument/2006/relationships" ref="A107" r:id="rId102"/>
    <hyperlink xmlns:r="http://schemas.openxmlformats.org/officeDocument/2006/relationships" ref="A108" r:id="rId103"/>
    <hyperlink xmlns:r="http://schemas.openxmlformats.org/officeDocument/2006/relationships" ref="A109" r:id="rId104"/>
    <hyperlink xmlns:r="http://schemas.openxmlformats.org/officeDocument/2006/relationships" ref="A110" r:id="rId105"/>
    <hyperlink xmlns:r="http://schemas.openxmlformats.org/officeDocument/2006/relationships" ref="A111" r:id="rId106"/>
    <hyperlink xmlns:r="http://schemas.openxmlformats.org/officeDocument/2006/relationships" ref="A112" r:id="rId107"/>
    <hyperlink xmlns:r="http://schemas.openxmlformats.org/officeDocument/2006/relationships" ref="A113" r:id="rId108"/>
    <hyperlink xmlns:r="http://schemas.openxmlformats.org/officeDocument/2006/relationships" ref="A114" r:id="rId109"/>
    <hyperlink xmlns:r="http://schemas.openxmlformats.org/officeDocument/2006/relationships" ref="A115" r:id="rId110"/>
    <hyperlink xmlns:r="http://schemas.openxmlformats.org/officeDocument/2006/relationships" ref="A116" r:id="rId111"/>
    <hyperlink xmlns:r="http://schemas.openxmlformats.org/officeDocument/2006/relationships" ref="A117" r:id="rId112"/>
    <hyperlink xmlns:r="http://schemas.openxmlformats.org/officeDocument/2006/relationships" ref="A118" r:id="rId113"/>
    <hyperlink xmlns:r="http://schemas.openxmlformats.org/officeDocument/2006/relationships" ref="A119" r:id="rId114"/>
    <hyperlink xmlns:r="http://schemas.openxmlformats.org/officeDocument/2006/relationships" ref="A120" r:id="rId115"/>
    <hyperlink xmlns:r="http://schemas.openxmlformats.org/officeDocument/2006/relationships" ref="A121" r:id="rId116"/>
    <hyperlink xmlns:r="http://schemas.openxmlformats.org/officeDocument/2006/relationships" ref="A122" r:id="rId117"/>
    <hyperlink xmlns:r="http://schemas.openxmlformats.org/officeDocument/2006/relationships" ref="A123" r:id="rId118"/>
    <hyperlink xmlns:r="http://schemas.openxmlformats.org/officeDocument/2006/relationships" ref="A124" r:id="rId119"/>
    <hyperlink xmlns:r="http://schemas.openxmlformats.org/officeDocument/2006/relationships" ref="A125" r:id="rId120"/>
    <hyperlink xmlns:r="http://schemas.openxmlformats.org/officeDocument/2006/relationships" ref="A126" r:id="rId121"/>
    <hyperlink xmlns:r="http://schemas.openxmlformats.org/officeDocument/2006/relationships" ref="A127" r:id="rId122"/>
    <hyperlink xmlns:r="http://schemas.openxmlformats.org/officeDocument/2006/relationships" ref="A128" r:id="rId123"/>
    <hyperlink xmlns:r="http://schemas.openxmlformats.org/officeDocument/2006/relationships" ref="A129" r:id="rId124"/>
    <hyperlink xmlns:r="http://schemas.openxmlformats.org/officeDocument/2006/relationships" ref="A130" r:id="rId125"/>
    <hyperlink xmlns:r="http://schemas.openxmlformats.org/officeDocument/2006/relationships" ref="A131" r:id="rId126"/>
    <hyperlink xmlns:r="http://schemas.openxmlformats.org/officeDocument/2006/relationships" ref="A132" r:id="rId127"/>
    <hyperlink xmlns:r="http://schemas.openxmlformats.org/officeDocument/2006/relationships" ref="A133" r:id="rId128"/>
    <hyperlink xmlns:r="http://schemas.openxmlformats.org/officeDocument/2006/relationships" ref="A134" r:id="rId129"/>
    <hyperlink xmlns:r="http://schemas.openxmlformats.org/officeDocument/2006/relationships" ref="A135" r:id="rId130"/>
    <hyperlink xmlns:r="http://schemas.openxmlformats.org/officeDocument/2006/relationships" ref="A136" r:id="rId131"/>
    <hyperlink xmlns:r="http://schemas.openxmlformats.org/officeDocument/2006/relationships" ref="A137" r:id="rId132"/>
    <hyperlink xmlns:r="http://schemas.openxmlformats.org/officeDocument/2006/relationships" ref="A138" r:id="rId133"/>
    <hyperlink xmlns:r="http://schemas.openxmlformats.org/officeDocument/2006/relationships" ref="A139" r:id="rId134"/>
    <hyperlink xmlns:r="http://schemas.openxmlformats.org/officeDocument/2006/relationships" ref="A140" r:id="rId135"/>
    <hyperlink xmlns:r="http://schemas.openxmlformats.org/officeDocument/2006/relationships" ref="A141" r:id="rId136"/>
    <hyperlink xmlns:r="http://schemas.openxmlformats.org/officeDocument/2006/relationships" ref="A142" r:id="rId137"/>
    <hyperlink xmlns:r="http://schemas.openxmlformats.org/officeDocument/2006/relationships" ref="A143" r:id="rId138"/>
    <hyperlink xmlns:r="http://schemas.openxmlformats.org/officeDocument/2006/relationships" ref="A144" r:id="rId139"/>
    <hyperlink xmlns:r="http://schemas.openxmlformats.org/officeDocument/2006/relationships" ref="A145" r:id="rId140"/>
    <hyperlink xmlns:r="http://schemas.openxmlformats.org/officeDocument/2006/relationships" ref="A146" r:id="rId141"/>
    <hyperlink xmlns:r="http://schemas.openxmlformats.org/officeDocument/2006/relationships" ref="A147" r:id="rId142"/>
    <hyperlink xmlns:r="http://schemas.openxmlformats.org/officeDocument/2006/relationships" ref="A148" r:id="rId143"/>
    <hyperlink xmlns:r="http://schemas.openxmlformats.org/officeDocument/2006/relationships" ref="A149" r:id="rId144"/>
    <hyperlink xmlns:r="http://schemas.openxmlformats.org/officeDocument/2006/relationships" ref="A150" r:id="rId145"/>
    <hyperlink xmlns:r="http://schemas.openxmlformats.org/officeDocument/2006/relationships" ref="A151" r:id="rId146"/>
    <hyperlink xmlns:r="http://schemas.openxmlformats.org/officeDocument/2006/relationships" ref="A152" r:id="rId147"/>
    <hyperlink xmlns:r="http://schemas.openxmlformats.org/officeDocument/2006/relationships" ref="A153" r:id="rId148"/>
    <hyperlink xmlns:r="http://schemas.openxmlformats.org/officeDocument/2006/relationships" ref="A154" r:id="rId149"/>
    <hyperlink xmlns:r="http://schemas.openxmlformats.org/officeDocument/2006/relationships" ref="A155" r:id="rId150"/>
    <hyperlink xmlns:r="http://schemas.openxmlformats.org/officeDocument/2006/relationships" ref="A156" r:id="rId151"/>
    <hyperlink xmlns:r="http://schemas.openxmlformats.org/officeDocument/2006/relationships" ref="A157" r:id="rId152"/>
    <hyperlink xmlns:r="http://schemas.openxmlformats.org/officeDocument/2006/relationships" ref="A158" r:id="rId153"/>
    <hyperlink xmlns:r="http://schemas.openxmlformats.org/officeDocument/2006/relationships" ref="A159" r:id="rId154"/>
    <hyperlink xmlns:r="http://schemas.openxmlformats.org/officeDocument/2006/relationships" ref="A160" r:id="rId155"/>
    <hyperlink xmlns:r="http://schemas.openxmlformats.org/officeDocument/2006/relationships" ref="A161" r:id="rId156"/>
    <hyperlink xmlns:r="http://schemas.openxmlformats.org/officeDocument/2006/relationships" ref="A162" r:id="rId157"/>
    <hyperlink xmlns:r="http://schemas.openxmlformats.org/officeDocument/2006/relationships" ref="A163" r:id="rId158"/>
    <hyperlink xmlns:r="http://schemas.openxmlformats.org/officeDocument/2006/relationships" ref="A164" r:id="rId159"/>
    <hyperlink xmlns:r="http://schemas.openxmlformats.org/officeDocument/2006/relationships" ref="A165" r:id="rId160"/>
    <hyperlink xmlns:r="http://schemas.openxmlformats.org/officeDocument/2006/relationships" ref="A166" r:id="rId161"/>
    <hyperlink xmlns:r="http://schemas.openxmlformats.org/officeDocument/2006/relationships" ref="A167" r:id="rId162"/>
    <hyperlink xmlns:r="http://schemas.openxmlformats.org/officeDocument/2006/relationships" ref="A168" r:id="rId163"/>
    <hyperlink xmlns:r="http://schemas.openxmlformats.org/officeDocument/2006/relationships" ref="A169" r:id="rId164"/>
    <hyperlink xmlns:r="http://schemas.openxmlformats.org/officeDocument/2006/relationships" ref="A170" r:id="rId165"/>
    <hyperlink xmlns:r="http://schemas.openxmlformats.org/officeDocument/2006/relationships" ref="A171" r:id="rId166"/>
    <hyperlink xmlns:r="http://schemas.openxmlformats.org/officeDocument/2006/relationships" ref="A172" r:id="rId167"/>
    <hyperlink xmlns:r="http://schemas.openxmlformats.org/officeDocument/2006/relationships" ref="A173" r:id="rId168"/>
    <hyperlink xmlns:r="http://schemas.openxmlformats.org/officeDocument/2006/relationships" ref="A174" r:id="rId169"/>
    <hyperlink xmlns:r="http://schemas.openxmlformats.org/officeDocument/2006/relationships" ref="A175" r:id="rId170"/>
    <hyperlink xmlns:r="http://schemas.openxmlformats.org/officeDocument/2006/relationships" ref="A176" r:id="rId171"/>
    <hyperlink xmlns:r="http://schemas.openxmlformats.org/officeDocument/2006/relationships" ref="A177" r:id="rId172"/>
    <hyperlink xmlns:r="http://schemas.openxmlformats.org/officeDocument/2006/relationships" ref="A178" r:id="rId173"/>
    <hyperlink xmlns:r="http://schemas.openxmlformats.org/officeDocument/2006/relationships" ref="A179" r:id="rId174"/>
    <hyperlink xmlns:r="http://schemas.openxmlformats.org/officeDocument/2006/relationships" ref="A180" r:id="rId175"/>
    <hyperlink xmlns:r="http://schemas.openxmlformats.org/officeDocument/2006/relationships" ref="A181" r:id="rId176"/>
    <hyperlink xmlns:r="http://schemas.openxmlformats.org/officeDocument/2006/relationships" ref="A182" r:id="rId177"/>
    <hyperlink xmlns:r="http://schemas.openxmlformats.org/officeDocument/2006/relationships" ref="A183" r:id="rId178"/>
    <hyperlink xmlns:r="http://schemas.openxmlformats.org/officeDocument/2006/relationships" ref="A184" r:id="rId179"/>
    <hyperlink xmlns:r="http://schemas.openxmlformats.org/officeDocument/2006/relationships" ref="A185" r:id="rId180"/>
    <hyperlink xmlns:r="http://schemas.openxmlformats.org/officeDocument/2006/relationships" ref="A186" r:id="rId181"/>
    <hyperlink xmlns:r="http://schemas.openxmlformats.org/officeDocument/2006/relationships" ref="A187" r:id="rId182"/>
    <hyperlink xmlns:r="http://schemas.openxmlformats.org/officeDocument/2006/relationships" ref="A188" r:id="rId183"/>
    <hyperlink xmlns:r="http://schemas.openxmlformats.org/officeDocument/2006/relationships" ref="A189" r:id="rId184"/>
    <hyperlink xmlns:r="http://schemas.openxmlformats.org/officeDocument/2006/relationships" ref="A190" r:id="rId185"/>
    <hyperlink xmlns:r="http://schemas.openxmlformats.org/officeDocument/2006/relationships" ref="A191" r:id="rId186"/>
    <hyperlink xmlns:r="http://schemas.openxmlformats.org/officeDocument/2006/relationships" ref="A192" r:id="rId187"/>
    <hyperlink xmlns:r="http://schemas.openxmlformats.org/officeDocument/2006/relationships" ref="A193" r:id="rId188"/>
    <hyperlink xmlns:r="http://schemas.openxmlformats.org/officeDocument/2006/relationships" ref="A194" r:id="rId189"/>
    <hyperlink xmlns:r="http://schemas.openxmlformats.org/officeDocument/2006/relationships" ref="A195" r:id="rId190"/>
    <hyperlink xmlns:r="http://schemas.openxmlformats.org/officeDocument/2006/relationships" ref="A196" r:id="rId191"/>
    <hyperlink xmlns:r="http://schemas.openxmlformats.org/officeDocument/2006/relationships" ref="A197" r:id="rId192"/>
    <hyperlink xmlns:r="http://schemas.openxmlformats.org/officeDocument/2006/relationships" ref="A198" r:id="rId193"/>
    <hyperlink xmlns:r="http://schemas.openxmlformats.org/officeDocument/2006/relationships" ref="A199" r:id="rId194"/>
    <hyperlink xmlns:r="http://schemas.openxmlformats.org/officeDocument/2006/relationships" ref="A200" r:id="rId195"/>
    <hyperlink xmlns:r="http://schemas.openxmlformats.org/officeDocument/2006/relationships" ref="A201" r:id="rId196"/>
    <hyperlink xmlns:r="http://schemas.openxmlformats.org/officeDocument/2006/relationships" ref="A202" r:id="rId197"/>
    <hyperlink xmlns:r="http://schemas.openxmlformats.org/officeDocument/2006/relationships" ref="A203" r:id="rId198"/>
    <hyperlink xmlns:r="http://schemas.openxmlformats.org/officeDocument/2006/relationships" ref="A204" r:id="rId199"/>
    <hyperlink xmlns:r="http://schemas.openxmlformats.org/officeDocument/2006/relationships" ref="A205" r:id="rId200"/>
    <hyperlink xmlns:r="http://schemas.openxmlformats.org/officeDocument/2006/relationships" ref="A206" r:id="rId201"/>
    <hyperlink xmlns:r="http://schemas.openxmlformats.org/officeDocument/2006/relationships" ref="A207" r:id="rId202"/>
    <hyperlink xmlns:r="http://schemas.openxmlformats.org/officeDocument/2006/relationships" ref="A208" r:id="rId203"/>
    <hyperlink xmlns:r="http://schemas.openxmlformats.org/officeDocument/2006/relationships" ref="A209" r:id="rId204"/>
    <hyperlink xmlns:r="http://schemas.openxmlformats.org/officeDocument/2006/relationships" ref="A210" r:id="rId205"/>
    <hyperlink xmlns:r="http://schemas.openxmlformats.org/officeDocument/2006/relationships" ref="A211" r:id="rId206"/>
    <hyperlink xmlns:r="http://schemas.openxmlformats.org/officeDocument/2006/relationships" ref="A212" r:id="rId207"/>
    <hyperlink xmlns:r="http://schemas.openxmlformats.org/officeDocument/2006/relationships" ref="A213" r:id="rId208"/>
    <hyperlink xmlns:r="http://schemas.openxmlformats.org/officeDocument/2006/relationships" ref="A214" r:id="rId209"/>
    <hyperlink xmlns:r="http://schemas.openxmlformats.org/officeDocument/2006/relationships" ref="A215" r:id="rId210"/>
    <hyperlink xmlns:r="http://schemas.openxmlformats.org/officeDocument/2006/relationships" ref="A216" r:id="rId211"/>
    <hyperlink xmlns:r="http://schemas.openxmlformats.org/officeDocument/2006/relationships" ref="A217" r:id="rId212"/>
    <hyperlink xmlns:r="http://schemas.openxmlformats.org/officeDocument/2006/relationships" ref="A218" r:id="rId213"/>
    <hyperlink xmlns:r="http://schemas.openxmlformats.org/officeDocument/2006/relationships" ref="A219" r:id="rId214"/>
    <hyperlink xmlns:r="http://schemas.openxmlformats.org/officeDocument/2006/relationships" ref="A220" r:id="rId215"/>
    <hyperlink xmlns:r="http://schemas.openxmlformats.org/officeDocument/2006/relationships" ref="A221" r:id="rId216"/>
    <hyperlink xmlns:r="http://schemas.openxmlformats.org/officeDocument/2006/relationships" ref="A222" r:id="rId217"/>
    <hyperlink xmlns:r="http://schemas.openxmlformats.org/officeDocument/2006/relationships" ref="A223" r:id="rId218"/>
    <hyperlink xmlns:r="http://schemas.openxmlformats.org/officeDocument/2006/relationships" ref="A224" r:id="rId219"/>
    <hyperlink xmlns:r="http://schemas.openxmlformats.org/officeDocument/2006/relationships" ref="A225" r:id="rId220"/>
    <hyperlink xmlns:r="http://schemas.openxmlformats.org/officeDocument/2006/relationships" ref="A226" r:id="rId221"/>
    <hyperlink xmlns:r="http://schemas.openxmlformats.org/officeDocument/2006/relationships" ref="A227" r:id="rId222"/>
    <hyperlink xmlns:r="http://schemas.openxmlformats.org/officeDocument/2006/relationships" ref="A228" r:id="rId223"/>
    <hyperlink xmlns:r="http://schemas.openxmlformats.org/officeDocument/2006/relationships" ref="A229" r:id="rId224"/>
    <hyperlink xmlns:r="http://schemas.openxmlformats.org/officeDocument/2006/relationships" ref="A230" r:id="rId225"/>
    <hyperlink xmlns:r="http://schemas.openxmlformats.org/officeDocument/2006/relationships" ref="A231" r:id="rId226"/>
    <hyperlink xmlns:r="http://schemas.openxmlformats.org/officeDocument/2006/relationships" ref="A232" r:id="rId227"/>
    <hyperlink xmlns:r="http://schemas.openxmlformats.org/officeDocument/2006/relationships" ref="A233" r:id="rId228"/>
    <hyperlink xmlns:r="http://schemas.openxmlformats.org/officeDocument/2006/relationships" ref="A234" r:id="rId229"/>
    <hyperlink xmlns:r="http://schemas.openxmlformats.org/officeDocument/2006/relationships" ref="A235" r:id="rId230"/>
    <hyperlink xmlns:r="http://schemas.openxmlformats.org/officeDocument/2006/relationships" ref="A236" r:id="rId231"/>
    <hyperlink xmlns:r="http://schemas.openxmlformats.org/officeDocument/2006/relationships" ref="A237" r:id="rId232"/>
    <hyperlink xmlns:r="http://schemas.openxmlformats.org/officeDocument/2006/relationships" ref="A238" r:id="rId233"/>
    <hyperlink xmlns:r="http://schemas.openxmlformats.org/officeDocument/2006/relationships" ref="A239" r:id="rId234"/>
    <hyperlink xmlns:r="http://schemas.openxmlformats.org/officeDocument/2006/relationships" ref="A240" r:id="rId235"/>
    <hyperlink xmlns:r="http://schemas.openxmlformats.org/officeDocument/2006/relationships" ref="A241" r:id="rId236"/>
    <hyperlink xmlns:r="http://schemas.openxmlformats.org/officeDocument/2006/relationships" ref="A242" r:id="rId237"/>
    <hyperlink xmlns:r="http://schemas.openxmlformats.org/officeDocument/2006/relationships" ref="A243" r:id="rId238"/>
    <hyperlink xmlns:r="http://schemas.openxmlformats.org/officeDocument/2006/relationships" ref="A244" r:id="rId239"/>
    <hyperlink xmlns:r="http://schemas.openxmlformats.org/officeDocument/2006/relationships" ref="A245" r:id="rId240"/>
    <hyperlink xmlns:r="http://schemas.openxmlformats.org/officeDocument/2006/relationships" ref="A246" r:id="rId241"/>
    <hyperlink xmlns:r="http://schemas.openxmlformats.org/officeDocument/2006/relationships" ref="A247" r:id="rId242"/>
    <hyperlink xmlns:r="http://schemas.openxmlformats.org/officeDocument/2006/relationships" ref="A248" r:id="rId243"/>
    <hyperlink xmlns:r="http://schemas.openxmlformats.org/officeDocument/2006/relationships" ref="A249" r:id="rId244"/>
    <hyperlink xmlns:r="http://schemas.openxmlformats.org/officeDocument/2006/relationships" ref="A250" r:id="rId245"/>
    <hyperlink xmlns:r="http://schemas.openxmlformats.org/officeDocument/2006/relationships" ref="A251" r:id="rId246"/>
    <hyperlink xmlns:r="http://schemas.openxmlformats.org/officeDocument/2006/relationships" ref="A252" r:id="rId247"/>
    <hyperlink xmlns:r="http://schemas.openxmlformats.org/officeDocument/2006/relationships" ref="A253" r:id="rId248"/>
    <hyperlink xmlns:r="http://schemas.openxmlformats.org/officeDocument/2006/relationships" ref="A254" r:id="rId249"/>
    <hyperlink xmlns:r="http://schemas.openxmlformats.org/officeDocument/2006/relationships" ref="A255" r:id="rId250"/>
    <hyperlink xmlns:r="http://schemas.openxmlformats.org/officeDocument/2006/relationships" ref="A256" r:id="rId251"/>
    <hyperlink xmlns:r="http://schemas.openxmlformats.org/officeDocument/2006/relationships" ref="A257" r:id="rId252"/>
    <hyperlink xmlns:r="http://schemas.openxmlformats.org/officeDocument/2006/relationships" ref="A258" r:id="rId253"/>
    <hyperlink xmlns:r="http://schemas.openxmlformats.org/officeDocument/2006/relationships" ref="A259" r:id="rId254"/>
    <hyperlink xmlns:r="http://schemas.openxmlformats.org/officeDocument/2006/relationships" ref="A260" r:id="rId255"/>
    <hyperlink xmlns:r="http://schemas.openxmlformats.org/officeDocument/2006/relationships" ref="A261" r:id="rId256"/>
    <hyperlink xmlns:r="http://schemas.openxmlformats.org/officeDocument/2006/relationships" ref="A262" r:id="rId257"/>
    <hyperlink xmlns:r="http://schemas.openxmlformats.org/officeDocument/2006/relationships" ref="A263" r:id="rId258"/>
    <hyperlink xmlns:r="http://schemas.openxmlformats.org/officeDocument/2006/relationships" ref="A264" r:id="rId259"/>
    <hyperlink xmlns:r="http://schemas.openxmlformats.org/officeDocument/2006/relationships" ref="A265" r:id="rId260"/>
    <hyperlink xmlns:r="http://schemas.openxmlformats.org/officeDocument/2006/relationships" ref="A266" r:id="rId261"/>
    <hyperlink xmlns:r="http://schemas.openxmlformats.org/officeDocument/2006/relationships" ref="A267" r:id="rId262"/>
    <hyperlink xmlns:r="http://schemas.openxmlformats.org/officeDocument/2006/relationships" ref="A268" r:id="rId263"/>
    <hyperlink xmlns:r="http://schemas.openxmlformats.org/officeDocument/2006/relationships" ref="A269" r:id="rId264"/>
    <hyperlink xmlns:r="http://schemas.openxmlformats.org/officeDocument/2006/relationships" ref="A270" r:id="rId265"/>
    <hyperlink xmlns:r="http://schemas.openxmlformats.org/officeDocument/2006/relationships" ref="A271" r:id="rId266"/>
    <hyperlink xmlns:r="http://schemas.openxmlformats.org/officeDocument/2006/relationships" ref="A272" r:id="rId267"/>
    <hyperlink xmlns:r="http://schemas.openxmlformats.org/officeDocument/2006/relationships" ref="A273" r:id="rId268"/>
    <hyperlink xmlns:r="http://schemas.openxmlformats.org/officeDocument/2006/relationships" ref="A274" r:id="rId269"/>
    <hyperlink xmlns:r="http://schemas.openxmlformats.org/officeDocument/2006/relationships" ref="A275" r:id="rId270"/>
    <hyperlink xmlns:r="http://schemas.openxmlformats.org/officeDocument/2006/relationships" ref="A276" r:id="rId271"/>
    <hyperlink xmlns:r="http://schemas.openxmlformats.org/officeDocument/2006/relationships" ref="A277" r:id="rId272"/>
    <hyperlink xmlns:r="http://schemas.openxmlformats.org/officeDocument/2006/relationships" ref="A278" r:id="rId273"/>
    <hyperlink xmlns:r="http://schemas.openxmlformats.org/officeDocument/2006/relationships" ref="A279" r:id="rId274"/>
    <hyperlink xmlns:r="http://schemas.openxmlformats.org/officeDocument/2006/relationships" ref="A280" r:id="rId275"/>
    <hyperlink xmlns:r="http://schemas.openxmlformats.org/officeDocument/2006/relationships" ref="A281" r:id="rId276"/>
    <hyperlink xmlns:r="http://schemas.openxmlformats.org/officeDocument/2006/relationships" ref="A282" r:id="rId277"/>
    <hyperlink xmlns:r="http://schemas.openxmlformats.org/officeDocument/2006/relationships" ref="A283" r:id="rId27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Population by Provinces</t>
        </is>
      </c>
    </row>
    <row r="2">
      <c r="A2" t="inlineStr">
        <is>
          <t xml:space="preserve">Front matter (charts) · printed pp. </t>
        </is>
      </c>
    </row>
    <row r="3">
      <c r="A3" t="inlineStr">
        <is>
          <t>(Oct. 1940)</t>
        </is>
      </c>
    </row>
    <row r="4">
      <c r="A4" s="3" t="inlineStr">
        <is>
          <t>← Contents</t>
        </is>
      </c>
    </row>
    <row r="6">
      <c r="A6" s="5" t="inlineStr">
        <is>
          <t>Province</t>
        </is>
      </c>
      <c r="B6" s="5" t="inlineStr">
        <is>
          <t>Per cent</t>
        </is>
      </c>
    </row>
    <row r="7">
      <c r="A7" t="inlineStr">
        <is>
          <t>Fengtien</t>
        </is>
      </c>
      <c r="B7" t="inlineStr">
        <is>
          <t>23.9%</t>
        </is>
      </c>
    </row>
    <row r="8">
      <c r="A8" t="inlineStr">
        <is>
          <t>Kirin</t>
        </is>
      </c>
      <c r="B8" t="inlineStr">
        <is>
          <t>13.5%</t>
        </is>
      </c>
    </row>
    <row r="9">
      <c r="A9" t="inlineStr">
        <is>
          <t>Jehol</t>
        </is>
      </c>
      <c r="B9" t="inlineStr">
        <is>
          <t>10.5%</t>
        </is>
      </c>
    </row>
    <row r="10">
      <c r="A10" t="inlineStr">
        <is>
          <t>Chinchow</t>
        </is>
      </c>
      <c r="B10" t="inlineStr">
        <is>
          <t>10.0%</t>
        </is>
      </c>
    </row>
    <row r="11">
      <c r="A11" t="inlineStr">
        <is>
          <t>Pinkiang</t>
        </is>
      </c>
      <c r="B11" t="inlineStr">
        <is>
          <t>9.8%</t>
        </is>
      </c>
    </row>
    <row r="12">
      <c r="A12" t="inlineStr">
        <is>
          <t>Peian</t>
        </is>
      </c>
      <c r="B12" t="inlineStr">
        <is>
          <t>5.4%</t>
        </is>
      </c>
    </row>
    <row r="13">
      <c r="A13" t="inlineStr">
        <is>
          <t>Antung</t>
        </is>
      </c>
      <c r="B13" t="inlineStr">
        <is>
          <t>5.2%</t>
        </is>
      </c>
    </row>
    <row r="14">
      <c r="A14" t="inlineStr">
        <is>
          <t>Lungkiang</t>
        </is>
      </c>
      <c r="B14" t="inlineStr">
        <is>
          <t>4.8%</t>
        </is>
      </c>
    </row>
    <row r="15">
      <c r="A15" t="inlineStr">
        <is>
          <t>Sankiang</t>
        </is>
      </c>
      <c r="B15" t="inlineStr">
        <is>
          <t>3.3%</t>
        </is>
      </c>
    </row>
    <row r="16">
      <c r="A16" t="inlineStr">
        <is>
          <t>Hsingan S.</t>
        </is>
      </c>
      <c r="B16" t="inlineStr">
        <is>
          <t>2.4%</t>
        </is>
      </c>
    </row>
    <row r="17">
      <c r="A17" t="inlineStr">
        <is>
          <t>Tunghua</t>
        </is>
      </c>
      <c r="B17" t="inlineStr">
        <is>
          <t>2.3%</t>
        </is>
      </c>
    </row>
    <row r="18">
      <c r="A18" t="inlineStr">
        <is>
          <t>Chientao</t>
        </is>
      </c>
      <c r="B18" t="inlineStr">
        <is>
          <t>2.0%</t>
        </is>
      </c>
    </row>
    <row r="19">
      <c r="A19" t="inlineStr">
        <is>
          <t>Hsingan W.</t>
        </is>
      </c>
      <c r="B19" t="inlineStr">
        <is>
          <t>1.8%</t>
        </is>
      </c>
    </row>
    <row r="20">
      <c r="A20" t="inlineStr">
        <is>
          <t>Others</t>
        </is>
      </c>
      <c r="B20" t="inlineStr">
        <is>
          <t>5.1%</t>
        </is>
      </c>
    </row>
    <row r="21">
      <c r="A21" t="inlineStr">
        <is>
          <t>Total</t>
        </is>
      </c>
      <c r="B21" s="6" t="n">
        <v>43233954</v>
      </c>
    </row>
    <row r="23">
      <c r="A23" s="2" t="inlineStr">
        <is>
          <t>Transcriber's notes</t>
        </is>
      </c>
    </row>
    <row r="24">
      <c r="A24" t="inlineStr">
        <is>
          <t>Transcribed from the figures printed on a pie chart (unnumbered plate, left page of spread, no printed page number); segments listed in descending order of size, Others last (a pie has no printed row order).</t>
        </is>
      </c>
    </row>
    <row r="25">
      <c r="A25" t="inlineStr">
        <is>
          <t>'Total 43,233,954' is printed in the centre of the pie (a population count, not a percentage).</t>
        </is>
      </c>
    </row>
    <row r="26">
      <c r="A26" t="inlineStr">
        <is>
          <t>Tunghua and Hsingan W.: the decimal point is very faint in the photograph (Tunghua looks like '23%'); transcribed as 2.3% and 1.8% since the segment sizes rule out 23% / 18%.</t>
        </is>
      </c>
    </row>
    <row r="27">
      <c r="A27" t="inlineStr">
        <is>
          <t>Percentages sum to 100.0 - reconciles.</t>
        </is>
      </c>
    </row>
    <row r="28">
      <c r="A28" t="inlineStr">
        <is>
          <t>Other charts on this page (Population of Manchoukuo 1932-1940 bar chart; Population by Cities bar chart) carry no printed values - excluded.</t>
        </is>
      </c>
    </row>
  </sheetData>
  <hyperlinks>
    <hyperlink xmlns:r="http://schemas.openxmlformats.org/officeDocument/2006/relationships" ref="A4"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Japanese Investments Outstanding in Manchoukuo</t>
        </is>
      </c>
    </row>
    <row r="2">
      <c r="A2" t="inlineStr">
        <is>
          <t xml:space="preserve">Front matter (charts) · printed pp. </t>
        </is>
      </c>
    </row>
    <row r="3">
      <c r="A3" t="inlineStr">
        <is>
          <t>(For Period 1932-1940 Inclusive)</t>
        </is>
      </c>
    </row>
    <row r="4">
      <c r="A4" s="3" t="inlineStr">
        <is>
          <t>← Contents</t>
        </is>
      </c>
    </row>
    <row r="6">
      <c r="A6" s="5" t="inlineStr">
        <is>
          <t>Item</t>
        </is>
      </c>
      <c r="B6" s="5" t="inlineStr">
        <is>
          <t>Mil'n. Yen</t>
        </is>
      </c>
    </row>
    <row r="7">
      <c r="A7" t="inlineStr">
        <is>
          <t>Investments in S.M.R</t>
        </is>
      </c>
      <c r="B7" s="7" t="n">
        <v>1564</v>
      </c>
    </row>
    <row r="8">
      <c r="A8" t="inlineStr">
        <is>
          <t>Capital called up by Cos.</t>
        </is>
      </c>
      <c r="B8" s="8" t="n">
        <v>797</v>
      </c>
    </row>
    <row r="9">
      <c r="A9" t="inlineStr">
        <is>
          <t>Net increase of debentures and borrowings of Principal Cos.</t>
        </is>
      </c>
      <c r="B9" s="7" t="n">
        <v>1065</v>
      </c>
    </row>
    <row r="10">
      <c r="A10" t="inlineStr">
        <is>
          <t>Manchoukuo Special loans</t>
        </is>
      </c>
      <c r="B10" s="8" t="n">
        <v>351</v>
      </c>
    </row>
    <row r="11">
      <c r="A11" t="inlineStr">
        <is>
          <t>N. Manchuria Ry Bonds</t>
        </is>
      </c>
      <c r="B11" s="8" t="n">
        <v>170</v>
      </c>
    </row>
    <row r="12">
      <c r="A12" t="inlineStr">
        <is>
          <t>Others</t>
        </is>
      </c>
      <c r="B12" s="8" t="n">
        <v>117</v>
      </c>
    </row>
    <row r="13">
      <c r="A13" t="inlineStr">
        <is>
          <t>Total</t>
        </is>
      </c>
      <c r="B13" s="7" t="n">
        <v>4064</v>
      </c>
    </row>
    <row r="15">
      <c r="A15" s="2" t="inlineStr">
        <is>
          <t>Transcriber's notes</t>
        </is>
      </c>
    </row>
    <row r="16">
      <c r="A16" t="inlineStr">
        <is>
          <t>Transcribed from the figures printed on a pie chart (unnumbered plate, right page of spread, no printed page number).</t>
        </is>
      </c>
    </row>
    <row r="17">
      <c r="A17" t="inlineStr">
        <is>
          <t>Total 4,064.0: parts sum to 4,064.0 - reconciles.</t>
        </is>
      </c>
    </row>
    <row r="18">
      <c r="A18" t="inlineStr">
        <is>
          <t>The companion bar chart 'Trend of Investments Since 1932' on the same page carries no printed values - excluded.</t>
        </is>
      </c>
    </row>
  </sheetData>
  <hyperlinks>
    <hyperlink xmlns:r="http://schemas.openxmlformats.org/officeDocument/2006/relationships" ref="A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Year Names and Equivalents</t>
        </is>
      </c>
    </row>
    <row r="2">
      <c r="A2" t="inlineStr">
        <is>
          <t>Front matter · printed pp. [xv]</t>
        </is>
      </c>
    </row>
    <row r="3">
      <c r="A3" s="3" t="inlineStr">
        <is>
          <t>← Contents</t>
        </is>
      </c>
    </row>
    <row r="5">
      <c r="A5" s="5" t="inlineStr">
        <is>
          <t>Japan — Since Foundation</t>
        </is>
      </c>
      <c r="B5" s="5" t="inlineStr">
        <is>
          <t>Japan — Era</t>
        </is>
      </c>
      <c r="C5" s="5" t="inlineStr">
        <is>
          <t>Manchoukuo</t>
        </is>
      </c>
      <c r="D5" s="5" t="inlineStr">
        <is>
          <t>China — Minkuo (Republic)</t>
        </is>
      </c>
      <c r="E5" s="5" t="inlineStr">
        <is>
          <t>Christian Era — A.D.</t>
        </is>
      </c>
    </row>
    <row r="6">
      <c r="A6" s="9" t="n">
        <v>2572</v>
      </c>
      <c r="B6" t="inlineStr">
        <is>
          <t>(Taisho) 1</t>
        </is>
      </c>
      <c r="C6" t="inlineStr"/>
      <c r="D6" s="9" t="n">
        <v>1</v>
      </c>
      <c r="E6" s="9" t="n">
        <v>1912</v>
      </c>
    </row>
    <row r="7">
      <c r="A7" s="9" t="n">
        <v>2573</v>
      </c>
      <c r="B7" s="9" t="n">
        <v>2</v>
      </c>
      <c r="C7" t="inlineStr"/>
      <c r="D7" s="9" t="n">
        <v>2</v>
      </c>
      <c r="E7" s="9" t="n">
        <v>1913</v>
      </c>
    </row>
    <row r="8">
      <c r="A8" s="9" t="n">
        <v>2574</v>
      </c>
      <c r="B8" s="9" t="n">
        <v>3</v>
      </c>
      <c r="C8" t="inlineStr"/>
      <c r="D8" s="9" t="n">
        <v>3</v>
      </c>
      <c r="E8" s="9" t="n">
        <v>1914</v>
      </c>
    </row>
    <row r="9">
      <c r="A9" s="9" t="n">
        <v>2575</v>
      </c>
      <c r="B9" s="9" t="n">
        <v>4</v>
      </c>
      <c r="C9" t="inlineStr"/>
      <c r="D9" s="9" t="n">
        <v>4</v>
      </c>
      <c r="E9" s="9" t="n">
        <v>1915</v>
      </c>
    </row>
    <row r="10">
      <c r="A10" s="9" t="n">
        <v>2576</v>
      </c>
      <c r="B10" s="9" t="n">
        <v>5</v>
      </c>
      <c r="C10" t="inlineStr"/>
      <c r="D10" s="9" t="n">
        <v>5</v>
      </c>
      <c r="E10" s="9" t="n">
        <v>1916</v>
      </c>
    </row>
    <row r="11">
      <c r="A11" s="9" t="n">
        <v>2577</v>
      </c>
      <c r="B11" s="9" t="n">
        <v>6</v>
      </c>
      <c r="C11" t="inlineStr"/>
      <c r="D11" s="9" t="n">
        <v>6</v>
      </c>
      <c r="E11" s="9" t="n">
        <v>1917</v>
      </c>
    </row>
    <row r="12">
      <c r="A12" s="9" t="n">
        <v>2578</v>
      </c>
      <c r="B12" s="9" t="n">
        <v>7</v>
      </c>
      <c r="C12" t="inlineStr"/>
      <c r="D12" s="9" t="n">
        <v>7</v>
      </c>
      <c r="E12" s="9" t="n">
        <v>1918</v>
      </c>
    </row>
    <row r="13">
      <c r="A13" s="9" t="n">
        <v>2579</v>
      </c>
      <c r="B13" s="9" t="n">
        <v>8</v>
      </c>
      <c r="C13" t="inlineStr"/>
      <c r="D13" s="9" t="n">
        <v>8</v>
      </c>
      <c r="E13" s="9" t="n">
        <v>1919</v>
      </c>
    </row>
    <row r="14">
      <c r="A14" s="9" t="n">
        <v>2580</v>
      </c>
      <c r="B14" s="9" t="n">
        <v>9</v>
      </c>
      <c r="C14" t="inlineStr"/>
      <c r="D14" s="9" t="n">
        <v>9</v>
      </c>
      <c r="E14" s="9" t="n">
        <v>1920</v>
      </c>
    </row>
    <row r="15">
      <c r="A15" s="9" t="n">
        <v>2581</v>
      </c>
      <c r="B15" s="9" t="n">
        <v>10</v>
      </c>
      <c r="C15" t="inlineStr"/>
      <c r="D15" s="9" t="n">
        <v>10</v>
      </c>
      <c r="E15" s="9" t="n">
        <v>1921</v>
      </c>
    </row>
    <row r="16">
      <c r="A16" s="9" t="n">
        <v>2582</v>
      </c>
      <c r="B16" s="9" t="n">
        <v>11</v>
      </c>
      <c r="C16" t="inlineStr"/>
      <c r="D16" s="9" t="n">
        <v>11</v>
      </c>
      <c r="E16" s="9" t="n">
        <v>1922</v>
      </c>
    </row>
    <row r="17">
      <c r="A17" s="9" t="n">
        <v>2583</v>
      </c>
      <c r="B17" s="9" t="n">
        <v>12</v>
      </c>
      <c r="C17" t="inlineStr"/>
      <c r="D17" s="9" t="n">
        <v>12</v>
      </c>
      <c r="E17" s="9" t="n">
        <v>1923</v>
      </c>
    </row>
    <row r="18">
      <c r="A18" s="9" t="n">
        <v>2584</v>
      </c>
      <c r="B18" s="9" t="n">
        <v>13</v>
      </c>
      <c r="C18" t="inlineStr"/>
      <c r="D18" s="9" t="n">
        <v>13</v>
      </c>
      <c r="E18" s="9" t="n">
        <v>1924</v>
      </c>
    </row>
    <row r="19">
      <c r="A19" s="9" t="n">
        <v>2585</v>
      </c>
      <c r="B19" s="9" t="n">
        <v>14</v>
      </c>
      <c r="C19" t="inlineStr"/>
      <c r="D19" s="9" t="n">
        <v>14</v>
      </c>
      <c r="E19" s="9" t="n">
        <v>1925</v>
      </c>
    </row>
    <row r="20">
      <c r="A20" s="9" t="n">
        <v>2586</v>
      </c>
      <c r="B20" t="inlineStr">
        <is>
          <t>(Showa) 1</t>
        </is>
      </c>
      <c r="C20" t="inlineStr"/>
      <c r="D20" s="9" t="n">
        <v>15</v>
      </c>
      <c r="E20" s="9" t="n">
        <v>1926</v>
      </c>
    </row>
    <row r="21">
      <c r="A21" s="9" t="n">
        <v>2587</v>
      </c>
      <c r="B21" s="9" t="n">
        <v>2</v>
      </c>
      <c r="C21" t="inlineStr"/>
      <c r="D21" s="9" t="n">
        <v>16</v>
      </c>
      <c r="E21" s="9" t="n">
        <v>1927</v>
      </c>
    </row>
    <row r="22">
      <c r="A22" s="9" t="n">
        <v>2588</v>
      </c>
      <c r="B22" s="9" t="n">
        <v>3</v>
      </c>
      <c r="C22" t="inlineStr"/>
      <c r="D22" s="9" t="n">
        <v>17</v>
      </c>
      <c r="E22" s="9" t="n">
        <v>1928</v>
      </c>
    </row>
    <row r="23">
      <c r="A23" s="9" t="n">
        <v>2589</v>
      </c>
      <c r="B23" s="9" t="n">
        <v>4</v>
      </c>
      <c r="C23" t="inlineStr"/>
      <c r="D23" s="9" t="n">
        <v>18</v>
      </c>
      <c r="E23" s="9" t="n">
        <v>1929</v>
      </c>
    </row>
    <row r="24">
      <c r="A24" s="9" t="n">
        <v>2590</v>
      </c>
      <c r="B24" s="9" t="n">
        <v>5</v>
      </c>
      <c r="C24" t="inlineStr"/>
      <c r="D24" s="9" t="n">
        <v>19</v>
      </c>
      <c r="E24" s="9" t="n">
        <v>1930</v>
      </c>
    </row>
    <row r="25">
      <c r="A25" s="9" t="n">
        <v>2591</v>
      </c>
      <c r="B25" s="9" t="n">
        <v>6</v>
      </c>
      <c r="C25" t="inlineStr"/>
      <c r="D25" s="9" t="n">
        <v>20</v>
      </c>
      <c r="E25" s="9" t="n">
        <v>1931</v>
      </c>
    </row>
    <row r="26">
      <c r="A26" s="9" t="n">
        <v>2592</v>
      </c>
      <c r="B26" s="9" t="n">
        <v>7</v>
      </c>
      <c r="C26" t="inlineStr">
        <is>
          <t>(Tatung) 1</t>
        </is>
      </c>
      <c r="D26" s="9" t="n">
        <v>21</v>
      </c>
      <c r="E26" s="9" t="n">
        <v>1932</v>
      </c>
    </row>
    <row r="27">
      <c r="A27" s="9" t="n">
        <v>2593</v>
      </c>
      <c r="B27" s="9" t="n">
        <v>8</v>
      </c>
      <c r="C27" s="9" t="n">
        <v>2</v>
      </c>
      <c r="D27" s="9" t="n">
        <v>22</v>
      </c>
      <c r="E27" s="9" t="n">
        <v>1933</v>
      </c>
    </row>
    <row r="28">
      <c r="A28" s="9" t="n">
        <v>2594</v>
      </c>
      <c r="B28" s="9" t="n">
        <v>9</v>
      </c>
      <c r="C28" t="inlineStr">
        <is>
          <t>(Kangteh) 1</t>
        </is>
      </c>
      <c r="D28" s="9" t="n">
        <v>23</v>
      </c>
      <c r="E28" s="9" t="n">
        <v>1934</v>
      </c>
    </row>
    <row r="29">
      <c r="A29" s="9" t="n">
        <v>2595</v>
      </c>
      <c r="B29" s="9" t="n">
        <v>10</v>
      </c>
      <c r="C29" s="9" t="n">
        <v>2</v>
      </c>
      <c r="D29" s="9" t="n">
        <v>24</v>
      </c>
      <c r="E29" s="9" t="n">
        <v>1935</v>
      </c>
    </row>
    <row r="30">
      <c r="A30" s="9" t="n">
        <v>2596</v>
      </c>
      <c r="B30" s="9" t="n">
        <v>11</v>
      </c>
      <c r="C30" s="9" t="n">
        <v>3</v>
      </c>
      <c r="D30" s="9" t="n">
        <v>25</v>
      </c>
      <c r="E30" s="9" t="n">
        <v>1936</v>
      </c>
    </row>
    <row r="31">
      <c r="A31" s="9" t="n">
        <v>2597</v>
      </c>
      <c r="B31" s="9" t="n">
        <v>12</v>
      </c>
      <c r="C31" s="9" t="n">
        <v>4</v>
      </c>
      <c r="D31" s="9" t="n">
        <v>26</v>
      </c>
      <c r="E31" s="9" t="n">
        <v>1937</v>
      </c>
    </row>
    <row r="32">
      <c r="A32" s="9" t="n">
        <v>2598</v>
      </c>
      <c r="B32" s="9" t="n">
        <v>13</v>
      </c>
      <c r="C32" s="9" t="n">
        <v>5</v>
      </c>
      <c r="D32" s="9" t="n">
        <v>27</v>
      </c>
      <c r="E32" s="9" t="n">
        <v>1938</v>
      </c>
    </row>
    <row r="33">
      <c r="A33" s="9" t="n">
        <v>2599</v>
      </c>
      <c r="B33" s="9" t="n">
        <v>14</v>
      </c>
      <c r="C33" s="9" t="n">
        <v>6</v>
      </c>
      <c r="D33" s="9" t="n">
        <v>28</v>
      </c>
      <c r="E33" s="9" t="n">
        <v>1939</v>
      </c>
    </row>
    <row r="34">
      <c r="A34" s="9" t="n">
        <v>2600</v>
      </c>
      <c r="B34" s="9" t="n">
        <v>15</v>
      </c>
      <c r="C34" s="9" t="n">
        <v>7</v>
      </c>
      <c r="D34" s="9" t="n">
        <v>29</v>
      </c>
      <c r="E34" s="9" t="n">
        <v>1940</v>
      </c>
    </row>
    <row r="35">
      <c r="A35" s="9" t="n">
        <v>2601</v>
      </c>
      <c r="B35" s="9" t="n">
        <v>16</v>
      </c>
      <c r="C35" s="9" t="n">
        <v>8</v>
      </c>
      <c r="D35" s="9" t="n">
        <v>30</v>
      </c>
      <c r="E35" s="9" t="n">
        <v>1941</v>
      </c>
    </row>
    <row r="36">
      <c r="A36" s="9" t="n">
        <v>2602</v>
      </c>
      <c r="B36" s="9" t="n">
        <v>17</v>
      </c>
      <c r="C36" s="9" t="n">
        <v>9</v>
      </c>
      <c r="D36" s="9" t="n">
        <v>31</v>
      </c>
      <c r="E36" s="9" t="n">
        <v>1942</v>
      </c>
    </row>
    <row r="37">
      <c r="A37" s="9" t="n">
        <v>2603</v>
      </c>
      <c r="B37" s="9" t="n">
        <v>18</v>
      </c>
      <c r="C37" s="9" t="n">
        <v>10</v>
      </c>
      <c r="D37" s="9" t="n">
        <v>32</v>
      </c>
      <c r="E37" s="9" t="n">
        <v>1943</v>
      </c>
    </row>
    <row r="38">
      <c r="A38" s="9" t="n">
        <v>2604</v>
      </c>
      <c r="B38" s="9" t="n">
        <v>19</v>
      </c>
      <c r="C38" s="9" t="n">
        <v>11</v>
      </c>
      <c r="D38" s="9" t="n">
        <v>33</v>
      </c>
      <c r="E38" s="9" t="n">
        <v>1944</v>
      </c>
    </row>
    <row r="40">
      <c r="A40" s="2" t="inlineStr">
        <is>
          <t>Transcriber's notes</t>
        </is>
      </c>
    </row>
    <row r="41">
      <c r="A41" t="inlineStr">
        <is>
          <t>Era names are printed as small italic headings above the first year of each era ((Taisho), (Showa), (Tatung), (Kangteh)); they are prefixed to that year's cell here.</t>
        </is>
      </c>
    </row>
    <row r="42">
      <c r="A42" t="inlineStr">
        <is>
          <t>Manchoukuo column is dotted leaders only (blank) for 1912-1931.</t>
        </is>
      </c>
    </row>
    <row r="43">
      <c r="A43" t="inlineStr">
        <is>
          <t>Page number not printed; the contents list gives 'Year Names and Dates' as p. xv.</t>
        </is>
      </c>
    </row>
    <row r="44">
      <c r="A44" t="inlineStr">
        <is>
          <t>Every row checked against the photograph; all sequences are regular.</t>
        </is>
      </c>
    </row>
  </sheetData>
  <hyperlinks>
    <hyperlink xmlns:r="http://schemas.openxmlformats.org/officeDocument/2006/relationships" ref="A3"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Weights, Measures and Moneys</t>
        </is>
      </c>
    </row>
    <row r="2">
      <c r="A2" t="inlineStr">
        <is>
          <t>Front matter · printed pp. [xvi]</t>
        </is>
      </c>
    </row>
    <row r="3">
      <c r="A3" t="inlineStr">
        <is>
          <t>(Manchoukuo)</t>
        </is>
      </c>
    </row>
    <row r="4">
      <c r="A4" s="3" t="inlineStr">
        <is>
          <t>← Contents</t>
        </is>
      </c>
    </row>
    <row r="6">
      <c r="A6" s="2" t="inlineStr">
        <is>
          <t>Measures — Length (meter)</t>
        </is>
      </c>
    </row>
    <row r="7">
      <c r="A7" s="5" t="inlineStr">
        <is>
          <t>Unit</t>
        </is>
      </c>
      <c r="B7" s="5" t="inlineStr">
        <is>
          <t>Equivalent</t>
        </is>
      </c>
      <c r="C7" s="5" t="inlineStr">
        <is>
          <t>Metric equivalent</t>
        </is>
      </c>
    </row>
    <row r="8">
      <c r="A8" t="inlineStr">
        <is>
          <t>1 hao (毫)</t>
        </is>
      </c>
      <c r="B8">
        <f>1/10,000 chih (尺)</f>
        <v/>
      </c>
      <c r="C8">
        <f>1/30,000</f>
        <v/>
      </c>
    </row>
    <row r="9">
      <c r="A9" t="inlineStr">
        <is>
          <t>1 li (釐)</t>
        </is>
      </c>
      <c r="B9">
        <f>1/1,000 chih (尺)</f>
        <v/>
      </c>
      <c r="C9">
        <f>1/3,000</f>
        <v/>
      </c>
    </row>
    <row r="10">
      <c r="A10" t="inlineStr">
        <is>
          <t>1 fen (分)</t>
        </is>
      </c>
      <c r="B10">
        <f>1/100 chih (尺)</f>
        <v/>
      </c>
      <c r="C10">
        <f>1/300</f>
        <v/>
      </c>
    </row>
    <row r="11">
      <c r="A11" t="inlineStr">
        <is>
          <t>1 tsun (寸)</t>
        </is>
      </c>
      <c r="B11">
        <f>1/10 chih (尺)</f>
        <v/>
      </c>
      <c r="C11">
        <f>1/30</f>
        <v/>
      </c>
    </row>
    <row r="12">
      <c r="A12" t="inlineStr">
        <is>
          <t>1 chih (尺)</t>
        </is>
      </c>
      <c r="B12" t="inlineStr">
        <is>
          <t>=</t>
        </is>
      </c>
      <c r="C12">
        <f>1/3</f>
        <v/>
      </c>
    </row>
    <row r="13">
      <c r="A13" t="inlineStr">
        <is>
          <t>1 chang (丈)</t>
        </is>
      </c>
      <c r="B13">
        <f>10 chih (尺)</f>
        <v/>
      </c>
      <c r="C13">
        <f>3 1/3</f>
        <v/>
      </c>
    </row>
    <row r="14">
      <c r="A14" t="inlineStr">
        <is>
          <t>1 pi (引)</t>
        </is>
      </c>
      <c r="B14">
        <f>100 chih (尺)</f>
        <v/>
      </c>
      <c r="C14">
        <f>33 1/3</f>
        <v/>
      </c>
    </row>
    <row r="15">
      <c r="A15" t="inlineStr">
        <is>
          <t>1 li (里)</t>
        </is>
      </c>
      <c r="B15">
        <f>1,500 chih (尺)</f>
        <v/>
      </c>
      <c r="C15">
        <f>500</f>
        <v/>
      </c>
    </row>
    <row r="17">
      <c r="A17" s="2" t="inlineStr">
        <is>
          <t>Measures — Area (sq. meter)</t>
        </is>
      </c>
    </row>
    <row r="18">
      <c r="A18" s="5" t="inlineStr">
        <is>
          <t>Unit</t>
        </is>
      </c>
      <c r="B18" s="5" t="inlineStr">
        <is>
          <t>Equivalent</t>
        </is>
      </c>
      <c r="C18" s="5" t="inlineStr">
        <is>
          <t>Metric equivalent</t>
        </is>
      </c>
    </row>
    <row r="19">
      <c r="A19" t="inlineStr">
        <is>
          <t>1 kung (弓)</t>
        </is>
      </c>
      <c r="B19">
        <f>25 sq. chih (尺)</f>
        <v/>
      </c>
      <c r="C19">
        <f>2 7/9</f>
        <v/>
      </c>
    </row>
    <row r="20">
      <c r="A20" t="inlineStr">
        <is>
          <t>1 hao (毫)</t>
        </is>
      </c>
      <c r="B20">
        <f>1/1,000 mu (畝)</f>
        <v/>
      </c>
      <c r="C20">
        <f>1</f>
        <v/>
      </c>
    </row>
    <row r="21">
      <c r="A21" t="inlineStr">
        <is>
          <t>1 li (釐)</t>
        </is>
      </c>
      <c r="B21">
        <f>1/100 mu (畝)</f>
        <v/>
      </c>
      <c r="C21">
        <f>10</f>
        <v/>
      </c>
    </row>
    <row r="22">
      <c r="A22" t="inlineStr">
        <is>
          <t>1 fen (分)</t>
        </is>
      </c>
      <c r="B22">
        <f>1/10 mu (畝)</f>
        <v/>
      </c>
      <c r="C22">
        <f>100</f>
        <v/>
      </c>
    </row>
    <row r="23">
      <c r="A23" t="inlineStr">
        <is>
          <t>1 mu (畝)</t>
        </is>
      </c>
      <c r="B23">
        <f>9,000 sq. chih (尺)</f>
        <v/>
      </c>
      <c r="C23">
        <f>1,000</f>
        <v/>
      </c>
    </row>
    <row r="24">
      <c r="A24" t="inlineStr">
        <is>
          <t>1 tien (天)</t>
        </is>
      </c>
      <c r="B24">
        <f>10 mu (畝)</f>
        <v/>
      </c>
      <c r="C24">
        <f>10,000</f>
        <v/>
      </c>
    </row>
    <row r="25">
      <c r="A25" t="inlineStr">
        <is>
          <t>1 ching (頃)</t>
        </is>
      </c>
      <c r="B25">
        <f>100 mu (畝)</f>
        <v/>
      </c>
      <c r="C25">
        <f>100,000</f>
        <v/>
      </c>
    </row>
    <row r="27">
      <c r="A27" s="2" t="inlineStr">
        <is>
          <t>Quantity (cu. meter)</t>
        </is>
      </c>
    </row>
    <row r="28">
      <c r="A28" s="5" t="inlineStr">
        <is>
          <t>Unit</t>
        </is>
      </c>
      <c r="B28" s="5" t="inlineStr">
        <is>
          <t>Equivalent</t>
        </is>
      </c>
      <c r="C28" s="5" t="inlineStr">
        <is>
          <t>Metric equivalent</t>
        </is>
      </c>
    </row>
    <row r="29">
      <c r="A29" t="inlineStr">
        <is>
          <t>1 tso (撮)</t>
        </is>
      </c>
      <c r="B29">
        <f>1/1,000 sheng (升)</f>
        <v/>
      </c>
      <c r="C29">
        <f>0.001</f>
        <v/>
      </c>
    </row>
    <row r="30">
      <c r="A30" t="inlineStr">
        <is>
          <t>1 shao (勺)</t>
        </is>
      </c>
      <c r="B30">
        <f>1/100 sheng (升)</f>
        <v/>
      </c>
      <c r="C30">
        <f>0,01</f>
        <v/>
      </c>
    </row>
    <row r="31">
      <c r="A31" t="inlineStr">
        <is>
          <t>1 ho (合)</t>
        </is>
      </c>
      <c r="B31">
        <f>1/10 sheng (升)</f>
        <v/>
      </c>
      <c r="C31">
        <f>0.1</f>
        <v/>
      </c>
    </row>
    <row r="32">
      <c r="A32" t="inlineStr">
        <is>
          <t>1 sheng (升)</t>
        </is>
      </c>
      <c r="B32">
        <f>27 cubic chih (尺)</f>
        <v/>
      </c>
      <c r="C32">
        <f>1</f>
        <v/>
      </c>
    </row>
    <row r="33">
      <c r="A33" t="inlineStr">
        <is>
          <t>1 tou (斗)</t>
        </is>
      </c>
      <c r="B33">
        <f>10 sheng (升)</f>
        <v/>
      </c>
      <c r="C33">
        <f>10</f>
        <v/>
      </c>
    </row>
    <row r="34">
      <c r="A34" t="inlineStr">
        <is>
          <t>1 tang (石)</t>
        </is>
      </c>
      <c r="B34">
        <f>100 sheng (升)</f>
        <v/>
      </c>
      <c r="C34">
        <f>100</f>
        <v/>
      </c>
    </row>
    <row r="36">
      <c r="A36" s="2" t="inlineStr">
        <is>
          <t>Weights</t>
        </is>
      </c>
    </row>
    <row r="37">
      <c r="A37" s="5" t="inlineStr">
        <is>
          <t>Unit</t>
        </is>
      </c>
      <c r="B37" s="5" t="inlineStr">
        <is>
          <t>Equivalent</t>
        </is>
      </c>
      <c r="C37" s="5" t="inlineStr">
        <is>
          <t>Metric equivalent</t>
        </is>
      </c>
    </row>
    <row r="38">
      <c r="A38" t="inlineStr">
        <is>
          <t>1 ssu (絲)</t>
        </is>
      </c>
      <c r="B38">
        <f>1/1,000,000 chin (斤)</f>
        <v/>
      </c>
      <c r="C38">
        <f>0.0000005kg.</f>
        <v/>
      </c>
    </row>
    <row r="39">
      <c r="A39" t="inlineStr">
        <is>
          <t>1 hao (毫)</t>
        </is>
      </c>
      <c r="B39">
        <f>1/100,000 chin (斤)</f>
        <v/>
      </c>
      <c r="C39">
        <f>0.000005kg.</f>
        <v/>
      </c>
    </row>
    <row r="40">
      <c r="A40" t="inlineStr">
        <is>
          <t>1 li (釐)</t>
        </is>
      </c>
      <c r="B40">
        <f>1/10,000 chin (斤)</f>
        <v/>
      </c>
      <c r="C40">
        <f>0.00005kg.</f>
        <v/>
      </c>
    </row>
    <row r="41">
      <c r="A41" t="inlineStr">
        <is>
          <t>1 fen (分)</t>
        </is>
      </c>
      <c r="B41">
        <f>1/1,000 chin (斤)</f>
        <v/>
      </c>
      <c r="C41">
        <f>0.0005kg.</f>
        <v/>
      </c>
    </row>
    <row r="42">
      <c r="A42" t="inlineStr">
        <is>
          <t>1 chien (錢)</t>
        </is>
      </c>
      <c r="B42">
        <f>1/100 chin (斤)</f>
        <v/>
      </c>
      <c r="C42">
        <f>0.005 kg.</f>
        <v/>
      </c>
    </row>
    <row r="43">
      <c r="A43" t="inlineStr">
        <is>
          <t>1 liang (兩)</t>
        </is>
      </c>
      <c r="B43">
        <f>1/10 chin (斤)</f>
        <v/>
      </c>
      <c r="C43">
        <f>0.05 kg.</f>
        <v/>
      </c>
    </row>
    <row r="44">
      <c r="A44" t="inlineStr">
        <is>
          <t>1 chin (斤)</t>
        </is>
      </c>
      <c r="B44" t="inlineStr"/>
      <c r="C44">
        <f>1/2 kg.</f>
        <v/>
      </c>
    </row>
    <row r="45">
      <c r="A45" t="inlineStr">
        <is>
          <t>1 tan (擔)</t>
        </is>
      </c>
      <c r="B45">
        <f>100 chin (斤)</f>
        <v/>
      </c>
      <c r="C45">
        <f>50 kg.</f>
        <v/>
      </c>
    </row>
    <row r="47">
      <c r="A47" s="2" t="inlineStr">
        <is>
          <t>Moneys</t>
        </is>
      </c>
    </row>
    <row r="48">
      <c r="A48" s="5" t="inlineStr">
        <is>
          <t>Unit</t>
        </is>
      </c>
      <c r="B48" s="5" t="inlineStr">
        <is>
          <t>Equivalent</t>
        </is>
      </c>
      <c r="C48" s="5" t="inlineStr">
        <is>
          <t>Remarks</t>
        </is>
      </c>
    </row>
    <row r="49">
      <c r="A49" t="inlineStr">
        <is>
          <t>10 li (厘)</t>
        </is>
      </c>
      <c r="B49">
        <f>1 fen (分)</f>
        <v/>
      </c>
      <c r="C49" t="inlineStr"/>
    </row>
    <row r="50">
      <c r="A50" t="inlineStr">
        <is>
          <t>10 fen (分)</t>
        </is>
      </c>
      <c r="B50">
        <f>1 chiao (角)</f>
        <v/>
      </c>
      <c r="C50" t="inlineStr"/>
    </row>
    <row r="51">
      <c r="A51" t="inlineStr">
        <is>
          <t>10 chiao (角)</t>
        </is>
      </c>
      <c r="B51">
        <f>1 yuan (圓)</f>
        <v/>
      </c>
      <c r="C51" t="inlineStr">
        <is>
          <t>(23.91 grs. of Pure Silver)</t>
        </is>
      </c>
    </row>
    <row r="52">
      <c r="A52" t="inlineStr">
        <is>
          <t>M. ¥1.00 (1 yuan)</t>
        </is>
      </c>
      <c r="B52">
        <f>1 G. ¥1.00 (Japan)</f>
        <v/>
      </c>
      <c r="C52" t="inlineStr"/>
    </row>
    <row r="54">
      <c r="A54" s="2" t="inlineStr">
        <is>
          <t>Moneys — Coins</t>
        </is>
      </c>
    </row>
    <row r="55">
      <c r="A55" s="5" t="inlineStr">
        <is>
          <t>Coin</t>
        </is>
      </c>
      <c r="B55" s="5" t="inlineStr">
        <is>
          <t>Weight</t>
        </is>
      </c>
      <c r="C55" s="5" t="inlineStr">
        <is>
          <t>Copper</t>
        </is>
      </c>
      <c r="D55" s="5" t="inlineStr">
        <is>
          <t>Tin</t>
        </is>
      </c>
      <c r="E55" s="5" t="inlineStr">
        <is>
          <t>Zinc</t>
        </is>
      </c>
      <c r="F55" s="5" t="inlineStr">
        <is>
          <t>Nickel</t>
        </is>
      </c>
    </row>
    <row r="56">
      <c r="A56" t="inlineStr">
        <is>
          <t>5 li (厘) (Copper)</t>
        </is>
      </c>
      <c r="B56" t="inlineStr">
        <is>
          <t>25 gr.</t>
        </is>
      </c>
      <c r="C56" t="inlineStr">
        <is>
          <t>95%</t>
        </is>
      </c>
      <c r="D56" t="inlineStr">
        <is>
          <t>4%</t>
        </is>
      </c>
      <c r="E56" t="inlineStr">
        <is>
          <t>1%</t>
        </is>
      </c>
      <c r="F56" t="inlineStr"/>
    </row>
    <row r="57">
      <c r="A57" t="inlineStr">
        <is>
          <t>1 fen (分) (Copper)</t>
        </is>
      </c>
      <c r="B57" t="inlineStr">
        <is>
          <t>3.5 gr.</t>
        </is>
      </c>
      <c r="C57" t="inlineStr"/>
      <c r="D57" t="inlineStr">
        <is>
          <t>4%</t>
        </is>
      </c>
      <c r="E57" t="inlineStr">
        <is>
          <t>1%</t>
        </is>
      </c>
      <c r="F57" t="inlineStr"/>
    </row>
    <row r="58">
      <c r="A58" t="inlineStr">
        <is>
          <t>5 fen (分) (Nickel)</t>
        </is>
      </c>
      <c r="B58" t="inlineStr">
        <is>
          <t>2 gr.</t>
        </is>
      </c>
      <c r="C58" t="inlineStr">
        <is>
          <t>75%</t>
        </is>
      </c>
      <c r="D58" t="inlineStr"/>
      <c r="E58" t="inlineStr"/>
      <c r="F58" t="inlineStr">
        <is>
          <t>25%</t>
        </is>
      </c>
    </row>
    <row r="59">
      <c r="A59" t="inlineStr">
        <is>
          <t>1 chiao (角) (Nickel)</t>
        </is>
      </c>
      <c r="B59" t="inlineStr">
        <is>
          <t>3 gr.</t>
        </is>
      </c>
      <c r="C59" t="inlineStr">
        <is>
          <t>75%</t>
        </is>
      </c>
      <c r="D59" t="inlineStr"/>
      <c r="E59" t="inlineStr"/>
      <c r="F59" t="inlineStr">
        <is>
          <t>25%</t>
        </is>
      </c>
    </row>
    <row r="61">
      <c r="A61" s="2" t="inlineStr">
        <is>
          <t>Moneys — Notes</t>
        </is>
      </c>
    </row>
    <row r="62">
      <c r="A62" s="5" t="inlineStr">
        <is>
          <t>Denomination</t>
        </is>
      </c>
      <c r="B62" s="5" t="n"/>
      <c r="C62" s="5" t="n"/>
      <c r="D62" s="5" t="n"/>
      <c r="E62" s="5" t="n"/>
      <c r="F62" s="5" t="n"/>
    </row>
    <row r="63">
      <c r="A63" t="inlineStr">
        <is>
          <t>5 chiao (角)</t>
        </is>
      </c>
    </row>
    <row r="64">
      <c r="A64" t="inlineStr">
        <is>
          <t>1 M. ¥ (圓)</t>
        </is>
      </c>
    </row>
    <row r="65">
      <c r="A65" t="inlineStr">
        <is>
          <t>5 M. ¥ (圓)</t>
        </is>
      </c>
    </row>
    <row r="66">
      <c r="A66" t="inlineStr">
        <is>
          <t>10 M. ¥ (圓)</t>
        </is>
      </c>
    </row>
    <row r="67">
      <c r="A67" t="inlineStr">
        <is>
          <t>100 M. ¥ (圓)</t>
        </is>
      </c>
    </row>
    <row r="69">
      <c r="A69" s="2" t="inlineStr">
        <is>
          <t>Transcriber's notes</t>
        </is>
      </c>
    </row>
    <row r="70">
      <c r="A70" t="inlineStr">
        <is>
          <t>Printed stacked fractions are written as a/b; mixed numbers as '3 1/3', '2 7/9'; '½' written '1/2'.</t>
        </is>
      </c>
    </row>
    <row r="71">
      <c r="A71" t="inlineStr">
        <is>
          <t>Each section is printed in two side-by-side blocks (left then right); merged in reading order.</t>
        </is>
      </c>
    </row>
    <row r="72">
      <c r="A72" t="inlineStr">
        <is>
          <t>Quantity: '1 shao = 0,01' is printed with a comma (as transcribed).</t>
        </is>
      </c>
    </row>
    <row r="73">
      <c r="A73" t="inlineStr">
        <is>
          <t>Weights: '1 li' fraction numerator printed '1·' (stray dot).</t>
        </is>
      </c>
    </row>
    <row r="74">
      <c r="A74" t="inlineStr">
        <is>
          <t>The 5 li coin is printed on the left under 'Coins'; the other three coins appear in the right-hand Moneys block - combined here into one Coins part.</t>
        </is>
      </c>
    </row>
    <row r="75">
      <c r="A75" t="inlineStr">
        <is>
          <t>Coins: composition is printed in parentheses under each coin, e.g. '(Copper 95% Tin 4%, Zinc 1%)'; split into metal columns here, '' where a metal is not named.</t>
        </is>
      </c>
    </row>
    <row r="76">
      <c r="A76" t="inlineStr">
        <is>
          <t>Row '1 fen (Copper)', col 'Copper': second digit broken in the print ('9?%'); left blank, not inferred.</t>
        </is>
      </c>
    </row>
    <row r="77">
      <c r="A77" t="inlineStr">
        <is>
          <t>Page number not printed; the contents list gives 'Weights, Measures, Moneys' as p. xvi.</t>
        </is>
      </c>
    </row>
  </sheetData>
  <hyperlinks>
    <hyperlink xmlns:r="http://schemas.openxmlformats.org/officeDocument/2006/relationships" ref="A4"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Position, Boundary and Coastline</t>
        </is>
      </c>
    </row>
    <row r="2">
      <c r="A2" t="inlineStr">
        <is>
          <t>Geography and Geology · printed pp. [1]</t>
        </is>
      </c>
    </row>
    <row r="3">
      <c r="A3" s="3" t="inlineStr">
        <is>
          <t>← Contents</t>
        </is>
      </c>
    </row>
    <row r="5">
      <c r="A5" s="5" t="inlineStr">
        <is>
          <t>Item</t>
        </is>
      </c>
      <c r="B5" s="5" t="inlineStr">
        <is>
          <t>Reference</t>
        </is>
      </c>
      <c r="C5" s="5" t="inlineStr">
        <is>
          <t>Value</t>
        </is>
      </c>
    </row>
    <row r="6">
      <c r="A6" t="inlineStr">
        <is>
          <t>Position — East extremity</t>
        </is>
      </c>
      <c r="B6" t="inlineStr">
        <is>
          <t>East Longitude</t>
        </is>
      </c>
      <c r="C6" t="inlineStr">
        <is>
          <t>135°20′</t>
        </is>
      </c>
    </row>
    <row r="7">
      <c r="A7" t="inlineStr">
        <is>
          <t>Position — West extremity</t>
        </is>
      </c>
      <c r="B7" t="inlineStr">
        <is>
          <t>East Longitude</t>
        </is>
      </c>
      <c r="C7" t="inlineStr">
        <is>
          <t>115°20′</t>
        </is>
      </c>
    </row>
    <row r="8">
      <c r="A8" t="inlineStr">
        <is>
          <t>Position — South extremity</t>
        </is>
      </c>
      <c r="B8" t="inlineStr">
        <is>
          <t>North Latitude</t>
        </is>
      </c>
      <c r="C8" t="inlineStr">
        <is>
          <t>38°40′</t>
        </is>
      </c>
    </row>
    <row r="9">
      <c r="A9" t="inlineStr">
        <is>
          <t>Position — North extremity</t>
        </is>
      </c>
      <c r="B9" t="inlineStr">
        <is>
          <t>North Latitude</t>
        </is>
      </c>
      <c r="C9" t="inlineStr">
        <is>
          <t>53°50′</t>
        </is>
      </c>
    </row>
    <row r="10">
      <c r="A10" t="inlineStr">
        <is>
          <t>Boundary</t>
        </is>
      </c>
      <c r="B10" t="inlineStr">
        <is>
          <t>kilometres (extension)</t>
        </is>
      </c>
      <c r="C10" s="6" t="n">
        <v>8438</v>
      </c>
    </row>
    <row r="11">
      <c r="A11" t="inlineStr">
        <is>
          <t>Coastline</t>
        </is>
      </c>
      <c r="B11" t="inlineStr">
        <is>
          <t>kilometres (extension)</t>
        </is>
      </c>
      <c r="C11" s="9" t="n">
        <v>866</v>
      </c>
    </row>
    <row r="13">
      <c r="A13" s="2" t="inlineStr">
        <is>
          <t>Transcriber's notes</t>
        </is>
      </c>
    </row>
    <row r="14">
      <c r="A14" t="inlineStr">
        <is>
          <t>Printed with ditto marks (") for 'extremity', 'East Longitude', 'North Latitude' and 'kilometres (extension)'; expanded here.</t>
        </is>
      </c>
    </row>
    <row r="15">
      <c r="A15" t="inlineStr">
        <is>
          <t>Page number not printed (chapter-opening page, p. 1 by sequence; next page is numbered 2).</t>
        </is>
      </c>
    </row>
  </sheetData>
  <hyperlinks>
    <hyperlink xmlns:r="http://schemas.openxmlformats.org/officeDocument/2006/relationships" ref="A3"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Area of Manchoukuo</t>
        </is>
      </c>
    </row>
    <row r="2">
      <c r="A2" t="inlineStr">
        <is>
          <t>Geography and Geology · printed pp. 4</t>
        </is>
      </c>
    </row>
    <row r="3">
      <c r="A3" s="3" t="inlineStr">
        <is>
          <t>← Contents</t>
        </is>
      </c>
    </row>
    <row r="5">
      <c r="A5" s="5" t="inlineStr">
        <is>
          <t>Province</t>
        </is>
      </c>
      <c r="B5" s="5" t="inlineStr">
        <is>
          <t>Sq. km.</t>
        </is>
      </c>
    </row>
    <row r="6">
      <c r="A6" t="inlineStr">
        <is>
          <t>Fengtien</t>
        </is>
      </c>
      <c r="B6" s="6" t="n">
        <v>75812</v>
      </c>
    </row>
    <row r="7">
      <c r="A7" t="inlineStr">
        <is>
          <t>Kirin</t>
        </is>
      </c>
      <c r="B7" s="6" t="n">
        <v>88819</v>
      </c>
    </row>
    <row r="8">
      <c r="A8" t="inlineStr">
        <is>
          <t>Lungkiang</t>
        </is>
      </c>
      <c r="B8" s="6" t="n">
        <v>67109</v>
      </c>
    </row>
    <row r="9">
      <c r="A9" t="inlineStr">
        <is>
          <t>Jehol</t>
        </is>
      </c>
      <c r="B9" s="6" t="n">
        <v>66585</v>
      </c>
    </row>
    <row r="10">
      <c r="A10" t="inlineStr">
        <is>
          <t>Pinkiang</t>
        </is>
      </c>
      <c r="B10" s="6" t="n">
        <v>63863</v>
      </c>
    </row>
    <row r="11">
      <c r="A11" t="inlineStr">
        <is>
          <t>Chinchow</t>
        </is>
      </c>
      <c r="B11" s="6" t="n">
        <v>39462</v>
      </c>
    </row>
    <row r="12">
      <c r="A12" t="inlineStr">
        <is>
          <t>Antung</t>
        </is>
      </c>
      <c r="B12" s="6" t="n">
        <v>41974</v>
      </c>
    </row>
    <row r="13">
      <c r="A13" t="inlineStr">
        <is>
          <t>Chientao</t>
        </is>
      </c>
      <c r="B13" s="6" t="n">
        <v>29830</v>
      </c>
    </row>
    <row r="14">
      <c r="A14" t="inlineStr">
        <is>
          <t>Sankiang</t>
        </is>
      </c>
      <c r="B14" s="6" t="n">
        <v>90055</v>
      </c>
    </row>
    <row r="15">
      <c r="A15" t="inlineStr">
        <is>
          <t>Tunghua</t>
        </is>
      </c>
      <c r="B15" s="6" t="n">
        <v>31647</v>
      </c>
    </row>
    <row r="16">
      <c r="A16" t="inlineStr">
        <is>
          <t>Mutankiang</t>
        </is>
      </c>
      <c r="B16" s="6" t="n">
        <v>32961</v>
      </c>
    </row>
    <row r="17">
      <c r="A17" t="inlineStr">
        <is>
          <t>Heiho</t>
        </is>
      </c>
      <c r="B17" s="6" t="n">
        <v>109813</v>
      </c>
    </row>
    <row r="18">
      <c r="A18" t="inlineStr">
        <is>
          <t>Peian</t>
        </is>
      </c>
      <c r="B18" s="6" t="n">
        <v>71491</v>
      </c>
    </row>
    <row r="19">
      <c r="A19" t="inlineStr">
        <is>
          <t>Tungan</t>
        </is>
      </c>
      <c r="B19" s="6" t="n">
        <v>41974</v>
      </c>
    </row>
    <row r="20">
      <c r="A20" t="inlineStr">
        <is>
          <t>East Hsingan</t>
        </is>
      </c>
      <c r="B20" s="6" t="n">
        <v>106751</v>
      </c>
    </row>
    <row r="21">
      <c r="A21" t="inlineStr">
        <is>
          <t>West Hsingan</t>
        </is>
      </c>
      <c r="B21" s="6" t="n">
        <v>80410</v>
      </c>
    </row>
    <row r="22">
      <c r="A22" t="inlineStr">
        <is>
          <t>South Hsingan</t>
        </is>
      </c>
      <c r="B22" s="6" t="n">
        <v>79021</v>
      </c>
    </row>
    <row r="23">
      <c r="A23" t="inlineStr">
        <is>
          <t>North Hsingan</t>
        </is>
      </c>
      <c r="B23" s="6" t="n">
        <v>159299</v>
      </c>
    </row>
    <row r="24">
      <c r="A24" t="inlineStr">
        <is>
          <t>Hsinking Special Municipality</t>
        </is>
      </c>
      <c r="B24" s="9" t="n">
        <v>437</v>
      </c>
    </row>
    <row r="25">
      <c r="A25" t="inlineStr">
        <is>
          <t>Total</t>
        </is>
      </c>
      <c r="B25" s="6" t="n">
        <v>1303437</v>
      </c>
    </row>
    <row r="27">
      <c r="A27" s="2" t="inlineStr">
        <is>
          <t>Transcriber's notes</t>
        </is>
      </c>
    </row>
    <row r="28">
      <c r="A28" t="inlineStr">
        <is>
          <t>Printed in two side-by-side blocks; merged left block then right block.</t>
        </is>
      </c>
    </row>
    <row r="29">
      <c r="A29" t="inlineStr">
        <is>
          <t>Total sq. km. 1,303,437: the 19 printed parts sum to 1,277,313 - does NOT reconcile (diff 26,124). All cells re-read at high magnification; all are clearly printed. Antung and Tungan both print 41,974.</t>
        </is>
      </c>
    </row>
    <row r="30">
      <c r="A30" t="inlineStr">
        <is>
          <t>Ssuping Province (added July 1941 per the text above the table, 'an area of 29,000 square kilometers') is not listed in the table.</t>
        </is>
      </c>
    </row>
  </sheetData>
  <hyperlinks>
    <hyperlink xmlns:r="http://schemas.openxmlformats.org/officeDocument/2006/relationships" ref="A3"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Principal Mountain Systems in Manchoukuo</t>
        </is>
      </c>
    </row>
    <row r="2">
      <c r="A2" t="inlineStr">
        <is>
          <t>Geography and Geology · printed pp. 8, 9</t>
        </is>
      </c>
    </row>
    <row r="3">
      <c r="A3" s="3" t="inlineStr">
        <is>
          <t>← Contents</t>
        </is>
      </c>
    </row>
    <row r="5">
      <c r="A5" s="5" t="inlineStr">
        <is>
          <t>Principal Range</t>
        </is>
      </c>
      <c r="B5" s="5" t="inlineStr">
        <is>
          <t>Sub-Range</t>
        </is>
      </c>
      <c r="C5" s="5" t="inlineStr">
        <is>
          <t>Tributary Mountains</t>
        </is>
      </c>
      <c r="D5" s="5" t="inlineStr">
        <is>
          <t>Height (metres)</t>
        </is>
      </c>
      <c r="E5" s="5" t="inlineStr">
        <is>
          <t>Main Peaks</t>
        </is>
      </c>
      <c r="F5" s="5" t="inlineStr">
        <is>
          <t>Height of Peaks (metres)</t>
        </is>
      </c>
    </row>
    <row r="6">
      <c r="A6" t="inlineStr">
        <is>
          <t>Changpaishan</t>
        </is>
      </c>
      <c r="B6" t="inlineStr">
        <is>
          <t>Changpaishan</t>
        </is>
      </c>
      <c r="C6" t="inlineStr">
        <is>
          <t>—</t>
        </is>
      </c>
      <c r="D6" t="inlineStr"/>
      <c r="E6" t="inlineStr">
        <is>
          <t>Paitoushan</t>
        </is>
      </c>
      <c r="F6" s="6" t="n">
        <v>2774</v>
      </c>
    </row>
    <row r="7">
      <c r="A7" t="inlineStr"/>
      <c r="B7" t="inlineStr">
        <is>
          <t>"</t>
        </is>
      </c>
      <c r="C7" t="inlineStr">
        <is>
          <t>Feitehlishan</t>
        </is>
      </c>
      <c r="D7" t="inlineStr">
        <is>
          <t>More than 2,000</t>
        </is>
      </c>
      <c r="E7" t="inlineStr">
        <is>
          <t>Feitehlishan &amp; Maotsushan</t>
        </is>
      </c>
      <c r="F7" t="inlineStr">
        <is>
          <t>—</t>
        </is>
      </c>
    </row>
    <row r="8">
      <c r="A8" t="inlineStr"/>
      <c r="B8" t="inlineStr">
        <is>
          <t>"</t>
        </is>
      </c>
      <c r="C8" t="inlineStr">
        <is>
          <t>Iluhayafan (Laoling)</t>
        </is>
      </c>
      <c r="D8" t="inlineStr"/>
      <c r="E8" t="inlineStr">
        <is>
          <t>Laoling</t>
        </is>
      </c>
      <c r="F8" s="6" t="n">
        <v>1000</v>
      </c>
    </row>
    <row r="9">
      <c r="A9" t="inlineStr"/>
      <c r="B9" t="inlineStr">
        <is>
          <t>"</t>
        </is>
      </c>
      <c r="C9" t="inlineStr">
        <is>
          <t>Heishan</t>
        </is>
      </c>
      <c r="D9" t="inlineStr">
        <is>
          <t>1,000–2,000</t>
        </is>
      </c>
      <c r="E9" t="inlineStr">
        <is>
          <t>Laopaishan</t>
        </is>
      </c>
      <c r="F9" t="inlineStr">
        <is>
          <t>—</t>
        </is>
      </c>
    </row>
    <row r="10">
      <c r="A10" t="inlineStr"/>
      <c r="B10" t="inlineStr">
        <is>
          <t>"</t>
        </is>
      </c>
      <c r="C10" t="inlineStr">
        <is>
          <t>Yingehling</t>
        </is>
      </c>
      <c r="D10" t="inlineStr">
        <is>
          <t>2,000 maximum</t>
        </is>
      </c>
      <c r="E10" t="inlineStr">
        <is>
          <t>—</t>
        </is>
      </c>
      <c r="F10" t="inlineStr">
        <is>
          <t>—</t>
        </is>
      </c>
    </row>
    <row r="11">
      <c r="A11" t="inlineStr"/>
      <c r="B11" t="inlineStr">
        <is>
          <t>Hsiao (Little) Changpaishan</t>
        </is>
      </c>
      <c r="C11" t="inlineStr">
        <is>
          <t>Moutanling</t>
        </is>
      </c>
      <c r="D11" t="inlineStr">
        <is>
          <t>1,000–2,000</t>
        </is>
      </c>
      <c r="E11" t="inlineStr">
        <is>
          <t>Chingling</t>
        </is>
      </c>
      <c r="F11" s="6" t="n">
        <v>1013</v>
      </c>
    </row>
    <row r="12">
      <c r="A12" t="inlineStr"/>
      <c r="B12" t="inlineStr">
        <is>
          <t>"</t>
        </is>
      </c>
      <c r="C12" t="inlineStr">
        <is>
          <t>Changkwangtsailing</t>
        </is>
      </c>
      <c r="D12" t="inlineStr">
        <is>
          <t>850 maximum</t>
        </is>
      </c>
      <c r="E12" t="inlineStr">
        <is>
          <t>Changkwangtsailing</t>
        </is>
      </c>
      <c r="F12" s="9" t="n">
        <v>793</v>
      </c>
    </row>
    <row r="13">
      <c r="A13" t="inlineStr"/>
      <c r="B13" t="inlineStr">
        <is>
          <t>"</t>
        </is>
      </c>
      <c r="C13" t="inlineStr">
        <is>
          <t>Laoling</t>
        </is>
      </c>
      <c r="D13" t="inlineStr">
        <is>
          <t>—</t>
        </is>
      </c>
      <c r="E13" t="inlineStr">
        <is>
          <t>Daoling</t>
        </is>
      </c>
      <c r="F13" s="6" t="n">
        <v>1200</v>
      </c>
    </row>
    <row r="14">
      <c r="A14" t="inlineStr"/>
      <c r="B14" t="inlineStr">
        <is>
          <t>Kuanta (Kentai)</t>
        </is>
      </c>
      <c r="C14" t="inlineStr">
        <is>
          <t>—</t>
        </is>
      </c>
      <c r="D14" t="inlineStr">
        <is>
          <t>250–270</t>
        </is>
      </c>
      <c r="E14" t="inlineStr">
        <is>
          <t>Hounishihshan</t>
        </is>
      </c>
      <c r="F14" t="inlineStr">
        <is>
          <t>—</t>
        </is>
      </c>
    </row>
    <row r="15">
      <c r="A15" t="inlineStr"/>
      <c r="B15" t="inlineStr">
        <is>
          <t>"</t>
        </is>
      </c>
      <c r="C15" t="inlineStr">
        <is>
          <t>Kongtaishan</t>
        </is>
      </c>
      <c r="D15" t="inlineStr">
        <is>
          <t>—</t>
        </is>
      </c>
      <c r="E15" t="inlineStr">
        <is>
          <t>—</t>
        </is>
      </c>
      <c r="F15" t="inlineStr">
        <is>
          <t>—</t>
        </is>
      </c>
    </row>
    <row r="16">
      <c r="A16" t="inlineStr"/>
      <c r="B16" t="inlineStr">
        <is>
          <t>"</t>
        </is>
      </c>
      <c r="C16" t="inlineStr">
        <is>
          <t>Lungchaokou</t>
        </is>
      </c>
      <c r="D16" t="inlineStr">
        <is>
          <t>—</t>
        </is>
      </c>
      <c r="E16" t="inlineStr">
        <is>
          <t>—</t>
        </is>
      </c>
      <c r="F16" t="inlineStr">
        <is>
          <t>—</t>
        </is>
      </c>
    </row>
    <row r="17">
      <c r="A17" t="inlineStr"/>
      <c r="B17" t="inlineStr">
        <is>
          <t>"</t>
        </is>
      </c>
      <c r="C17" t="inlineStr">
        <is>
          <t>Chakulanling</t>
        </is>
      </c>
      <c r="D17" t="inlineStr">
        <is>
          <t>—</t>
        </is>
      </c>
      <c r="E17" t="inlineStr">
        <is>
          <t>Kuantashan</t>
        </is>
      </c>
      <c r="F17" t="inlineStr">
        <is>
          <t>—</t>
        </is>
      </c>
    </row>
    <row r="18">
      <c r="A18" t="inlineStr"/>
      <c r="B18" t="inlineStr">
        <is>
          <t>"</t>
        </is>
      </c>
      <c r="C18" t="inlineStr">
        <is>
          <t>Natanhatalaling</t>
        </is>
      </c>
      <c r="D18" t="inlineStr">
        <is>
          <t>—</t>
        </is>
      </c>
      <c r="E18" t="inlineStr">
        <is>
          <t>Shuangyashin &amp; Fulishan</t>
        </is>
      </c>
      <c r="F18" t="inlineStr">
        <is>
          <t>—</t>
        </is>
      </c>
    </row>
    <row r="19">
      <c r="A19" t="inlineStr"/>
      <c r="B19" t="inlineStr">
        <is>
          <t>"</t>
        </is>
      </c>
      <c r="C19" t="inlineStr">
        <is>
          <t>Aluhaweichuling</t>
        </is>
      </c>
      <c r="D19" t="inlineStr">
        <is>
          <t>—</t>
        </is>
      </c>
      <c r="E19" t="inlineStr">
        <is>
          <t>—</t>
        </is>
      </c>
      <c r="F19" t="inlineStr">
        <is>
          <t>—</t>
        </is>
      </c>
    </row>
    <row r="20">
      <c r="A20" t="inlineStr"/>
      <c r="B20" t="inlineStr">
        <is>
          <t>Laosungling (Mukotehsiang)</t>
        </is>
      </c>
      <c r="C20" t="inlineStr">
        <is>
          <t>Halupaling</t>
        </is>
      </c>
      <c r="D20" t="inlineStr">
        <is>
          <t>800 maximum</t>
        </is>
      </c>
      <c r="E20" t="inlineStr">
        <is>
          <t>Halupaling</t>
        </is>
      </c>
      <c r="F20" s="9" t="n">
        <v>800</v>
      </c>
    </row>
    <row r="21">
      <c r="A21" t="inlineStr"/>
      <c r="B21" t="inlineStr">
        <is>
          <t>"</t>
        </is>
      </c>
      <c r="C21" t="inlineStr">
        <is>
          <t>Changlingtsu</t>
        </is>
      </c>
      <c r="D21" t="inlineStr">
        <is>
          <t>—</t>
        </is>
      </c>
      <c r="E21" t="inlineStr">
        <is>
          <t>—</t>
        </is>
      </c>
      <c r="F21" t="inlineStr">
        <is>
          <t>—</t>
        </is>
      </c>
    </row>
    <row r="22">
      <c r="A22" t="inlineStr"/>
      <c r="B22" t="inlineStr">
        <is>
          <t>"</t>
        </is>
      </c>
      <c r="C22" t="inlineStr">
        <is>
          <t>Laoyehling</t>
        </is>
      </c>
      <c r="D22" t="inlineStr">
        <is>
          <t>1,200 maximum</t>
        </is>
      </c>
      <c r="E22" t="inlineStr">
        <is>
          <t>Laosungling</t>
        </is>
      </c>
      <c r="F22" s="9" t="n">
        <v>800</v>
      </c>
    </row>
    <row r="23">
      <c r="A23" t="inlineStr"/>
      <c r="B23" t="inlineStr">
        <is>
          <t>"</t>
        </is>
      </c>
      <c r="C23" t="inlineStr">
        <is>
          <t>Meiling</t>
        </is>
      </c>
      <c r="D23" t="inlineStr">
        <is>
          <t>—</t>
        </is>
      </c>
      <c r="E23" t="inlineStr">
        <is>
          <t>—</t>
        </is>
      </c>
      <c r="F23" t="inlineStr">
        <is>
          <t>—</t>
        </is>
      </c>
    </row>
    <row r="24">
      <c r="A24" t="inlineStr"/>
      <c r="B24" t="inlineStr">
        <is>
          <t>"</t>
        </is>
      </c>
      <c r="C24" t="inlineStr">
        <is>
          <t>Takaoliling</t>
        </is>
      </c>
      <c r="D24" t="inlineStr">
        <is>
          <t>—</t>
        </is>
      </c>
      <c r="E24" t="inlineStr">
        <is>
          <t>—</t>
        </is>
      </c>
      <c r="F24" t="inlineStr">
        <is>
          <t>—</t>
        </is>
      </c>
    </row>
    <row r="25">
      <c r="A25" t="inlineStr"/>
      <c r="B25" t="inlineStr">
        <is>
          <t>Changpaishan Western Branch (Kirin-Hata)</t>
        </is>
      </c>
      <c r="C25" t="inlineStr">
        <is>
          <t>Chahaliang</t>
        </is>
      </c>
      <c r="D25" t="inlineStr">
        <is>
          <t>700–1,000</t>
        </is>
      </c>
      <c r="E25" t="inlineStr">
        <is>
          <t>—</t>
        </is>
      </c>
      <c r="F25" t="inlineStr">
        <is>
          <t>—</t>
        </is>
      </c>
    </row>
    <row r="26">
      <c r="A26" t="inlineStr"/>
      <c r="B26" t="inlineStr">
        <is>
          <t>"</t>
        </is>
      </c>
      <c r="C26" t="inlineStr">
        <is>
          <t>Kueling</t>
        </is>
      </c>
      <c r="D26" t="inlineStr">
        <is>
          <t>"</t>
        </is>
      </c>
      <c r="E26" t="inlineStr">
        <is>
          <t>—</t>
        </is>
      </c>
      <c r="F26" t="inlineStr">
        <is>
          <t>—</t>
        </is>
      </c>
    </row>
    <row r="27">
      <c r="A27" t="inlineStr"/>
      <c r="B27" t="inlineStr">
        <is>
          <t>"</t>
        </is>
      </c>
      <c r="C27" t="inlineStr">
        <is>
          <t>Mayenhotaling</t>
        </is>
      </c>
      <c r="D27" t="inlineStr">
        <is>
          <t>"</t>
        </is>
      </c>
      <c r="E27" t="inlineStr">
        <is>
          <t>—</t>
        </is>
      </c>
      <c r="F27" t="inlineStr">
        <is>
          <t>—</t>
        </is>
      </c>
    </row>
    <row r="28">
      <c r="A28" t="inlineStr"/>
      <c r="B28" t="inlineStr">
        <is>
          <t>Southern Watershed</t>
        </is>
      </c>
      <c r="C28" t="inlineStr">
        <is>
          <t>Imenshaling</t>
        </is>
      </c>
      <c r="D28" t="inlineStr">
        <is>
          <t>700–750</t>
        </is>
      </c>
      <c r="E28" t="inlineStr">
        <is>
          <t>—</t>
        </is>
      </c>
      <c r="F28" t="inlineStr">
        <is>
          <t>—</t>
        </is>
      </c>
    </row>
    <row r="29">
      <c r="A29" t="inlineStr"/>
      <c r="B29" t="inlineStr">
        <is>
          <t>"</t>
        </is>
      </c>
      <c r="C29" t="inlineStr">
        <is>
          <t>Taling</t>
        </is>
      </c>
      <c r="D29" t="inlineStr">
        <is>
          <t>500–700</t>
        </is>
      </c>
      <c r="E29" t="inlineStr">
        <is>
          <t>—</t>
        </is>
      </c>
      <c r="F29" t="inlineStr">
        <is>
          <t>—</t>
        </is>
      </c>
    </row>
    <row r="30">
      <c r="A30" t="inlineStr"/>
      <c r="B30" t="inlineStr">
        <is>
          <t>"</t>
        </is>
      </c>
      <c r="C30" t="inlineStr">
        <is>
          <t>Aiho Western</t>
        </is>
      </c>
      <c r="D30" t="inlineStr">
        <is>
          <t>700 maximum</t>
        </is>
      </c>
      <c r="E30" t="inlineStr">
        <is>
          <t>—</t>
        </is>
      </c>
      <c r="F30" t="inlineStr">
        <is>
          <t>—</t>
        </is>
      </c>
    </row>
    <row r="31">
      <c r="A31" t="inlineStr"/>
      <c r="B31" t="inlineStr">
        <is>
          <t>"</t>
        </is>
      </c>
      <c r="C31" t="inlineStr">
        <is>
          <t>Matienling</t>
        </is>
      </c>
      <c r="D31" t="inlineStr">
        <is>
          <t>800–1,100</t>
        </is>
      </c>
      <c r="E31" t="inlineStr">
        <is>
          <t>—</t>
        </is>
      </c>
      <c r="F31" t="inlineStr">
        <is>
          <t>—</t>
        </is>
      </c>
    </row>
    <row r="32">
      <c r="A32" t="inlineStr"/>
      <c r="B32" t="inlineStr">
        <is>
          <t>"</t>
        </is>
      </c>
      <c r="C32" t="inlineStr">
        <is>
          <t>Tsienshan</t>
        </is>
      </c>
      <c r="D32" t="inlineStr"/>
      <c r="E32" t="inlineStr">
        <is>
          <t>—</t>
        </is>
      </c>
      <c r="F32" t="inlineStr">
        <is>
          <t>—</t>
        </is>
      </c>
    </row>
    <row r="33">
      <c r="A33" t="inlineStr">
        <is>
          <t>Hsinganling</t>
        </is>
      </c>
      <c r="B33" t="inlineStr">
        <is>
          <t>Greater Hsinganling (West Branch)</t>
        </is>
      </c>
      <c r="C33" t="inlineStr">
        <is>
          <t>Yikilishan</t>
        </is>
      </c>
      <c r="D33" t="inlineStr">
        <is>
          <t>1,210 maximum</t>
        </is>
      </c>
      <c r="E33" t="inlineStr">
        <is>
          <t>Yikilishan</t>
        </is>
      </c>
      <c r="F33" s="6" t="n">
        <v>1210</v>
      </c>
    </row>
    <row r="34">
      <c r="A34" t="inlineStr"/>
      <c r="B34" t="inlineStr">
        <is>
          <t>"</t>
        </is>
      </c>
      <c r="C34" t="inlineStr">
        <is>
          <t>Shihchangshan</t>
        </is>
      </c>
      <c r="D34" t="inlineStr">
        <is>
          <t>—</t>
        </is>
      </c>
      <c r="E34" t="inlineStr">
        <is>
          <t>Shihchangshan</t>
        </is>
      </c>
      <c r="F34" t="inlineStr"/>
    </row>
    <row r="35">
      <c r="A35" t="inlineStr"/>
      <c r="B35" t="inlineStr">
        <is>
          <t>"</t>
        </is>
      </c>
      <c r="C35" t="inlineStr">
        <is>
          <t>Chichichangshan</t>
        </is>
      </c>
      <c r="D35" t="inlineStr">
        <is>
          <t>1,360 maximum</t>
        </is>
      </c>
      <c r="E35" t="inlineStr">
        <is>
          <t>Chichichangshan</t>
        </is>
      </c>
      <c r="F35" s="10" t="n">
        <v>1.36</v>
      </c>
    </row>
    <row r="36">
      <c r="A36" t="inlineStr"/>
      <c r="B36" t="inlineStr">
        <is>
          <t>Great Hsinganling (East Branch)</t>
        </is>
      </c>
      <c r="C36" t="inlineStr">
        <is>
          <t>Ilihuli</t>
        </is>
      </c>
      <c r="D36" t="inlineStr">
        <is>
          <t>600 maximum</t>
        </is>
      </c>
      <c r="E36" t="inlineStr">
        <is>
          <t>Erhkoloshan</t>
        </is>
      </c>
      <c r="F36" s="9" t="n">
        <v>600</v>
      </c>
    </row>
    <row r="37">
      <c r="A37" t="inlineStr"/>
      <c r="B37" t="inlineStr"/>
      <c r="C37" t="inlineStr"/>
      <c r="D37" t="inlineStr"/>
      <c r="E37" t="inlineStr">
        <is>
          <t>Uyunholdongi</t>
        </is>
      </c>
      <c r="F37" t="inlineStr">
        <is>
          <t>—</t>
        </is>
      </c>
    </row>
    <row r="38">
      <c r="A38" t="inlineStr"/>
      <c r="B38" t="inlineStr"/>
      <c r="C38" t="inlineStr"/>
      <c r="D38" t="inlineStr"/>
      <c r="E38" t="inlineStr">
        <is>
          <t>Achatehshan</t>
        </is>
      </c>
      <c r="F38" t="inlineStr">
        <is>
          <t>—</t>
        </is>
      </c>
    </row>
    <row r="39">
      <c r="A39" t="inlineStr"/>
      <c r="B39" t="inlineStr"/>
      <c r="C39" t="inlineStr"/>
      <c r="D39" t="inlineStr"/>
      <c r="E39" t="inlineStr">
        <is>
          <t>Hosenshan</t>
        </is>
      </c>
      <c r="F39" t="inlineStr">
        <is>
          <t>—</t>
        </is>
      </c>
    </row>
    <row r="40">
      <c r="A40" t="inlineStr"/>
      <c r="B40" t="inlineStr">
        <is>
          <t>"</t>
        </is>
      </c>
      <c r="C40" t="inlineStr">
        <is>
          <t>Suchen</t>
        </is>
      </c>
      <c r="D40" t="inlineStr"/>
      <c r="E40" t="inlineStr">
        <is>
          <t>—</t>
        </is>
      </c>
      <c r="F40" t="inlineStr">
        <is>
          <t>—</t>
        </is>
      </c>
    </row>
    <row r="41">
      <c r="A41" t="inlineStr"/>
      <c r="B41" t="inlineStr">
        <is>
          <t>"</t>
        </is>
      </c>
      <c r="C41" t="inlineStr">
        <is>
          <t>Chalahamutu</t>
        </is>
      </c>
      <c r="D41" t="inlineStr"/>
      <c r="E41" t="inlineStr">
        <is>
          <t>—</t>
        </is>
      </c>
      <c r="F41" t="inlineStr">
        <is>
          <t>—</t>
        </is>
      </c>
    </row>
    <row r="42">
      <c r="A42" t="inlineStr"/>
      <c r="B42" t="inlineStr">
        <is>
          <t>Hsiao (Little) Hsinganling</t>
        </is>
      </c>
      <c r="C42" t="inlineStr">
        <is>
          <t>—</t>
        </is>
      </c>
      <c r="D42" t="inlineStr">
        <is>
          <t>1,221 maximum</t>
        </is>
      </c>
      <c r="E42" t="inlineStr">
        <is>
          <t>Mahalashan</t>
        </is>
      </c>
      <c r="F42" s="6" t="n">
        <v>1221</v>
      </c>
    </row>
    <row r="43">
      <c r="A43" t="inlineStr"/>
      <c r="B43" t="inlineStr">
        <is>
          <t>"</t>
        </is>
      </c>
      <c r="C43" t="inlineStr">
        <is>
          <t>Fuszukuan</t>
        </is>
      </c>
      <c r="D43" t="inlineStr">
        <is>
          <t>—</t>
        </is>
      </c>
      <c r="E43" t="inlineStr">
        <is>
          <t>—</t>
        </is>
      </c>
      <c r="F43" t="inlineStr">
        <is>
          <t>—</t>
        </is>
      </c>
    </row>
    <row r="44">
      <c r="A44" t="inlineStr"/>
      <c r="B44" t="inlineStr">
        <is>
          <t>"</t>
        </is>
      </c>
      <c r="C44" t="inlineStr">
        <is>
          <t>Chushan</t>
        </is>
      </c>
      <c r="D44" t="inlineStr">
        <is>
          <t>—</t>
        </is>
      </c>
      <c r="E44" t="inlineStr">
        <is>
          <t>—</t>
        </is>
      </c>
      <c r="F44" t="inlineStr">
        <is>
          <t>—</t>
        </is>
      </c>
    </row>
    <row r="45">
      <c r="A45" t="inlineStr"/>
      <c r="B45" t="inlineStr">
        <is>
          <t>"</t>
        </is>
      </c>
      <c r="C45" t="inlineStr">
        <is>
          <t>Fulin</t>
        </is>
      </c>
      <c r="D45" t="inlineStr">
        <is>
          <t>—</t>
        </is>
      </c>
      <c r="E45" t="inlineStr">
        <is>
          <t>—</t>
        </is>
      </c>
      <c r="F45" t="inlineStr">
        <is>
          <t>—</t>
        </is>
      </c>
    </row>
    <row r="46">
      <c r="A46" t="inlineStr"/>
      <c r="B46" t="inlineStr">
        <is>
          <t>"</t>
        </is>
      </c>
      <c r="C46" t="inlineStr">
        <is>
          <t>Laolung</t>
        </is>
      </c>
      <c r="D46" t="inlineStr">
        <is>
          <t>—</t>
        </is>
      </c>
      <c r="E46" t="inlineStr">
        <is>
          <t>—</t>
        </is>
      </c>
      <c r="F46" t="inlineStr">
        <is>
          <t>—</t>
        </is>
      </c>
    </row>
    <row r="47">
      <c r="A47" t="inlineStr"/>
      <c r="B47" t="inlineStr">
        <is>
          <t>"</t>
        </is>
      </c>
      <c r="C47" t="inlineStr">
        <is>
          <t>Kulukuluto</t>
        </is>
      </c>
      <c r="D47" t="inlineStr">
        <is>
          <t>—</t>
        </is>
      </c>
      <c r="E47" t="inlineStr">
        <is>
          <t>—</t>
        </is>
      </c>
      <c r="F47" t="inlineStr">
        <is>
          <t>—</t>
        </is>
      </c>
    </row>
    <row r="48">
      <c r="A48" t="inlineStr"/>
      <c r="B48" t="inlineStr">
        <is>
          <t>"</t>
        </is>
      </c>
      <c r="C48" t="inlineStr">
        <is>
          <t>Heishan</t>
        </is>
      </c>
      <c r="D48" t="inlineStr">
        <is>
          <t>—</t>
        </is>
      </c>
      <c r="E48" t="inlineStr">
        <is>
          <t>—</t>
        </is>
      </c>
      <c r="F48" t="inlineStr">
        <is>
          <t>—</t>
        </is>
      </c>
    </row>
    <row r="49">
      <c r="A49" t="inlineStr"/>
      <c r="B49" t="inlineStr">
        <is>
          <t>"</t>
        </is>
      </c>
      <c r="C49" t="inlineStr">
        <is>
          <t>Talitai</t>
        </is>
      </c>
      <c r="D49" t="inlineStr">
        <is>
          <t>—</t>
        </is>
      </c>
      <c r="E49" t="inlineStr">
        <is>
          <t>—</t>
        </is>
      </c>
      <c r="F49" t="inlineStr">
        <is>
          <t>—</t>
        </is>
      </c>
    </row>
    <row r="50">
      <c r="A50" t="inlineStr">
        <is>
          <t>Yingshan (Gachar)</t>
        </is>
      </c>
      <c r="B50" t="inlineStr">
        <is>
          <t>—</t>
        </is>
      </c>
      <c r="C50" t="inlineStr">
        <is>
          <t>Tsilaotu</t>
        </is>
      </c>
      <c r="D50" t="inlineStr">
        <is>
          <t>720 maximum</t>
        </is>
      </c>
      <c r="E50" t="inlineStr">
        <is>
          <t>Maochinpaling (Machintaba)</t>
        </is>
      </c>
      <c r="F50" s="9" t="n">
        <v>720</v>
      </c>
    </row>
    <row r="51">
      <c r="A51" t="inlineStr"/>
      <c r="B51" t="inlineStr">
        <is>
          <t>"</t>
        </is>
      </c>
      <c r="C51" t="inlineStr">
        <is>
          <t>Sungshangling</t>
        </is>
      </c>
      <c r="D51" t="inlineStr">
        <is>
          <t>1,600 maximum</t>
        </is>
      </c>
      <c r="E51" t="inlineStr">
        <is>
          <t>Ifoloshan</t>
        </is>
      </c>
      <c r="F51" s="6" t="n">
        <v>1600</v>
      </c>
    </row>
    <row r="53">
      <c r="A53" s="2" t="inlineStr">
        <is>
          <t>Transcriber's notes</t>
        </is>
      </c>
    </row>
    <row r="54">
      <c r="A54" t="inlineStr">
        <is>
          <t>Table runs from p. 8 onto p. 9 (headed '(Continued)' on p. 9, same spread); merged. Rows from 'Hsiao (Little) Hsinganling' onward are on p. 9.</t>
        </is>
      </c>
    </row>
    <row r="55">
      <c r="A55" t="inlineStr">
        <is>
          <t>Ditto marks printed as ” are transcribed as '"'. Hyphenated line-breaks joined (Changkwang-tsailing, Aluhaweichu-ling, Chichichang-shan, Changkwangt-sailing).</t>
        </is>
      </c>
    </row>
    <row r="56">
      <c r="A56" t="inlineStr">
        <is>
          <t>Row alignment in the print is loose (multi-line entries); rows assigned by closest baseline.</t>
        </is>
      </c>
    </row>
    <row r="57">
      <c r="A57" t="inlineStr">
        <is>
          <t>Row 'Feitehlishan': an additional '—' is printed in the Height (metres) column on the line of '&amp; Maotsushan', below 'More than 2,000'; not placed in any cell. Row 1 (Changpaishan, tributary '—') has no height printed.</t>
        </is>
      </c>
    </row>
    <row r="58">
      <c r="A58" t="inlineStr">
        <is>
          <t>Row 'Iluhayafan (Laoling)': no Height (metres) printed. Row 'Tsienshan': no Height printed. Rows 'Suchen', 'Chalahamutu' (East Branch): no Height printed.</t>
        </is>
      </c>
    </row>
    <row r="59">
      <c r="A59" t="inlineStr">
        <is>
          <t>Row 'Shihchangshan': Height of Peaks blank in print.</t>
        </is>
      </c>
    </row>
    <row r="60">
      <c r="A60" t="inlineStr">
        <is>
          <t>Row 'Chichichangshan', Height of Peaks printed '1.360' (point, not comma) - transcribed as printed.</t>
        </is>
      </c>
    </row>
    <row r="61">
      <c r="A61" t="inlineStr">
        <is>
          <t>Erhkoloshan, Uyunholdongi, Achatehshan, Hosenshan are printed as a list of main peaks against tributary Ilihuli; later three given their own rows with blank stub cells.</t>
        </is>
      </c>
    </row>
    <row r="62">
      <c r="A62" t="inlineStr">
        <is>
          <t>'Yingshan (Gachar)' is printed spanning the Tsilaotu and Sungshangling lines; placed on the Tsilaotu row. Principal Range for the p. 9 Hsiao (Little) Hsinganling rows is blank in print (continuation of Hsinganling).</t>
        </is>
      </c>
    </row>
    <row r="63">
      <c r="A63" t="inlineStr">
        <is>
          <t>'Meiling' - the letter after 'Me' is partly broken in print; read as 'i'.</t>
        </is>
      </c>
    </row>
    <row r="64">
      <c r="A64" t="inlineStr">
        <is>
          <t>No totals printed.</t>
        </is>
      </c>
    </row>
  </sheetData>
  <hyperlinks>
    <hyperlink xmlns:r="http://schemas.openxmlformats.org/officeDocument/2006/relationships" ref="A3"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Duration of Navigation on Heilungkiang</t>
        </is>
      </c>
    </row>
    <row r="2">
      <c r="A2" t="inlineStr">
        <is>
          <t>Geography and Geology · printed pp. 20</t>
        </is>
      </c>
    </row>
    <row r="3">
      <c r="A3" s="3" t="inlineStr">
        <is>
          <t>← Contents</t>
        </is>
      </c>
    </row>
    <row r="5">
      <c r="A5" s="5" t="inlineStr">
        <is>
          <t>Year</t>
        </is>
      </c>
      <c r="B5" s="5" t="inlineStr">
        <is>
          <t>Opening of the River</t>
        </is>
      </c>
      <c r="C5" s="5" t="inlineStr">
        <is>
          <t>Beginning of Drifting of Ice</t>
        </is>
      </c>
      <c r="D5" s="5" t="inlineStr">
        <is>
          <t>No. of Navigable Days</t>
        </is>
      </c>
    </row>
    <row r="6">
      <c r="A6" s="9" t="n">
        <v>1933</v>
      </c>
      <c r="B6" t="inlineStr">
        <is>
          <t>May 12</t>
        </is>
      </c>
      <c r="C6" t="inlineStr">
        <is>
          <t>October 30</t>
        </is>
      </c>
      <c r="D6" s="9" t="n">
        <v>171</v>
      </c>
    </row>
    <row r="7">
      <c r="A7" s="9" t="n">
        <v>1934</v>
      </c>
      <c r="B7" t="inlineStr">
        <is>
          <t>May 13</t>
        </is>
      </c>
      <c r="C7" t="inlineStr">
        <is>
          <t>October 25</t>
        </is>
      </c>
      <c r="D7" s="9" t="n">
        <v>165</v>
      </c>
    </row>
    <row r="8">
      <c r="A8" s="9" t="n">
        <v>1935</v>
      </c>
      <c r="B8" t="inlineStr">
        <is>
          <t>May 11</t>
        </is>
      </c>
      <c r="C8" t="inlineStr">
        <is>
          <t>October 25</t>
        </is>
      </c>
      <c r="D8" s="9" t="n">
        <v>167</v>
      </c>
    </row>
    <row r="10">
      <c r="A10" s="2" t="inlineStr">
        <is>
          <t>Transcriber's notes</t>
        </is>
      </c>
    </row>
    <row r="11">
      <c r="A11" t="inlineStr">
        <is>
          <t>Stub column has no printed header; 'Year' supplied.</t>
        </is>
      </c>
    </row>
  </sheetData>
  <hyperlinks>
    <hyperlink xmlns:r="http://schemas.openxmlformats.org/officeDocument/2006/relationships" ref="A3"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Navigable Sections</t>
        </is>
      </c>
    </row>
    <row r="2">
      <c r="A2" t="inlineStr">
        <is>
          <t>Geography and Geology · printed pp. 20</t>
        </is>
      </c>
    </row>
    <row r="3">
      <c r="A3" s="3" t="inlineStr">
        <is>
          <t>← Contents</t>
        </is>
      </c>
    </row>
    <row r="5">
      <c r="A5" s="5" t="inlineStr">
        <is>
          <t>Sections</t>
        </is>
      </c>
      <c r="B5" s="5" t="inlineStr">
        <is>
          <t>Distance in km.</t>
        </is>
      </c>
      <c r="C5" s="5" t="inlineStr">
        <is>
          <t>No. of Steamers under Service</t>
        </is>
      </c>
    </row>
    <row r="6">
      <c r="A6" t="inlineStr">
        <is>
          <t>Harbin-Heiho</t>
        </is>
      </c>
      <c r="B6" s="6" t="n">
        <v>1418</v>
      </c>
      <c r="C6" s="9" t="n">
        <v>5</v>
      </c>
    </row>
    <row r="7">
      <c r="A7" t="inlineStr">
        <is>
          <t>Fuchin-Heiho</t>
        </is>
      </c>
      <c r="B7" s="9" t="n">
        <v>795</v>
      </c>
      <c r="C7" s="9" t="n">
        <v>2</v>
      </c>
    </row>
    <row r="8">
      <c r="A8" t="inlineStr">
        <is>
          <t>Heiho-Moho</t>
        </is>
      </c>
      <c r="B8" s="9" t="n">
        <v>827</v>
      </c>
      <c r="C8" s="9" t="n">
        <v>2</v>
      </c>
    </row>
    <row r="9">
      <c r="A9" t="inlineStr">
        <is>
          <t>Moho-Kilalin</t>
        </is>
      </c>
      <c r="B9" s="9" t="n">
        <v>499</v>
      </c>
      <c r="C9" s="9" t="n">
        <v>2</v>
      </c>
    </row>
    <row r="10">
      <c r="A10" t="inlineStr">
        <is>
          <t>Harbin-Hutou</t>
        </is>
      </c>
      <c r="B10" s="6" t="n">
        <v>1285</v>
      </c>
      <c r="C10" s="9" t="n">
        <v>5</v>
      </c>
    </row>
    <row r="11">
      <c r="A11" t="inlineStr">
        <is>
          <t>Fuchin-Hutou</t>
        </is>
      </c>
      <c r="B11" s="9" t="n">
        <v>663</v>
      </c>
      <c r="C11" s="9" t="n">
        <v>2</v>
      </c>
    </row>
    <row r="12">
      <c r="A12" t="inlineStr">
        <is>
          <t>Hutou-Mishan</t>
        </is>
      </c>
      <c r="B12" s="9" t="n">
        <v>335</v>
      </c>
      <c r="C12" s="9" t="n">
        <v>1</v>
      </c>
    </row>
    <row r="14">
      <c r="A14" s="2" t="inlineStr">
        <is>
          <t>Transcriber's notes</t>
        </is>
      </c>
    </row>
    <row r="15">
      <c r="A15" t="inlineStr">
        <is>
          <t>No printed total.</t>
        </is>
      </c>
    </row>
  </sheetData>
  <hyperlinks>
    <hyperlink xmlns:r="http://schemas.openxmlformats.org/officeDocument/2006/relationships" ref="A3"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Navigable Length of Sungari</t>
        </is>
      </c>
    </row>
    <row r="2">
      <c r="A2" t="inlineStr">
        <is>
          <t>Geography and Geology · printed pp. 24</t>
        </is>
      </c>
    </row>
    <row r="3">
      <c r="A3" s="3" t="inlineStr">
        <is>
          <t>← Contents</t>
        </is>
      </c>
    </row>
    <row r="5">
      <c r="A5" s="5" t="inlineStr">
        <is>
          <t>Section</t>
        </is>
      </c>
      <c r="B5" s="5" t="inlineStr">
        <is>
          <t>Length</t>
        </is>
      </c>
    </row>
    <row r="6">
      <c r="A6" t="inlineStr">
        <is>
          <t>Harbin—Chiengchiao</t>
        </is>
      </c>
      <c r="B6" t="inlineStr">
        <is>
          <t>508 km.</t>
        </is>
      </c>
    </row>
    <row r="7">
      <c r="A7" t="inlineStr">
        <is>
          <t>Harbin—The junction of the Sungari and the Amur</t>
        </is>
      </c>
      <c r="B7" t="inlineStr">
        <is>
          <t>696 km.</t>
        </is>
      </c>
    </row>
    <row r="8">
      <c r="A8" t="inlineStr">
        <is>
          <t>Sanchakou—Kirin</t>
        </is>
      </c>
      <c r="B8" t="inlineStr">
        <is>
          <t>458 km.</t>
        </is>
      </c>
    </row>
    <row r="9">
      <c r="A9" t="inlineStr">
        <is>
          <t>Total</t>
        </is>
      </c>
      <c r="B9" t="inlineStr">
        <is>
          <t>1,662 km.</t>
        </is>
      </c>
    </row>
    <row r="11">
      <c r="A11" s="2" t="inlineStr">
        <is>
          <t>Transcriber's notes</t>
        </is>
      </c>
    </row>
    <row r="12">
      <c r="A12" t="inlineStr">
        <is>
          <t>No column headers printed; 'Section'/'Length' supplied.</t>
        </is>
      </c>
    </row>
    <row r="13">
      <c r="A13" t="inlineStr">
        <is>
          <t>Total 1,662 km.: parts sum to 1,662 — reconciles.</t>
        </is>
      </c>
    </row>
  </sheetData>
  <hyperlinks>
    <hyperlink xmlns:r="http://schemas.openxmlformats.org/officeDocument/2006/relationships" ref="A3"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Regular Service Route</t>
        </is>
      </c>
    </row>
    <row r="2">
      <c r="A2" t="inlineStr">
        <is>
          <t>Geography and Geology · printed pp. 30</t>
        </is>
      </c>
    </row>
    <row r="3">
      <c r="A3" s="3" t="inlineStr">
        <is>
          <t>← Contents</t>
        </is>
      </c>
    </row>
    <row r="5">
      <c r="A5" s="5" t="inlineStr">
        <is>
          <t>Line</t>
        </is>
      </c>
      <c r="B5" s="5" t="inlineStr">
        <is>
          <t>Length (In km.)</t>
        </is>
      </c>
      <c r="C5" s="5" t="inlineStr">
        <is>
          <t>Passage (In yen)</t>
        </is>
      </c>
    </row>
    <row r="6">
      <c r="A6" t="inlineStr">
        <is>
          <t>Harbin-Chiamussu</t>
        </is>
      </c>
      <c r="B6" s="9" t="n">
        <v>451</v>
      </c>
      <c r="C6" s="11" t="n">
        <v>4.1</v>
      </c>
    </row>
    <row r="7">
      <c r="A7" t="inlineStr">
        <is>
          <t>Harbin-Fuchin</t>
        </is>
      </c>
      <c r="B7" s="9" t="n">
        <v>623</v>
      </c>
      <c r="C7" s="11" t="n">
        <v>5.7</v>
      </c>
    </row>
    <row r="8">
      <c r="A8" t="inlineStr">
        <is>
          <t>Harbin-Hulan</t>
        </is>
      </c>
      <c r="B8" s="9" t="n">
        <v>49</v>
      </c>
      <c r="C8" s="11" t="n">
        <v>0.5</v>
      </c>
    </row>
    <row r="9">
      <c r="A9" t="inlineStr">
        <is>
          <t>Harbin-Heiho</t>
        </is>
      </c>
      <c r="B9" s="6" t="n">
        <v>1418</v>
      </c>
      <c r="C9" s="11" t="n">
        <v>10.4</v>
      </c>
    </row>
    <row r="10">
      <c r="A10" t="inlineStr">
        <is>
          <t>Harbin-Sanhsing</t>
        </is>
      </c>
      <c r="B10" s="9" t="n">
        <v>341</v>
      </c>
      <c r="C10" s="11" t="n">
        <v>3.1</v>
      </c>
    </row>
    <row r="11">
      <c r="A11" t="inlineStr">
        <is>
          <t>Harbin-Talai-Fuyu</t>
        </is>
      </c>
      <c r="B11" t="inlineStr"/>
      <c r="C11" t="inlineStr"/>
    </row>
    <row r="12">
      <c r="A12" t="inlineStr">
        <is>
          <t>Harbin-Talai</t>
        </is>
      </c>
      <c r="B12" s="9" t="n">
        <v>288</v>
      </c>
      <c r="C12" s="11" t="n">
        <v>2.9</v>
      </c>
    </row>
    <row r="13">
      <c r="A13" t="inlineStr">
        <is>
          <t>Harbin-Fuyu</t>
        </is>
      </c>
      <c r="B13" s="9" t="n">
        <v>285</v>
      </c>
      <c r="C13" s="11" t="n">
        <v>3.6</v>
      </c>
    </row>
    <row r="14">
      <c r="A14" t="inlineStr">
        <is>
          <t>Chiamussu-Heiho</t>
        </is>
      </c>
      <c r="B14" s="9" t="n">
        <v>967</v>
      </c>
      <c r="C14" s="11" t="n">
        <v>6.95</v>
      </c>
    </row>
    <row r="15">
      <c r="A15" t="inlineStr">
        <is>
          <t>Chiamussu-Hutou</t>
        </is>
      </c>
      <c r="B15" s="9" t="n">
        <v>835</v>
      </c>
      <c r="C15" s="11" t="n">
        <v>6.8</v>
      </c>
    </row>
    <row r="16">
      <c r="A16" t="inlineStr">
        <is>
          <t>Heiho-Chikote</t>
        </is>
      </c>
      <c r="B16" s="9" t="n">
        <v>154</v>
      </c>
      <c r="C16" s="11" t="n">
        <v>1.2</v>
      </c>
    </row>
    <row r="17">
      <c r="A17" t="inlineStr">
        <is>
          <t>Heiho-Moho</t>
        </is>
      </c>
      <c r="B17" s="9" t="n">
        <v>827</v>
      </c>
      <c r="C17" s="11" t="n">
        <v>5.6</v>
      </c>
    </row>
    <row r="18">
      <c r="A18" t="inlineStr">
        <is>
          <t>Argun</t>
        </is>
      </c>
      <c r="B18" s="9" t="n">
        <v>499</v>
      </c>
      <c r="C18" s="11" t="n">
        <v>6.5</v>
      </c>
    </row>
    <row r="19">
      <c r="A19" t="inlineStr">
        <is>
          <t>Hutou-Lungwangmiao</t>
        </is>
      </c>
      <c r="B19" s="9" t="n">
        <v>272</v>
      </c>
      <c r="C19" s="11" t="n">
        <v>5.6</v>
      </c>
    </row>
    <row r="21">
      <c r="A21" s="2" t="inlineStr">
        <is>
          <t>Transcriber's notes</t>
        </is>
      </c>
    </row>
    <row r="22">
      <c r="A22" t="inlineStr">
        <is>
          <t>'Harbin-Talai-Fuyu' is a heading row; 'Harbin-Talai' and 'Harbin-Fuyu' are indented beneath it.</t>
        </is>
      </c>
    </row>
    <row r="23">
      <c r="A23" t="inlineStr">
        <is>
          <t>No printed total.</t>
        </is>
      </c>
    </row>
  </sheetData>
  <hyperlinks>
    <hyperlink xmlns:r="http://schemas.openxmlformats.org/officeDocument/2006/relationships" ref="A3"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8. Movement of Cargo on the Sungari</t>
        </is>
      </c>
    </row>
    <row r="2">
      <c r="A2" t="inlineStr">
        <is>
          <t>Geography and Geology · printed pp. 31</t>
        </is>
      </c>
    </row>
    <row r="3">
      <c r="A3" s="3" t="inlineStr">
        <is>
          <t>← Contents</t>
        </is>
      </c>
    </row>
    <row r="5">
      <c r="A5" s="5" t="inlineStr">
        <is>
          <t>Year</t>
        </is>
      </c>
      <c r="B5" s="5" t="inlineStr">
        <is>
          <t>Tonnage (In metric tons)</t>
        </is>
      </c>
      <c r="C5" s="5" t="inlineStr">
        <is>
          <t>Freightage (In yen)</t>
        </is>
      </c>
    </row>
    <row r="6">
      <c r="A6" s="9" t="n">
        <v>1933</v>
      </c>
      <c r="B6" s="6" t="n">
        <v>663166</v>
      </c>
      <c r="C6" s="6" t="n">
        <v>4938130</v>
      </c>
    </row>
    <row r="7">
      <c r="A7" s="9" t="n">
        <v>1934</v>
      </c>
      <c r="B7" s="6" t="n">
        <v>820856</v>
      </c>
      <c r="C7" s="6" t="n">
        <v>6484447</v>
      </c>
    </row>
    <row r="8">
      <c r="A8" s="9" t="n">
        <v>1935</v>
      </c>
      <c r="B8" s="6" t="n">
        <v>755045</v>
      </c>
      <c r="C8" s="6" t="n">
        <v>6146119</v>
      </c>
    </row>
    <row r="9">
      <c r="A9" s="9" t="n">
        <v>1936</v>
      </c>
      <c r="B9" s="6" t="n">
        <v>846256</v>
      </c>
      <c r="C9" s="6" t="n">
        <v>6439456</v>
      </c>
    </row>
    <row r="10">
      <c r="A10" s="9" t="n">
        <v>1937</v>
      </c>
      <c r="B10" s="6" t="n">
        <v>803090</v>
      </c>
      <c r="C10" s="6" t="n">
        <v>6421507</v>
      </c>
    </row>
    <row r="11">
      <c r="A11" s="9" t="n">
        <v>1938</v>
      </c>
      <c r="B11" s="6" t="n">
        <v>884883</v>
      </c>
      <c r="C11" t="inlineStr">
        <is>
          <t>—</t>
        </is>
      </c>
    </row>
    <row r="13">
      <c r="A13" s="2" t="inlineStr">
        <is>
          <t>Transcriber's notes</t>
        </is>
      </c>
    </row>
    <row r="14">
      <c r="A14" t="inlineStr">
        <is>
          <t>No printed total.</t>
        </is>
      </c>
    </row>
  </sheetData>
  <hyperlinks>
    <hyperlink xmlns:r="http://schemas.openxmlformats.org/officeDocument/2006/relationships" ref="A3"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9. Principal River Systems</t>
        </is>
      </c>
    </row>
    <row r="2">
      <c r="A2" t="inlineStr">
        <is>
          <t>Geography and Geology · printed pp. 37</t>
        </is>
      </c>
    </row>
    <row r="3">
      <c r="A3" s="3" t="inlineStr">
        <is>
          <t>← Contents</t>
        </is>
      </c>
    </row>
    <row r="5">
      <c r="A5" s="5" t="inlineStr">
        <is>
          <t>River</t>
        </is>
      </c>
      <c r="B5" s="5" t="inlineStr">
        <is>
          <t>Navigable length (Kms.)</t>
        </is>
      </c>
      <c r="C5" s="5" t="inlineStr">
        <is>
          <t>Sources</t>
        </is>
      </c>
      <c r="D5" s="5" t="inlineStr">
        <is>
          <t>Tributaries</t>
        </is>
      </c>
      <c r="E5" s="5" t="inlineStr">
        <is>
          <t>Emptying into</t>
        </is>
      </c>
    </row>
    <row r="6">
      <c r="A6" t="inlineStr">
        <is>
          <t>Heilungkiang (Amur) (4,400 kms.)</t>
        </is>
      </c>
      <c r="B6" s="6" t="n">
        <v>3040</v>
      </c>
      <c r="C6" t="inlineStr">
        <is>
          <t>Onon, Ingoda, Silka, Kolulienho, &amp; Ehlukonoho Rivers</t>
        </is>
      </c>
      <c r="D6" t="inlineStr">
        <is>
          <t>Zeya, Bureya, Sungari, Ussuri &amp; Argun Rivers</t>
        </is>
      </c>
      <c r="E6" t="inlineStr">
        <is>
          <t>Japan Sea</t>
        </is>
      </c>
    </row>
    <row r="7">
      <c r="A7" t="inlineStr">
        <is>
          <t>Sunghuakiang (Sungari) (2,120 kms.)</t>
        </is>
      </c>
      <c r="B7" t="inlineStr">
        <is>
          <t>1,330 (from Kirin)</t>
        </is>
      </c>
      <c r="C7" t="inlineStr">
        <is>
          <t>Toutaokiang, Sayinnoin, Liangtakiang, Nênkiang (Nonni) Rivers.</t>
        </is>
      </c>
      <c r="D7" t="inlineStr">
        <is>
          <t>Lafaho, Changyenho, Huifaho, Itungho, Lalinho, Hulanho, Ashihho, Fuikutoho, Moyenho, Muanho, Wokengho Rivers</t>
        </is>
      </c>
      <c r="E7" t="inlineStr">
        <is>
          <t>R. Amur</t>
        </is>
      </c>
    </row>
    <row r="8">
      <c r="A8" t="inlineStr">
        <is>
          <t>Nenkiang (Nonni) (800 kms.)</t>
        </is>
      </c>
      <c r="B8" t="inlineStr">
        <is>
          <t>—</t>
        </is>
      </c>
      <c r="C8" t="inlineStr">
        <is>
          <t>Hsinganling, Ilihuri Mts.</t>
        </is>
      </c>
      <c r="D8" t="inlineStr">
        <is>
          <t>Yaluho &amp; Chuoluho Rivers</t>
        </is>
      </c>
      <c r="E8" t="inlineStr">
        <is>
          <t>R. Sungari</t>
        </is>
      </c>
    </row>
    <row r="9">
      <c r="A9" t="inlineStr">
        <is>
          <t>Taoerho</t>
        </is>
      </c>
      <c r="B9" t="inlineStr">
        <is>
          <t>—</t>
        </is>
      </c>
      <c r="C9" t="inlineStr">
        <is>
          <t>Eastern Skirts of Hsinganling Mts.</t>
        </is>
      </c>
      <c r="D9" t="inlineStr">
        <is>
          <t>Keiliuho &amp; Chiaoliuho Rivers</t>
        </is>
      </c>
      <c r="E9" t="inlineStr">
        <is>
          <t>R. Sungari</t>
        </is>
      </c>
    </row>
    <row r="10">
      <c r="A10" t="inlineStr">
        <is>
          <t>Ussuri (1,312 kms.)</t>
        </is>
      </c>
      <c r="B10" t="inlineStr">
        <is>
          <t>—</t>
        </is>
      </c>
      <c r="C10" t="inlineStr">
        <is>
          <t>Daubihe, Sandagou, Urahe &amp; Imán Rivers</t>
        </is>
      </c>
      <c r="D10" t="inlineStr">
        <is>
          <t>Sungachaho, Mulingho &amp; Naoliho Rivers</t>
        </is>
      </c>
      <c r="E10" t="inlineStr">
        <is>
          <t>R. Amur</t>
        </is>
      </c>
    </row>
    <row r="11">
      <c r="A11" t="inlineStr">
        <is>
          <t>Tasuifenho</t>
        </is>
      </c>
      <c r="B11" t="inlineStr">
        <is>
          <t>—</t>
        </is>
      </c>
      <c r="C11" t="inlineStr">
        <is>
          <t>Tumen Mountain, Northern Skirts of Mukotehhsiang Mts.</t>
        </is>
      </c>
      <c r="D11" t="inlineStr">
        <is>
          <t>Huputoho &amp; Fuyehkouho Rivers</t>
        </is>
      </c>
      <c r="E11" t="inlineStr">
        <is>
          <t>Japan Sea</t>
        </is>
      </c>
    </row>
    <row r="12">
      <c r="A12" t="inlineStr">
        <is>
          <t>Tumenkiang (2,000 kms.)</t>
        </is>
      </c>
      <c r="B12" s="9" t="n">
        <v>95</v>
      </c>
      <c r="C12" t="inlineStr">
        <is>
          <t>Southern Skirts of Changpaishan Range</t>
        </is>
      </c>
      <c r="D12" t="inlineStr">
        <is>
          <t>Kayaho, Choshinko, &amp; Hunho Rivers</t>
        </is>
      </c>
      <c r="E12" t="inlineStr">
        <is>
          <t>Japan Sea</t>
        </is>
      </c>
    </row>
    <row r="13">
      <c r="A13" t="inlineStr">
        <is>
          <t>Yalu (790 kms.)</t>
        </is>
      </c>
      <c r="B13" s="9" t="n">
        <v>160</v>
      </c>
      <c r="C13" t="inlineStr">
        <is>
          <t>Western Skirts of Paitoushan, Kyosenko, Choshinko, Hunho &amp; Aiho Rivers</t>
        </is>
      </c>
      <c r="D13" t="inlineStr">
        <is>
          <t>Hunho, Tapushihho &amp; Aiho Rivers</t>
        </is>
      </c>
      <c r="E13" t="inlineStr">
        <is>
          <t>Yellow Sea</t>
        </is>
      </c>
    </row>
    <row r="14">
      <c r="A14" t="inlineStr">
        <is>
          <t>Liaoho (1,900 kms.)</t>
        </is>
      </c>
      <c r="B14" s="9" t="n">
        <v>880</v>
      </c>
      <c r="C14" t="inlineStr">
        <is>
          <t>Silamulunho, Laohaho &amp; Tung (East) Liaoho Rivers</t>
        </is>
      </c>
      <c r="D14" t="inlineStr">
        <is>
          <t>Silamulunho, Laohaho, Tungliaoho, Hunho, Shaosuhuangho, Liangtzuho, Chingho, Tsaiho, Hunho, Sutzuho, &amp; Taitzuho Rivers</t>
        </is>
      </c>
      <c r="E14" t="inlineStr">
        <is>
          <t>Liaotung Bay</t>
        </is>
      </c>
    </row>
    <row r="15">
      <c r="A15" t="inlineStr">
        <is>
          <t>Luanho (400 kms.)</t>
        </is>
      </c>
      <c r="B15" t="inlineStr">
        <is>
          <t>—</t>
        </is>
      </c>
      <c r="C15" t="inlineStr">
        <is>
          <t>Haintontokulushan, Mongolia</t>
        </is>
      </c>
      <c r="D15" t="inlineStr">
        <is>
          <t>Isunho, Jeho &amp; Paoho Rivers</t>
        </is>
      </c>
      <c r="E15" t="inlineStr">
        <is>
          <t>Pohai Bay</t>
        </is>
      </c>
    </row>
    <row r="16">
      <c r="A16" t="inlineStr">
        <is>
          <t>Talingho (425 kms.)</t>
        </is>
      </c>
      <c r="B16" s="9" t="n">
        <v>100</v>
      </c>
      <c r="C16" t="inlineStr">
        <is>
          <t>Kienpin-hsien, Jehol</t>
        </is>
      </c>
      <c r="D16" t="inlineStr">
        <is>
          <t>—</t>
        </is>
      </c>
      <c r="E16" t="inlineStr">
        <is>
          <t>Liaotung Bay</t>
        </is>
      </c>
    </row>
    <row r="17">
      <c r="A17" t="inlineStr">
        <is>
          <t>Hsiaolingho</t>
        </is>
      </c>
      <c r="B17" t="inlineStr">
        <is>
          <t>—</t>
        </is>
      </c>
      <c r="C17" t="inlineStr">
        <is>
          <t>Minganshan Mts. Skirts, Chaoyang-hsien, Chinchow, Juerhho &amp; Hailiutuho Rivers</t>
        </is>
      </c>
      <c r="D17" t="inlineStr">
        <is>
          <t>—</t>
        </is>
      </c>
      <c r="E17" t="inlineStr">
        <is>
          <t>Liaotung Bay</t>
        </is>
      </c>
    </row>
    <row r="19">
      <c r="A19" s="2" t="inlineStr">
        <is>
          <t>Transcriber's notes</t>
        </is>
      </c>
    </row>
    <row r="20">
      <c r="A20" t="inlineStr">
        <is>
          <t>Words hyphenated at line ends inside cells have been joined (e.g. 'Ehlu-konoho' -&gt; 'Ehlukonoho', 'Chin-chow' -&gt; 'Chinchow'); hyphens that are part of names (Kienpin-hsien, Chaoyang-hsien) kept.</t>
        </is>
      </c>
    </row>
    <row r="21">
      <c r="A21" t="inlineStr">
        <is>
          <t>Sunghuakiang Sources: printed 'Nên-kiang (Nonni)'; the N of Nonni is damaged in print.</t>
        </is>
      </c>
    </row>
    <row r="22">
      <c r="A22" t="inlineStr">
        <is>
          <t>Imán: accent as printed.</t>
        </is>
      </c>
    </row>
    <row r="23">
      <c r="A23" t="inlineStr">
        <is>
          <t>No printed total.</t>
        </is>
      </c>
    </row>
  </sheetData>
  <hyperlinks>
    <hyperlink xmlns:r="http://schemas.openxmlformats.org/officeDocument/2006/relationships" ref="A3"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10. Principal Lakes</t>
        </is>
      </c>
    </row>
    <row r="2">
      <c r="A2" t="inlineStr">
        <is>
          <t>Geography and Geology · printed pp. 43</t>
        </is>
      </c>
    </row>
    <row r="3">
      <c r="A3" s="3" t="inlineStr">
        <is>
          <t>← Contents</t>
        </is>
      </c>
    </row>
    <row r="5">
      <c r="A5" s="5" t="inlineStr">
        <is>
          <t>Lake</t>
        </is>
      </c>
      <c r="B5" s="5" t="inlineStr">
        <is>
          <t>Location</t>
        </is>
      </c>
      <c r="C5" s="5" t="inlineStr">
        <is>
          <t>Dimensions (Kms.)</t>
        </is>
      </c>
      <c r="D5" s="5" t="inlineStr">
        <is>
          <t>Circumference</t>
        </is>
      </c>
    </row>
    <row r="6">
      <c r="A6" t="inlineStr">
        <is>
          <t>Hingkai (Hanka)</t>
        </is>
      </c>
      <c r="B6" t="inlineStr">
        <is>
          <t>At the border of Pinkiang Province and Soviet Territory</t>
        </is>
      </c>
      <c r="C6" t="inlineStr">
        <is>
          <t>S. to N. 90; E. to W. 50</t>
        </is>
      </c>
      <c r="D6" s="9" t="n">
        <v>252</v>
      </c>
    </row>
    <row r="7">
      <c r="A7" t="inlineStr">
        <is>
          <t>Tapaho (Hsiaohingkai)</t>
        </is>
      </c>
      <c r="B7" t="inlineStr">
        <is>
          <t>North to Hingkai Lake</t>
        </is>
      </c>
      <c r="C7" t="inlineStr">
        <is>
          <t>S. to N. 40</t>
        </is>
      </c>
      <c r="D7" s="9" t="n">
        <v>120</v>
      </c>
    </row>
    <row r="8">
      <c r="A8" t="inlineStr">
        <is>
          <t>Pirton (Kingpo)</t>
        </is>
      </c>
      <c r="B8" t="inlineStr">
        <is>
          <t>Southwest to Ningan, Pinkiang</t>
        </is>
      </c>
      <c r="C8" t="inlineStr">
        <is>
          <t>E. to W. 8</t>
        </is>
      </c>
      <c r="D8" s="9" t="n">
        <v>40</v>
      </c>
    </row>
    <row r="9">
      <c r="A9" t="inlineStr">
        <is>
          <t>Dalainor (Hulun)</t>
        </is>
      </c>
      <c r="B9" t="inlineStr">
        <is>
          <t>West to Hailar</t>
        </is>
      </c>
      <c r="C9" t="inlineStr">
        <is>
          <t>S. to N. 20; E. to W. 10</t>
        </is>
      </c>
      <c r="D9" t="inlineStr">
        <is>
          <t>—</t>
        </is>
      </c>
    </row>
    <row r="10">
      <c r="A10" t="inlineStr">
        <is>
          <t>Buirnor (Salt)</t>
        </is>
      </c>
      <c r="B10" t="inlineStr">
        <is>
          <t>South to Hulun</t>
        </is>
      </c>
      <c r="C10" t="inlineStr">
        <is>
          <t>S. to N. 25</t>
        </is>
      </c>
      <c r="D10" t="inlineStr">
        <is>
          <t>—</t>
        </is>
      </c>
    </row>
    <row r="11">
      <c r="A11" t="inlineStr">
        <is>
          <t>Yuehliangpao</t>
        </is>
      </c>
      <c r="B11" t="inlineStr">
        <is>
          <t>Jalaid Banner, Hsingan</t>
        </is>
      </c>
      <c r="C11" t="inlineStr">
        <is>
          <t>E. to W. 35</t>
        </is>
      </c>
      <c r="D11" t="inlineStr"/>
    </row>
    <row r="12">
      <c r="A12" t="inlineStr">
        <is>
          <t>Tabusunor</t>
        </is>
      </c>
      <c r="B12" t="inlineStr">
        <is>
          <t>West Uchumuchin Banner, Mongolia</t>
        </is>
      </c>
      <c r="C12" t="inlineStr">
        <is>
          <t>—</t>
        </is>
      </c>
      <c r="D12" t="inlineStr">
        <is>
          <t>—</t>
        </is>
      </c>
    </row>
    <row r="13">
      <c r="A13" t="inlineStr">
        <is>
          <t>Talinor</t>
        </is>
      </c>
      <c r="B13" t="inlineStr">
        <is>
          <t>Northwest to Keshikten Banner, Hsingan</t>
        </is>
      </c>
      <c r="C13" t="inlineStr">
        <is>
          <t>S. to N. 3; E. to W. 65</t>
        </is>
      </c>
      <c r="D13" s="9" t="n">
        <v>120</v>
      </c>
    </row>
    <row r="14">
      <c r="A14" t="inlineStr">
        <is>
          <t>Talakannor</t>
        </is>
      </c>
      <c r="B14" t="inlineStr">
        <is>
          <t>West Jarod Banner, Hsingan</t>
        </is>
      </c>
      <c r="C14" t="inlineStr">
        <is>
          <t>—; —</t>
        </is>
      </c>
      <c r="D14" s="9" t="n">
        <v>85</v>
      </c>
    </row>
    <row r="16">
      <c r="A16" s="2" t="inlineStr">
        <is>
          <t>Transcriber's notes</t>
        </is>
      </c>
    </row>
    <row r="17">
      <c r="A17" t="inlineStr">
        <is>
          <t>CAUTION: the Dimensions and Circumference columns are printed out of vertical alignment with the Lake/Location rows (the dimension lines run as an unbroken pairwise S.-to-N./E.-to-W. sequence that does not match the lake rows). Cells have been assigned by vertical position on the page, which may not reflect the intended lake. Printed Dimensions sequence top to bottom: 'S. to N. 90', 'E. to W. 50', 'S. to N. 40', 'E. to W. 8', 'S. to N. 20', 'E. to W. 10', 'S. to N. 25', 'E. to W. 35', '—', 'S. to N. 3', 'E. to W. 65', '—', '—'. Printed Circumference sequence: 252, 120, 40, —, —, [unclear], —, 120, 85.</t>
        </is>
      </c>
    </row>
    <row r="18">
      <c r="A18" t="inlineStr">
        <is>
          <t>Row 'Yuehliangpao', col 'Circumference': first digit damaged (appears as 'J0', possibly '10'); left blank.</t>
        </is>
      </c>
    </row>
    <row r="19">
      <c r="A19" t="inlineStr">
        <is>
          <t>Talakannor Dimensions: two dashes printed (one level with 'Hsingan' of the Talinor row, one level with Talakannor); both recorded, separated by ';'.</t>
        </is>
      </c>
    </row>
    <row r="20">
      <c r="A20" t="inlineStr">
        <is>
          <t>Multi-line dimension cells joined with '; '. Location 'Pro-vince' joined as 'Province'.</t>
        </is>
      </c>
    </row>
    <row r="21">
      <c r="A21" t="inlineStr">
        <is>
          <t>No printed total.</t>
        </is>
      </c>
    </row>
  </sheetData>
  <hyperlinks>
    <hyperlink xmlns:r="http://schemas.openxmlformats.org/officeDocument/2006/relationships" ref="A3"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11. Mean Temperature in Manchoukuo</t>
        </is>
      </c>
    </row>
    <row r="2">
      <c r="A2" t="inlineStr">
        <is>
          <t>Geography and Geology · printed pp. 44</t>
        </is>
      </c>
    </row>
    <row r="3">
      <c r="A3" t="inlineStr">
        <is>
          <t>(Centigrade)</t>
        </is>
      </c>
    </row>
    <row r="4">
      <c r="A4" s="3" t="inlineStr">
        <is>
          <t>← Contents</t>
        </is>
      </c>
    </row>
    <row r="6">
      <c r="A6" s="5" t="inlineStr">
        <is>
          <t>Station</t>
        </is>
      </c>
      <c r="B6" s="5" t="inlineStr">
        <is>
          <t>January — Highest</t>
        </is>
      </c>
      <c r="C6" s="5" t="inlineStr">
        <is>
          <t>January — Lowest</t>
        </is>
      </c>
      <c r="D6" s="5" t="inlineStr">
        <is>
          <t>January — Average</t>
        </is>
      </c>
      <c r="E6" s="5" t="inlineStr">
        <is>
          <t>July — Highest</t>
        </is>
      </c>
      <c r="F6" s="5" t="inlineStr">
        <is>
          <t>July — Lowest</t>
        </is>
      </c>
      <c r="G6" s="5" t="inlineStr">
        <is>
          <t>July — Average</t>
        </is>
      </c>
      <c r="H6" s="5" t="inlineStr">
        <is>
          <t>Whole Year — Highest</t>
        </is>
      </c>
      <c r="I6" s="5" t="inlineStr">
        <is>
          <t>Whole Year — Lowest</t>
        </is>
      </c>
      <c r="J6" s="5" t="inlineStr">
        <is>
          <t>Whole Year — Average</t>
        </is>
      </c>
    </row>
    <row r="7">
      <c r="A7" t="inlineStr">
        <is>
          <t>Heiho</t>
        </is>
      </c>
      <c r="B7" t="inlineStr">
        <is>
          <t>–17.9</t>
        </is>
      </c>
      <c r="C7" t="inlineStr">
        <is>
          <t>–28.4</t>
        </is>
      </c>
      <c r="D7" t="inlineStr">
        <is>
          <t>–23.5</t>
        </is>
      </c>
      <c r="E7" s="8" t="n">
        <v>27.3</v>
      </c>
      <c r="F7" s="8" t="n">
        <v>16.6</v>
      </c>
      <c r="G7" s="8" t="n">
        <v>21.6</v>
      </c>
      <c r="H7" s="8" t="n">
        <v>6</v>
      </c>
      <c r="I7" s="8" t="n">
        <v>5.2</v>
      </c>
      <c r="J7" s="8" t="n">
        <v>0.1</v>
      </c>
    </row>
    <row r="8">
      <c r="A8" t="inlineStr">
        <is>
          <t>Manchouli</t>
        </is>
      </c>
      <c r="B8" t="inlineStr">
        <is>
          <t>–20.3</t>
        </is>
      </c>
      <c r="C8" t="inlineStr">
        <is>
          <t>–30.8</t>
        </is>
      </c>
      <c r="D8" t="inlineStr">
        <is>
          <t>–25.7</t>
        </is>
      </c>
      <c r="E8" s="8" t="n">
        <v>26.6</v>
      </c>
      <c r="F8" s="8" t="n">
        <v>14.1</v>
      </c>
      <c r="G8" s="8" t="n">
        <v>20.9</v>
      </c>
      <c r="H8" s="8" t="n">
        <v>4.1</v>
      </c>
      <c r="I8" s="8" t="n">
        <v>8.4</v>
      </c>
      <c r="J8" s="8" t="n">
        <v>1.8</v>
      </c>
    </row>
    <row r="9">
      <c r="A9" t="inlineStr">
        <is>
          <t>Hailar</t>
        </is>
      </c>
      <c r="B9" t="inlineStr">
        <is>
          <t>–22.1</t>
        </is>
      </c>
      <c r="C9" t="inlineStr">
        <is>
          <t>–34.2</t>
        </is>
      </c>
      <c r="D9" t="inlineStr">
        <is>
          <t>–28.3</t>
        </is>
      </c>
      <c r="E9" s="8" t="n">
        <v>27.2</v>
      </c>
      <c r="F9" s="8" t="n">
        <v>13.9</v>
      </c>
      <c r="G9" s="8" t="n">
        <v>21</v>
      </c>
      <c r="H9" s="8" t="n">
        <v>3.9</v>
      </c>
      <c r="I9" s="8" t="n">
        <v>9.199999999999999</v>
      </c>
      <c r="J9" s="8" t="n">
        <v>2.5</v>
      </c>
    </row>
    <row r="10">
      <c r="A10" t="inlineStr">
        <is>
          <t>Hsingan</t>
        </is>
      </c>
      <c r="B10" t="inlineStr">
        <is>
          <t>–24.6</t>
        </is>
      </c>
      <c r="C10" t="inlineStr">
        <is>
          <t>–31.0</t>
        </is>
      </c>
      <c r="D10" t="inlineStr">
        <is>
          <t>–28.0</t>
        </is>
      </c>
      <c r="E10" s="8" t="n">
        <v>21.2</v>
      </c>
      <c r="F10" s="8" t="n">
        <v>12.2</v>
      </c>
      <c r="G10" s="8" t="n">
        <v>16.4</v>
      </c>
      <c r="H10" s="8" t="n">
        <v>0.8</v>
      </c>
      <c r="I10" s="8" t="n">
        <v>8.5</v>
      </c>
      <c r="J10" s="8" t="n">
        <v>4</v>
      </c>
    </row>
    <row r="11">
      <c r="A11" t="inlineStr">
        <is>
          <t>Koshan</t>
        </is>
      </c>
      <c r="B11" t="inlineStr">
        <is>
          <t>–17.9</t>
        </is>
      </c>
      <c r="C11" t="inlineStr">
        <is>
          <t>–31.5</t>
        </is>
      </c>
      <c r="D11" t="inlineStr">
        <is>
          <t>–25.3</t>
        </is>
      </c>
      <c r="E11" s="8" t="n">
        <v>26</v>
      </c>
      <c r="F11" s="8" t="n">
        <v>15.7</v>
      </c>
      <c r="G11" s="8" t="n">
        <v>20.7</v>
      </c>
      <c r="H11" s="8" t="n">
        <v>6.5</v>
      </c>
      <c r="I11" s="8" t="n">
        <v>6.6</v>
      </c>
      <c r="J11" s="8" t="n">
        <v>0</v>
      </c>
    </row>
    <row r="12">
      <c r="A12" t="inlineStr">
        <is>
          <t>Tsitsihar</t>
        </is>
      </c>
      <c r="B12" t="inlineStr">
        <is>
          <t>–12.9</t>
        </is>
      </c>
      <c r="C12" t="inlineStr">
        <is>
          <t>–26.4</t>
        </is>
      </c>
      <c r="D12" t="inlineStr">
        <is>
          <t>–20.2</t>
        </is>
      </c>
      <c r="E12" s="8" t="n">
        <v>28.4</v>
      </c>
      <c r="F12" s="8" t="n">
        <v>18.1</v>
      </c>
      <c r="G12" s="8" t="n">
        <v>22.5</v>
      </c>
      <c r="H12" s="8" t="n">
        <v>9.199999999999999</v>
      </c>
      <c r="I12" s="8" t="n">
        <v>3.5</v>
      </c>
      <c r="J12" s="8" t="n">
        <v>2.4</v>
      </c>
    </row>
    <row r="13">
      <c r="A13" t="inlineStr">
        <is>
          <t>Fuchin</t>
        </is>
      </c>
      <c r="B13" t="inlineStr">
        <is>
          <t>–16.3</t>
        </is>
      </c>
      <c r="C13" t="inlineStr">
        <is>
          <t>–26.4</t>
        </is>
      </c>
      <c r="D13" t="inlineStr">
        <is>
          <t>–12.8</t>
        </is>
      </c>
      <c r="E13" s="8" t="n">
        <v>26.3</v>
      </c>
      <c r="F13" s="8" t="n">
        <v>17</v>
      </c>
      <c r="G13" s="8" t="n">
        <v>21.4</v>
      </c>
      <c r="H13" s="8" t="n">
        <v>7.2</v>
      </c>
      <c r="I13" s="8" t="n">
        <v>3.3</v>
      </c>
      <c r="J13" s="8" t="n">
        <v>1.7</v>
      </c>
    </row>
    <row r="14">
      <c r="A14" t="inlineStr">
        <is>
          <t>Solun</t>
        </is>
      </c>
      <c r="B14" t="inlineStr">
        <is>
          <t>–10.7</t>
        </is>
      </c>
      <c r="C14" t="inlineStr">
        <is>
          <t>–23.0</t>
        </is>
      </c>
      <c r="D14" t="inlineStr">
        <is>
          <t>–17.6</t>
        </is>
      </c>
      <c r="E14" s="8" t="n">
        <v>28.4</v>
      </c>
      <c r="F14" s="8" t="n">
        <v>14.6</v>
      </c>
      <c r="G14" s="8" t="n">
        <v>21.4</v>
      </c>
      <c r="H14" s="8" t="n">
        <v>8.9</v>
      </c>
      <c r="I14" s="8" t="n">
        <v>4.7</v>
      </c>
      <c r="J14" s="8" t="n">
        <v>2</v>
      </c>
    </row>
    <row r="15">
      <c r="A15" t="inlineStr">
        <is>
          <t>Harbin</t>
        </is>
      </c>
      <c r="B15" t="inlineStr">
        <is>
          <t>–14.1</t>
        </is>
      </c>
      <c r="C15" t="inlineStr">
        <is>
          <t>–25.9</t>
        </is>
      </c>
      <c r="D15" t="inlineStr">
        <is>
          <t>–20.2</t>
        </is>
      </c>
      <c r="E15" s="8" t="n">
        <v>28.6</v>
      </c>
      <c r="F15" s="8" t="n">
        <v>18.1</v>
      </c>
      <c r="G15" s="8" t="n">
        <v>23.2</v>
      </c>
      <c r="H15" s="8" t="n">
        <v>9.1</v>
      </c>
      <c r="I15" s="8" t="n">
        <v>2.7</v>
      </c>
      <c r="J15" s="8" t="n">
        <v>3.1</v>
      </c>
    </row>
    <row r="16">
      <c r="A16" t="inlineStr">
        <is>
          <t>Mishan</t>
        </is>
      </c>
      <c r="B16" t="inlineStr">
        <is>
          <t>–13.2</t>
        </is>
      </c>
      <c r="C16" t="inlineStr">
        <is>
          <t>–26.9</t>
        </is>
      </c>
      <c r="D16" t="inlineStr">
        <is>
          <t>–19.9</t>
        </is>
      </c>
      <c r="E16" s="8" t="n">
        <v>27.6</v>
      </c>
      <c r="F16" s="8" t="n">
        <v>15.8</v>
      </c>
      <c r="G16" s="8" t="n">
        <v>21.5</v>
      </c>
      <c r="H16" s="8" t="n">
        <v>8.1</v>
      </c>
      <c r="I16" s="8" t="n">
        <v>4.4</v>
      </c>
      <c r="J16" s="8" t="n">
        <v>2</v>
      </c>
    </row>
    <row r="17">
      <c r="A17" t="inlineStr">
        <is>
          <t>Taonan</t>
        </is>
      </c>
      <c r="B17" t="inlineStr">
        <is>
          <t>–10.0</t>
        </is>
      </c>
      <c r="C17" t="inlineStr">
        <is>
          <t>–23.6</t>
        </is>
      </c>
      <c r="D17" t="inlineStr">
        <is>
          <t>–17.0</t>
        </is>
      </c>
      <c r="E17" s="8" t="n">
        <v>29.4</v>
      </c>
      <c r="F17" s="8" t="n">
        <v>18.5</v>
      </c>
      <c r="G17" s="8" t="n">
        <v>23.7</v>
      </c>
      <c r="H17" s="8" t="n">
        <v>12.6</v>
      </c>
      <c r="I17" s="8" t="n">
        <v>1.8</v>
      </c>
      <c r="J17" s="8" t="n">
        <v>4.3</v>
      </c>
    </row>
    <row r="18">
      <c r="A18" t="inlineStr">
        <is>
          <t>Mutankiang</t>
        </is>
      </c>
      <c r="B18" t="inlineStr">
        <is>
          <t>–12.6</t>
        </is>
      </c>
      <c r="C18" t="inlineStr">
        <is>
          <t>–27.5</t>
        </is>
      </c>
      <c r="D18" t="inlineStr">
        <is>
          <t>–20.4</t>
        </is>
      </c>
      <c r="E18" s="8" t="n">
        <v>27.5</v>
      </c>
      <c r="F18" s="8" t="n">
        <v>16.1</v>
      </c>
      <c r="G18" s="8" t="n">
        <v>21.9</v>
      </c>
      <c r="H18" s="8" t="n">
        <v>9.300000000000001</v>
      </c>
      <c r="I18" s="8" t="n">
        <v>4.3</v>
      </c>
      <c r="J18" s="8" t="n">
        <v>2.4</v>
      </c>
    </row>
    <row r="19">
      <c r="A19" t="inlineStr">
        <is>
          <t>Suifenho</t>
        </is>
      </c>
      <c r="B19" t="inlineStr">
        <is>
          <t>–13.5</t>
        </is>
      </c>
      <c r="C19" t="inlineStr">
        <is>
          <t>–22.1</t>
        </is>
      </c>
      <c r="D19" t="inlineStr">
        <is>
          <t>–18.4</t>
        </is>
      </c>
      <c r="E19" s="8" t="n">
        <v>25.6</v>
      </c>
      <c r="F19" s="8" t="n">
        <v>15.3</v>
      </c>
      <c r="G19" s="8" t="n">
        <v>20.1</v>
      </c>
      <c r="H19" s="8" t="n">
        <v>7.7</v>
      </c>
      <c r="I19" s="8" t="n">
        <v>2.7</v>
      </c>
      <c r="J19" s="8" t="n">
        <v>2.1</v>
      </c>
    </row>
    <row r="20">
      <c r="A20" t="inlineStr">
        <is>
          <t>Hsinking</t>
        </is>
      </c>
      <c r="B20" t="inlineStr">
        <is>
          <t>–10.8</t>
        </is>
      </c>
      <c r="C20" t="inlineStr">
        <is>
          <t>–22.8</t>
        </is>
      </c>
      <c r="D20" t="inlineStr">
        <is>
          <t>–16.9</t>
        </is>
      </c>
      <c r="E20" s="8" t="n">
        <v>28.9</v>
      </c>
      <c r="F20" s="8" t="n">
        <v>18.6</v>
      </c>
      <c r="G20" s="8" t="n">
        <v>23.5</v>
      </c>
      <c r="H20" s="8" t="n">
        <v>11</v>
      </c>
      <c r="I20" s="8" t="n">
        <v>1.2</v>
      </c>
      <c r="J20" s="8" t="n">
        <v>4.7</v>
      </c>
    </row>
    <row r="21">
      <c r="A21" t="inlineStr">
        <is>
          <t>Yenki</t>
        </is>
      </c>
      <c r="B21" t="inlineStr">
        <is>
          <t>–8.0</t>
        </is>
      </c>
      <c r="C21" t="inlineStr">
        <is>
          <t>–23.9</t>
        </is>
      </c>
      <c r="D21" t="inlineStr">
        <is>
          <t>–15.9</t>
        </is>
      </c>
      <c r="E21" s="8" t="n">
        <v>31.3</v>
      </c>
      <c r="F21" s="8" t="n">
        <v>18.3</v>
      </c>
      <c r="G21" s="8" t="n">
        <v>24.2</v>
      </c>
      <c r="H21" s="8" t="n">
        <v>12.1</v>
      </c>
      <c r="I21" s="8" t="n">
        <v>1.9</v>
      </c>
      <c r="J21" s="8" t="n">
        <v>5</v>
      </c>
    </row>
    <row r="22">
      <c r="A22" t="inlineStr">
        <is>
          <t>Chifeng</t>
        </is>
      </c>
      <c r="B22" t="inlineStr">
        <is>
          <t>–6.2</t>
        </is>
      </c>
      <c r="C22" t="inlineStr">
        <is>
          <t>–22.1</t>
        </is>
      </c>
      <c r="D22" t="inlineStr">
        <is>
          <t>–14.4</t>
        </is>
      </c>
      <c r="E22" s="8" t="n">
        <v>31.3</v>
      </c>
      <c r="F22" s="8" t="n">
        <v>17.5</v>
      </c>
      <c r="G22" s="8" t="n">
        <v>24.2</v>
      </c>
      <c r="H22" s="8" t="n">
        <v>13.5</v>
      </c>
      <c r="I22" s="8" t="n">
        <v>1.4</v>
      </c>
      <c r="J22" s="8" t="n">
        <v>6</v>
      </c>
    </row>
    <row r="23">
      <c r="A23" t="inlineStr">
        <is>
          <t>Mukden</t>
        </is>
      </c>
      <c r="B23" t="inlineStr">
        <is>
          <t>–6.4</t>
        </is>
      </c>
      <c r="C23" t="inlineStr">
        <is>
          <t>–18.8</t>
        </is>
      </c>
      <c r="D23" t="inlineStr">
        <is>
          <t>–13.0</t>
        </is>
      </c>
      <c r="E23" s="8" t="n">
        <v>30.3</v>
      </c>
      <c r="F23" s="8" t="n">
        <v>20.2</v>
      </c>
      <c r="G23" s="8" t="n">
        <v>24.8</v>
      </c>
      <c r="H23" s="8" t="n">
        <v>13.6</v>
      </c>
      <c r="I23" s="8" t="n">
        <v>1.5</v>
      </c>
      <c r="J23" s="8" t="n">
        <v>7.2</v>
      </c>
    </row>
    <row r="24">
      <c r="A24" t="inlineStr">
        <is>
          <t>Jehol</t>
        </is>
      </c>
      <c r="B24" t="inlineStr">
        <is>
          <t>–3.2</t>
        </is>
      </c>
      <c r="C24" t="inlineStr">
        <is>
          <t>–14.8</t>
        </is>
      </c>
      <c r="D24" t="inlineStr">
        <is>
          <t>–9.6</t>
        </is>
      </c>
      <c r="E24" s="8" t="n">
        <v>31.8</v>
      </c>
      <c r="F24" s="8" t="n">
        <v>20</v>
      </c>
      <c r="G24" s="8" t="n">
        <v>25.5</v>
      </c>
      <c r="H24" s="8" t="n">
        <v>15.4</v>
      </c>
      <c r="I24" s="8" t="n">
        <v>3.5</v>
      </c>
      <c r="J24" s="8" t="n">
        <v>9.199999999999999</v>
      </c>
    </row>
    <row r="25">
      <c r="A25" t="inlineStr">
        <is>
          <t>Yingkow</t>
        </is>
      </c>
      <c r="B25" t="inlineStr">
        <is>
          <t>–4.2</t>
        </is>
      </c>
      <c r="C25" t="inlineStr">
        <is>
          <t>–15.6</t>
        </is>
      </c>
      <c r="D25" t="inlineStr">
        <is>
          <t>–9.8</t>
        </is>
      </c>
      <c r="E25" s="8" t="n">
        <v>29.1</v>
      </c>
      <c r="F25" s="8" t="n">
        <v>20.6</v>
      </c>
      <c r="G25" s="8" t="n">
        <v>24.9</v>
      </c>
      <c r="H25" s="8" t="n">
        <v>13.7</v>
      </c>
      <c r="I25" s="8" t="n">
        <v>3.2</v>
      </c>
      <c r="J25" s="8" t="n">
        <v>8.5</v>
      </c>
    </row>
    <row r="27">
      <c r="A27" s="2" t="inlineStr">
        <is>
          <t>Transcriber's notes</t>
        </is>
      </c>
    </row>
    <row r="28">
      <c r="A28" t="inlineStr">
        <is>
          <t>Minus sign printed as a dash before the figure; recorded as '–'.</t>
        </is>
      </c>
    </row>
    <row r="29">
      <c r="A29" t="inlineStr">
        <is>
          <t>Whole Year columns transcribed as printed; the 'Lowest' figures carry no minus sign and in several rows exceed the 'Highest' figure (e.g. Manchouli 4.1 / 8.4) — apparently minus signs omitted in print; not corrected.</t>
        </is>
      </c>
    </row>
    <row r="30">
      <c r="A30" t="inlineStr">
        <is>
          <t>Row 'Fuchin', January Average printed –12.8, which lies outside its printed Highest (–16.3) and Lowest (–26.4); transcribed as printed.</t>
        </is>
      </c>
    </row>
    <row r="31">
      <c r="A31" t="inlineStr">
        <is>
          <t>No printed total.</t>
        </is>
      </c>
    </row>
  </sheetData>
  <hyperlinks>
    <hyperlink xmlns:r="http://schemas.openxmlformats.org/officeDocument/2006/relationships" ref="A4"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12. Temperature Compared with Japan</t>
        </is>
      </c>
    </row>
    <row r="2">
      <c r="A2" t="inlineStr">
        <is>
          <t>Geography and Geology · printed pp. 45</t>
        </is>
      </c>
    </row>
    <row r="3">
      <c r="A3" s="3" t="inlineStr">
        <is>
          <t>← Contents</t>
        </is>
      </c>
    </row>
    <row r="5">
      <c r="A5" s="2" t="inlineStr">
        <is>
          <t>(a) Mean Temperature</t>
        </is>
      </c>
    </row>
    <row r="6">
      <c r="A6" s="5" t="inlineStr">
        <is>
          <t>Month</t>
        </is>
      </c>
      <c r="B6" s="5" t="inlineStr">
        <is>
          <t>Hailar</t>
        </is>
      </c>
      <c r="C6" s="5" t="inlineStr">
        <is>
          <t>Hsinking</t>
        </is>
      </c>
      <c r="D6" s="5" t="inlineStr">
        <is>
          <t>Nemuro</t>
        </is>
      </c>
      <c r="E6" s="5" t="inlineStr">
        <is>
          <t>Kobe</t>
        </is>
      </c>
      <c r="F6" s="5" t="inlineStr">
        <is>
          <t>Taihoku</t>
        </is>
      </c>
    </row>
    <row r="7">
      <c r="A7" t="inlineStr">
        <is>
          <t>January</t>
        </is>
      </c>
      <c r="B7" t="inlineStr">
        <is>
          <t>–28.7</t>
        </is>
      </c>
      <c r="C7" t="inlineStr">
        <is>
          <t>–16.9</t>
        </is>
      </c>
      <c r="D7" t="inlineStr">
        <is>
          <t>–4.9</t>
        </is>
      </c>
      <c r="E7" s="8" t="n">
        <v>4.4</v>
      </c>
      <c r="F7" s="8" t="n">
        <v>15.2</v>
      </c>
    </row>
    <row r="8">
      <c r="A8" t="inlineStr">
        <is>
          <t>February</t>
        </is>
      </c>
      <c r="B8" t="inlineStr">
        <is>
          <t>–23.4</t>
        </is>
      </c>
      <c r="C8" t="inlineStr">
        <is>
          <t>–12.5</t>
        </is>
      </c>
      <c r="D8" t="inlineStr">
        <is>
          <t>–5.5</t>
        </is>
      </c>
      <c r="E8" s="8" t="n">
        <v>4.5</v>
      </c>
      <c r="F8" s="8" t="n">
        <v>14.8</v>
      </c>
    </row>
    <row r="9">
      <c r="A9" t="inlineStr">
        <is>
          <t>March</t>
        </is>
      </c>
      <c r="B9" t="inlineStr">
        <is>
          <t>–13.7</t>
        </is>
      </c>
      <c r="C9" t="inlineStr">
        <is>
          <t>–4.1</t>
        </is>
      </c>
      <c r="D9" t="inlineStr">
        <is>
          <t>–2.4</t>
        </is>
      </c>
      <c r="E9" s="8" t="n">
        <v>7.4</v>
      </c>
      <c r="F9" s="8" t="n">
        <v>16.9</v>
      </c>
    </row>
    <row r="10">
      <c r="A10" t="inlineStr">
        <is>
          <t>April</t>
        </is>
      </c>
      <c r="B10" s="8" t="n">
        <v>1.4</v>
      </c>
      <c r="C10" s="8" t="n">
        <v>6.5</v>
      </c>
      <c r="D10" s="8" t="n">
        <v>2.8</v>
      </c>
      <c r="E10" s="8" t="n">
        <v>13.2</v>
      </c>
      <c r="F10" s="8" t="n">
        <v>20.6</v>
      </c>
    </row>
    <row r="11">
      <c r="A11" t="inlineStr">
        <is>
          <t>May</t>
        </is>
      </c>
      <c r="B11" s="8" t="n">
        <v>9.6</v>
      </c>
      <c r="C11" s="8" t="n">
        <v>14.5</v>
      </c>
      <c r="D11" s="8" t="n">
        <v>6.5</v>
      </c>
      <c r="E11" s="8" t="n">
        <v>17.7</v>
      </c>
      <c r="F11" s="8" t="n">
        <v>24.1</v>
      </c>
    </row>
    <row r="12">
      <c r="A12" t="inlineStr">
        <is>
          <t>June</t>
        </is>
      </c>
      <c r="B12" s="8" t="n">
        <v>17.2</v>
      </c>
      <c r="C12" s="8" t="n">
        <v>20.1</v>
      </c>
      <c r="D12" s="8" t="n">
        <v>9.9</v>
      </c>
      <c r="E12" s="8" t="n">
        <v>21.5</v>
      </c>
      <c r="F12" s="8" t="n">
        <v>26.6</v>
      </c>
    </row>
    <row r="13">
      <c r="A13" t="inlineStr">
        <is>
          <t>July</t>
        </is>
      </c>
      <c r="B13" s="8" t="n">
        <v>20.6</v>
      </c>
      <c r="C13" s="8" t="n">
        <v>23.4</v>
      </c>
      <c r="D13" s="8" t="n">
        <v>14.2</v>
      </c>
      <c r="E13" s="8" t="n">
        <v>25.6</v>
      </c>
      <c r="F13" s="8" t="n">
        <v>28.2</v>
      </c>
    </row>
    <row r="14">
      <c r="A14" t="inlineStr">
        <is>
          <t>August</t>
        </is>
      </c>
      <c r="B14" s="8" t="n">
        <v>18.3</v>
      </c>
      <c r="C14" s="8" t="n">
        <v>21.9</v>
      </c>
      <c r="D14" s="8" t="n">
        <v>17.2</v>
      </c>
      <c r="E14" s="8" t="n">
        <v>27</v>
      </c>
      <c r="F14" s="8" t="n">
        <v>27.9</v>
      </c>
    </row>
    <row r="15">
      <c r="A15" t="inlineStr">
        <is>
          <t>September</t>
        </is>
      </c>
      <c r="B15" s="8" t="n">
        <v>10.6</v>
      </c>
      <c r="C15" s="8" t="n">
        <v>14.9</v>
      </c>
      <c r="D15" s="8" t="n">
        <v>15.2</v>
      </c>
      <c r="E15" s="8" t="n">
        <v>23.2</v>
      </c>
      <c r="F15" s="8" t="n">
        <v>26.2</v>
      </c>
    </row>
    <row r="16">
      <c r="A16" t="inlineStr">
        <is>
          <t>October</t>
        </is>
      </c>
      <c r="B16" s="8" t="n">
        <v>1.1</v>
      </c>
      <c r="C16" s="8" t="n">
        <v>6.7</v>
      </c>
      <c r="D16" s="8" t="n">
        <v>10.7</v>
      </c>
      <c r="E16" s="8" t="n">
        <v>17.3</v>
      </c>
      <c r="F16" s="8" t="n">
        <v>22.9</v>
      </c>
    </row>
    <row r="17">
      <c r="A17" t="inlineStr">
        <is>
          <t>November</t>
        </is>
      </c>
      <c r="B17" t="inlineStr">
        <is>
          <t>–14.4</t>
        </is>
      </c>
      <c r="C17" t="inlineStr">
        <is>
          <t>–4.3</t>
        </is>
      </c>
      <c r="D17" s="8" t="n">
        <v>4.6</v>
      </c>
      <c r="E17" s="8" t="n">
        <v>11.9</v>
      </c>
      <c r="F17" s="8" t="n">
        <v>19.8</v>
      </c>
    </row>
    <row r="18">
      <c r="A18" t="inlineStr">
        <is>
          <t>December</t>
        </is>
      </c>
      <c r="B18" t="inlineStr">
        <is>
          <t>–25.2</t>
        </is>
      </c>
      <c r="C18" t="inlineStr">
        <is>
          <t>–13.7</t>
        </is>
      </c>
      <c r="D18" t="inlineStr">
        <is>
          <t>–1.4</t>
        </is>
      </c>
      <c r="E18" s="8" t="n">
        <v>6.9</v>
      </c>
      <c r="F18" s="8" t="n">
        <v>16.8</v>
      </c>
    </row>
    <row r="19">
      <c r="A19" t="inlineStr">
        <is>
          <t>Average</t>
        </is>
      </c>
      <c r="B19" t="inlineStr">
        <is>
          <t>–2.2</t>
        </is>
      </c>
      <c r="C19" s="8" t="n">
        <v>4.7</v>
      </c>
      <c r="D19" s="8" t="n">
        <v>5.6</v>
      </c>
      <c r="E19" s="8" t="n">
        <v>15.1</v>
      </c>
      <c r="F19" s="8" t="n">
        <v>21.7</v>
      </c>
    </row>
    <row r="21">
      <c r="A21" s="2" t="inlineStr">
        <is>
          <t>(b) Lowest Temperature</t>
        </is>
      </c>
    </row>
    <row r="22">
      <c r="A22" s="5" t="inlineStr"/>
      <c r="B22" s="5" t="inlineStr">
        <is>
          <t>Hsinking (Jan.)</t>
        </is>
      </c>
      <c r="C22" s="5" t="inlineStr">
        <is>
          <t>Hailar (Jan.)</t>
        </is>
      </c>
      <c r="D22" s="5" t="inlineStr">
        <is>
          <t>Nemuro (Feb.)</t>
        </is>
      </c>
      <c r="E22" s="5" t="inlineStr">
        <is>
          <t>Kobe (Jan.)</t>
        </is>
      </c>
      <c r="F22" s="5" t="inlineStr">
        <is>
          <t>Taihoku (Feb.)</t>
        </is>
      </c>
    </row>
    <row r="23">
      <c r="A23" t="inlineStr">
        <is>
          <t>Yearly Ave.</t>
        </is>
      </c>
      <c r="B23" t="inlineStr">
        <is>
          <t>–16.9</t>
        </is>
      </c>
      <c r="C23" t="inlineStr">
        <is>
          <t>–28.7</t>
        </is>
      </c>
      <c r="D23" t="inlineStr">
        <is>
          <t>–5.5</t>
        </is>
      </c>
      <c r="E23" s="8" t="n">
        <v>4.4</v>
      </c>
      <c r="F23" s="8" t="n">
        <v>14.8</v>
      </c>
    </row>
    <row r="24">
      <c r="A24" t="inlineStr">
        <is>
          <t>High ave.</t>
        </is>
      </c>
      <c r="B24" t="inlineStr">
        <is>
          <t>–10.7</t>
        </is>
      </c>
      <c r="C24" t="inlineStr">
        <is>
          <t>–21.6</t>
        </is>
      </c>
      <c r="D24" t="inlineStr">
        <is>
          <t>–2.2</t>
        </is>
      </c>
      <c r="E24" s="8" t="n">
        <v>8.6</v>
      </c>
      <c r="F24" s="8" t="n">
        <v>19</v>
      </c>
    </row>
    <row r="25">
      <c r="A25" t="inlineStr">
        <is>
          <t>Low ave.</t>
        </is>
      </c>
      <c r="B25" t="inlineStr">
        <is>
          <t>–22.7</t>
        </is>
      </c>
      <c r="C25" t="inlineStr">
        <is>
          <t>–34.2</t>
        </is>
      </c>
      <c r="D25" t="inlineStr">
        <is>
          <t>–9.6</t>
        </is>
      </c>
      <c r="E25" s="8" t="n">
        <v>0.9</v>
      </c>
      <c r="F25" s="8" t="n">
        <v>12.3</v>
      </c>
    </row>
    <row r="26">
      <c r="A26" t="inlineStr">
        <is>
          <t>Lowest</t>
        </is>
      </c>
      <c r="B26" t="inlineStr">
        <is>
          <t>–36.0</t>
        </is>
      </c>
      <c r="C26" t="inlineStr">
        <is>
          <t>–46.0</t>
        </is>
      </c>
      <c r="D26" t="inlineStr">
        <is>
          <t>–22.9</t>
        </is>
      </c>
      <c r="E26" t="inlineStr">
        <is>
          <t>–5.9</t>
        </is>
      </c>
      <c r="F26" t="inlineStr">
        <is>
          <t>–0.2</t>
        </is>
      </c>
    </row>
    <row r="28">
      <c r="A28" s="2" t="inlineStr">
        <is>
          <t>(c) Highest Temperature</t>
        </is>
      </c>
    </row>
    <row r="29">
      <c r="A29" s="5" t="inlineStr"/>
      <c r="B29" s="5" t="inlineStr">
        <is>
          <t>Hsinking (July)</t>
        </is>
      </c>
      <c r="C29" s="5" t="inlineStr">
        <is>
          <t>Hailar (July)</t>
        </is>
      </c>
      <c r="D29" s="5" t="inlineStr">
        <is>
          <t>Nemuro (Aug.)</t>
        </is>
      </c>
      <c r="E29" s="5" t="inlineStr">
        <is>
          <t>Kobe (Aug.)</t>
        </is>
      </c>
      <c r="F29" s="5" t="inlineStr">
        <is>
          <t>Taihoku (July)</t>
        </is>
      </c>
    </row>
    <row r="30">
      <c r="A30" t="inlineStr">
        <is>
          <t>Yearly ave.</t>
        </is>
      </c>
      <c r="B30" s="8" t="n">
        <v>23.5</v>
      </c>
      <c r="C30" s="8" t="n">
        <v>20.6</v>
      </c>
      <c r="D30" s="8" t="n">
        <v>17.2</v>
      </c>
      <c r="E30" s="8" t="n">
        <v>27</v>
      </c>
      <c r="F30" s="8" t="n">
        <v>28.2</v>
      </c>
    </row>
    <row r="31">
      <c r="A31" t="inlineStr">
        <is>
          <t>High ave.</t>
        </is>
      </c>
      <c r="B31" s="8" t="n">
        <v>28.9</v>
      </c>
      <c r="C31" s="8" t="n">
        <v>26.7</v>
      </c>
      <c r="D31" s="8" t="n">
        <v>20.9</v>
      </c>
      <c r="E31" s="8" t="n">
        <v>31.8</v>
      </c>
      <c r="F31" s="8" t="n">
        <v>33.2</v>
      </c>
    </row>
    <row r="32">
      <c r="A32" t="inlineStr">
        <is>
          <t>Low ave.</t>
        </is>
      </c>
      <c r="B32" s="8" t="n">
        <v>18.5</v>
      </c>
      <c r="C32" s="8" t="n">
        <v>14.8</v>
      </c>
      <c r="D32" s="8" t="n">
        <v>14.1</v>
      </c>
      <c r="E32" s="8" t="n">
        <v>23.5</v>
      </c>
      <c r="F32" s="8" t="n">
        <v>24.3</v>
      </c>
    </row>
    <row r="33">
      <c r="A33" t="inlineStr">
        <is>
          <t>Highest</t>
        </is>
      </c>
      <c r="B33" s="8" t="n">
        <v>39.5</v>
      </c>
      <c r="C33" s="8" t="n">
        <v>36.1</v>
      </c>
      <c r="D33" s="8" t="n">
        <v>32.1</v>
      </c>
      <c r="E33" s="8" t="n">
        <v>37.6</v>
      </c>
      <c r="F33" s="8" t="n">
        <v>38.6</v>
      </c>
    </row>
    <row r="35">
      <c r="A35" s="2" t="inlineStr">
        <is>
          <t>Transcriber's notes</t>
        </is>
      </c>
    </row>
    <row r="36">
      <c r="A36" t="inlineStr">
        <is>
          <t>(a) 'Average' row checked against mean of the 12 months: Hailar –2.22 (printed –2.2), Hsinking 4.71 (4.7), Nemuro 5.57 (5.6), Kobe 15.05 (15.1), Taihoku 21.67 (21.7) — all reconcile to rounding.</t>
        </is>
      </c>
    </row>
    <row r="37">
      <c r="A37" t="inlineStr">
        <is>
          <t>Note column order differs: (a) Hailar, Hsinking, ...; (b) and (c) Hsinking, Hailar, ... as printed.</t>
        </is>
      </c>
    </row>
    <row r="38">
      <c r="A38" t="inlineStr">
        <is>
          <t>Minus signs recorded as '–'. Stub columns have no printed header ('Month' supplied for (a)).</t>
        </is>
      </c>
    </row>
  </sheetData>
  <hyperlinks>
    <hyperlink xmlns:r="http://schemas.openxmlformats.org/officeDocument/2006/relationships" ref="A3"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13. Precipitation, Snow and Frost</t>
        </is>
      </c>
    </row>
    <row r="2">
      <c r="A2" t="inlineStr">
        <is>
          <t>Geography and Geology · printed pp. 46</t>
        </is>
      </c>
    </row>
    <row r="3">
      <c r="A3" s="3" t="inlineStr">
        <is>
          <t>← Contents</t>
        </is>
      </c>
    </row>
    <row r="5">
      <c r="A5" s="5" t="inlineStr">
        <is>
          <t>Station</t>
        </is>
      </c>
      <c r="B5" s="5" t="inlineStr">
        <is>
          <t>Precipitation (mm) — July</t>
        </is>
      </c>
      <c r="C5" s="5" t="inlineStr">
        <is>
          <t>Precipitation (mm) — whole year</t>
        </is>
      </c>
      <c r="D5" s="5" t="inlineStr">
        <is>
          <t>Snow Season — 1st (month &amp; day)</t>
        </is>
      </c>
      <c r="E5" s="5" t="inlineStr">
        <is>
          <t>Snow Season — last (month &amp; day)</t>
        </is>
      </c>
      <c r="F5" s="5" t="inlineStr">
        <is>
          <t>Frost Season — 1st (month &amp; day)</t>
        </is>
      </c>
      <c r="G5" s="5" t="inlineStr">
        <is>
          <t>Frost Season — last (month &amp; day)</t>
        </is>
      </c>
    </row>
    <row r="6">
      <c r="A6" t="inlineStr">
        <is>
          <t>Heiho</t>
        </is>
      </c>
      <c r="B6" s="8" t="n">
        <v>150.2</v>
      </c>
      <c r="C6" s="8" t="n">
        <v>515.1</v>
      </c>
      <c r="D6" t="inlineStr">
        <is>
          <t>X 5</t>
        </is>
      </c>
      <c r="E6" t="inlineStr">
        <is>
          <t>V 5</t>
        </is>
      </c>
      <c r="F6" t="inlineStr">
        <is>
          <t>IX 23</t>
        </is>
      </c>
      <c r="G6" t="inlineStr">
        <is>
          <t>V 17</t>
        </is>
      </c>
    </row>
    <row r="7">
      <c r="A7" t="inlineStr">
        <is>
          <t>Manchouli</t>
        </is>
      </c>
      <c r="B7" s="8" t="n">
        <v>83</v>
      </c>
      <c r="C7" s="8" t="n">
        <v>272.2</v>
      </c>
      <c r="D7" t="inlineStr">
        <is>
          <t>X 5</t>
        </is>
      </c>
      <c r="E7" t="inlineStr">
        <is>
          <t>IV 23</t>
        </is>
      </c>
      <c r="F7" t="inlineStr">
        <is>
          <t>IX 14</t>
        </is>
      </c>
      <c r="G7" t="inlineStr">
        <is>
          <t>V 21</t>
        </is>
      </c>
    </row>
    <row r="8">
      <c r="A8" t="inlineStr">
        <is>
          <t>Hailar</t>
        </is>
      </c>
      <c r="B8" s="8" t="n">
        <v>88.09999999999999</v>
      </c>
      <c r="C8" s="8" t="n">
        <v>322.8</v>
      </c>
      <c r="D8" t="inlineStr">
        <is>
          <t>X 5</t>
        </is>
      </c>
      <c r="E8" t="inlineStr">
        <is>
          <t>V 6</t>
        </is>
      </c>
      <c r="F8" t="inlineStr">
        <is>
          <t>IX 16</t>
        </is>
      </c>
      <c r="G8" t="inlineStr">
        <is>
          <t>V 24</t>
        </is>
      </c>
    </row>
    <row r="9">
      <c r="A9" t="inlineStr">
        <is>
          <t>Hsingan</t>
        </is>
      </c>
      <c r="B9" s="8" t="n">
        <v>167.3</v>
      </c>
      <c r="C9" s="8" t="n">
        <v>532.4</v>
      </c>
      <c r="D9" t="inlineStr">
        <is>
          <t>IX 24</t>
        </is>
      </c>
      <c r="E9" t="inlineStr">
        <is>
          <t>V 26</t>
        </is>
      </c>
      <c r="F9" t="inlineStr">
        <is>
          <t>VIII 24</t>
        </is>
      </c>
      <c r="G9" t="inlineStr">
        <is>
          <t>VI 2</t>
        </is>
      </c>
    </row>
    <row r="10">
      <c r="A10" t="inlineStr">
        <is>
          <t>Koshan</t>
        </is>
      </c>
      <c r="B10" s="8" t="n">
        <v>205.1</v>
      </c>
      <c r="C10" s="8" t="n">
        <v>532.7</v>
      </c>
      <c r="D10" t="inlineStr">
        <is>
          <t>X 9</t>
        </is>
      </c>
      <c r="E10" t="inlineStr">
        <is>
          <t>IV 28</t>
        </is>
      </c>
      <c r="F10" t="inlineStr">
        <is>
          <t>IX 29</t>
        </is>
      </c>
      <c r="G10" t="inlineStr">
        <is>
          <t>V 2</t>
        </is>
      </c>
    </row>
    <row r="11">
      <c r="A11" t="inlineStr">
        <is>
          <t>Tsitsihar</t>
        </is>
      </c>
      <c r="B11" s="8" t="n">
        <v>137.2</v>
      </c>
      <c r="C11" s="8" t="n">
        <v>464</v>
      </c>
      <c r="D11" t="inlineStr">
        <is>
          <t>X 18</t>
        </is>
      </c>
      <c r="E11" t="inlineStr">
        <is>
          <t>IV 22</t>
        </is>
      </c>
      <c r="F11" t="inlineStr">
        <is>
          <t>X 1</t>
        </is>
      </c>
      <c r="G11" t="inlineStr">
        <is>
          <t>V 4</t>
        </is>
      </c>
    </row>
    <row r="12">
      <c r="A12" t="inlineStr">
        <is>
          <t>Fuchin</t>
        </is>
      </c>
      <c r="B12" s="8" t="n">
        <v>168.8</v>
      </c>
      <c r="C12" s="8" t="n">
        <v>581.7</v>
      </c>
      <c r="D12" t="inlineStr">
        <is>
          <t>X 10</t>
        </is>
      </c>
      <c r="E12" t="inlineStr">
        <is>
          <t>IV 27</t>
        </is>
      </c>
      <c r="F12" t="inlineStr">
        <is>
          <t>X 7</t>
        </is>
      </c>
      <c r="G12" t="inlineStr">
        <is>
          <t>V 1</t>
        </is>
      </c>
    </row>
    <row r="13">
      <c r="A13" t="inlineStr">
        <is>
          <t>Solun</t>
        </is>
      </c>
      <c r="B13" s="8" t="n">
        <v>73.7</v>
      </c>
      <c r="C13" s="8" t="n">
        <v>293.3</v>
      </c>
      <c r="D13" t="inlineStr">
        <is>
          <t>IX 21</t>
        </is>
      </c>
      <c r="E13" t="inlineStr">
        <is>
          <t>V 6</t>
        </is>
      </c>
      <c r="F13" t="inlineStr">
        <is>
          <t>IX 16</t>
        </is>
      </c>
      <c r="G13" t="inlineStr">
        <is>
          <t>V 5</t>
        </is>
      </c>
    </row>
    <row r="14">
      <c r="A14" t="inlineStr">
        <is>
          <t>Harbin</t>
        </is>
      </c>
      <c r="B14" s="8" t="n">
        <v>165.7</v>
      </c>
      <c r="C14" s="8" t="n">
        <v>577.3</v>
      </c>
      <c r="D14" t="inlineStr">
        <is>
          <t>X 18</t>
        </is>
      </c>
      <c r="E14" t="inlineStr">
        <is>
          <t>IV 18</t>
        </is>
      </c>
      <c r="F14" t="inlineStr">
        <is>
          <t>X 4</t>
        </is>
      </c>
      <c r="G14" t="inlineStr">
        <is>
          <t>V 4</t>
        </is>
      </c>
    </row>
    <row r="15">
      <c r="A15" t="inlineStr">
        <is>
          <t>Mishan</t>
        </is>
      </c>
      <c r="B15" s="8" t="n">
        <v>117.7</v>
      </c>
      <c r="C15" s="8" t="n">
        <v>645.9</v>
      </c>
      <c r="D15" t="inlineStr">
        <is>
          <t>X 9</t>
        </is>
      </c>
      <c r="E15" t="inlineStr">
        <is>
          <t>IV 21</t>
        </is>
      </c>
      <c r="F15" t="inlineStr">
        <is>
          <t>X 29</t>
        </is>
      </c>
      <c r="G15" t="inlineStr">
        <is>
          <t>V 15</t>
        </is>
      </c>
    </row>
    <row r="16">
      <c r="A16" t="inlineStr">
        <is>
          <t>Taonan</t>
        </is>
      </c>
      <c r="B16" s="8" t="n">
        <v>132.2</v>
      </c>
      <c r="C16" s="8" t="n">
        <v>426.1</v>
      </c>
      <c r="D16" t="inlineStr">
        <is>
          <t>X 13</t>
        </is>
      </c>
      <c r="E16" t="inlineStr">
        <is>
          <t>IV 13</t>
        </is>
      </c>
      <c r="F16" t="inlineStr">
        <is>
          <t>X 11</t>
        </is>
      </c>
      <c r="G16" t="inlineStr">
        <is>
          <t>IV 14</t>
        </is>
      </c>
    </row>
    <row r="17">
      <c r="A17" t="inlineStr">
        <is>
          <t>Mutankiang</t>
        </is>
      </c>
      <c r="B17" s="8" t="n">
        <v>122.9</v>
      </c>
      <c r="C17" s="8" t="n">
        <v>533.2</v>
      </c>
      <c r="D17" t="inlineStr">
        <is>
          <t>X 20</t>
        </is>
      </c>
      <c r="E17" t="inlineStr">
        <is>
          <t>IV 21</t>
        </is>
      </c>
      <c r="F17" t="inlineStr">
        <is>
          <t>IX 24</t>
        </is>
      </c>
      <c r="G17" t="inlineStr">
        <is>
          <t>V 13</t>
        </is>
      </c>
    </row>
    <row r="18">
      <c r="A18" t="inlineStr">
        <is>
          <t>Suifenho</t>
        </is>
      </c>
      <c r="B18" s="8" t="n">
        <v>126.9</v>
      </c>
      <c r="C18" s="8" t="n">
        <v>627.7</v>
      </c>
      <c r="D18" t="inlineStr">
        <is>
          <t>X 5</t>
        </is>
      </c>
      <c r="E18" t="inlineStr">
        <is>
          <t>V 13</t>
        </is>
      </c>
      <c r="F18" t="inlineStr">
        <is>
          <t>X 3</t>
        </is>
      </c>
      <c r="G18" t="inlineStr">
        <is>
          <t>V 30</t>
        </is>
      </c>
    </row>
    <row r="19">
      <c r="A19" t="inlineStr">
        <is>
          <t>Hsinking</t>
        </is>
      </c>
      <c r="B19" s="8" t="n">
        <v>177.7</v>
      </c>
      <c r="C19" s="8" t="n">
        <v>660.9</v>
      </c>
      <c r="D19" t="inlineStr">
        <is>
          <t>X 18</t>
        </is>
      </c>
      <c r="E19" t="inlineStr">
        <is>
          <t>IV 21</t>
        </is>
      </c>
      <c r="F19" t="inlineStr">
        <is>
          <t>IX 26</t>
        </is>
      </c>
      <c r="G19" t="inlineStr">
        <is>
          <t>V 3</t>
        </is>
      </c>
    </row>
    <row r="20">
      <c r="A20" t="inlineStr">
        <is>
          <t>Yenki</t>
        </is>
      </c>
      <c r="B20" s="8" t="n">
        <v>57.6</v>
      </c>
      <c r="C20" s="8" t="n">
        <v>323.7</v>
      </c>
      <c r="D20" t="inlineStr">
        <is>
          <t>X 16</t>
        </is>
      </c>
      <c r="E20" t="inlineStr">
        <is>
          <t>IV 7</t>
        </is>
      </c>
      <c r="F20" t="inlineStr">
        <is>
          <t>IX 28</t>
        </is>
      </c>
      <c r="G20" t="inlineStr">
        <is>
          <t>V 8</t>
        </is>
      </c>
    </row>
    <row r="21">
      <c r="A21" t="inlineStr">
        <is>
          <t>Chifeng</t>
        </is>
      </c>
      <c r="B21" s="8" t="n">
        <v>54.8</v>
      </c>
      <c r="C21" s="8" t="n">
        <v>284</v>
      </c>
      <c r="D21" t="inlineStr">
        <is>
          <t>XI 1</t>
        </is>
      </c>
      <c r="E21" t="inlineStr">
        <is>
          <t>IV 5</t>
        </is>
      </c>
      <c r="F21" t="inlineStr">
        <is>
          <t>IX 26</t>
        </is>
      </c>
      <c r="G21" t="inlineStr">
        <is>
          <t>IV 25</t>
        </is>
      </c>
    </row>
    <row r="22">
      <c r="A22" t="inlineStr">
        <is>
          <t>Mukden</t>
        </is>
      </c>
      <c r="B22" s="8" t="n">
        <v>158.2</v>
      </c>
      <c r="C22" s="8" t="n">
        <v>678.4</v>
      </c>
      <c r="D22" t="inlineStr">
        <is>
          <t>X 27</t>
        </is>
      </c>
      <c r="E22" t="inlineStr">
        <is>
          <t>IV 10</t>
        </is>
      </c>
      <c r="F22" t="inlineStr">
        <is>
          <t>X 3</t>
        </is>
      </c>
      <c r="G22" t="inlineStr">
        <is>
          <t>V 3</t>
        </is>
      </c>
    </row>
    <row r="23">
      <c r="A23" t="inlineStr">
        <is>
          <t>Jehol</t>
        </is>
      </c>
      <c r="B23" s="8" t="n">
        <v>101.7</v>
      </c>
      <c r="C23" s="8" t="n">
        <v>506.1</v>
      </c>
      <c r="D23" t="inlineStr">
        <is>
          <t>XI 17</t>
        </is>
      </c>
      <c r="E23" t="inlineStr">
        <is>
          <t>III 24</t>
        </is>
      </c>
      <c r="F23" t="inlineStr">
        <is>
          <t>IX 27</t>
        </is>
      </c>
      <c r="G23" t="inlineStr">
        <is>
          <t>IV 17</t>
        </is>
      </c>
    </row>
    <row r="24">
      <c r="A24" t="inlineStr">
        <is>
          <t>Yingkow</t>
        </is>
      </c>
      <c r="B24" s="8" t="n">
        <v>172.7</v>
      </c>
      <c r="C24" s="8" t="n">
        <v>659.9</v>
      </c>
      <c r="D24" t="inlineStr">
        <is>
          <t>XI 2</t>
        </is>
      </c>
      <c r="E24" t="inlineStr">
        <is>
          <t>III 31</t>
        </is>
      </c>
      <c r="F24" t="inlineStr">
        <is>
          <t>X 12</t>
        </is>
      </c>
      <c r="G24" t="inlineStr">
        <is>
          <t>IV 13</t>
        </is>
      </c>
    </row>
    <row r="26">
      <c r="A26" s="2" t="inlineStr">
        <is>
          <t>Transcriber's notes</t>
        </is>
      </c>
    </row>
    <row r="27">
      <c r="A27" t="inlineStr">
        <is>
          <t>Snow/Frost season printed as 'X 5 – V 5' (Roman month + day, first – last); split into two columns each.</t>
        </is>
      </c>
    </row>
    <row r="28">
      <c r="A28" t="inlineStr">
        <is>
          <t>Some digits slightly broken in print but legible: Harbin snow last 'IV 18', Mishan snow last 'IV 21', Hailar frost last 'V 24', Yenki snow last 'IV 7'.</t>
        </is>
      </c>
    </row>
    <row r="29">
      <c r="A29" t="inlineStr">
        <is>
          <t>No printed total.</t>
        </is>
      </c>
    </row>
  </sheetData>
  <hyperlinks>
    <hyperlink xmlns:r="http://schemas.openxmlformats.org/officeDocument/2006/relationships" ref="A3"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14. Monthly Precipitation Compared with Japan</t>
        </is>
      </c>
    </row>
    <row r="2">
      <c r="A2" t="inlineStr">
        <is>
          <t>Geography and Geology · printed pp. 46, 47</t>
        </is>
      </c>
    </row>
    <row r="3">
      <c r="A3" t="inlineStr">
        <is>
          <t>(Unit: m.m.)</t>
        </is>
      </c>
    </row>
    <row r="4">
      <c r="A4" s="3" t="inlineStr">
        <is>
          <t>← Contents</t>
        </is>
      </c>
    </row>
    <row r="6">
      <c r="A6" s="5" t="inlineStr">
        <is>
          <t>Month</t>
        </is>
      </c>
      <c r="B6" s="5" t="inlineStr">
        <is>
          <t>Hailar</t>
        </is>
      </c>
      <c r="C6" s="5" t="inlineStr">
        <is>
          <t>Hsinking</t>
        </is>
      </c>
      <c r="D6" s="5" t="inlineStr">
        <is>
          <t>Nemuro</t>
        </is>
      </c>
      <c r="E6" s="5" t="inlineStr">
        <is>
          <t>Kobe</t>
        </is>
      </c>
      <c r="F6" s="5" t="inlineStr">
        <is>
          <t>Taihoku</t>
        </is>
      </c>
    </row>
    <row r="7">
      <c r="A7" t="inlineStr">
        <is>
          <t>January</t>
        </is>
      </c>
      <c r="B7" s="8" t="n">
        <v>3.2</v>
      </c>
      <c r="C7" s="8" t="n">
        <v>6.4</v>
      </c>
      <c r="D7" s="8" t="n">
        <v>37.3</v>
      </c>
      <c r="E7" s="8" t="n">
        <v>45.9</v>
      </c>
      <c r="F7" s="8" t="n">
        <v>88</v>
      </c>
    </row>
    <row r="8">
      <c r="A8" t="inlineStr">
        <is>
          <t>February</t>
        </is>
      </c>
      <c r="B8" s="8" t="n">
        <v>4.6</v>
      </c>
      <c r="C8" s="8" t="n">
        <v>6.3</v>
      </c>
      <c r="D8" s="8" t="n">
        <v>27.1</v>
      </c>
      <c r="E8" s="8" t="n">
        <v>53.5</v>
      </c>
      <c r="F8" s="8" t="n">
        <v>132.7</v>
      </c>
    </row>
    <row r="9">
      <c r="A9" t="inlineStr">
        <is>
          <t>March</t>
        </is>
      </c>
      <c r="B9" s="8" t="n">
        <v>2</v>
      </c>
      <c r="C9" s="8" t="n">
        <v>15.8</v>
      </c>
      <c r="D9" s="8" t="n">
        <v>56.3</v>
      </c>
      <c r="E9" s="8" t="n">
        <v>88.59999999999999</v>
      </c>
      <c r="F9" s="8" t="n">
        <v>181.7</v>
      </c>
    </row>
    <row r="10">
      <c r="A10" t="inlineStr">
        <is>
          <t>April</t>
        </is>
      </c>
      <c r="B10" s="8" t="n">
        <v>19.2</v>
      </c>
      <c r="C10" s="8" t="n">
        <v>20.5</v>
      </c>
      <c r="D10" s="8" t="n">
        <v>77.90000000000001</v>
      </c>
      <c r="E10" s="8" t="n">
        <v>125</v>
      </c>
      <c r="F10" s="8" t="n">
        <v>168.5</v>
      </c>
    </row>
    <row r="11">
      <c r="A11" t="inlineStr">
        <is>
          <t>May</t>
        </is>
      </c>
      <c r="B11" s="8" t="n">
        <v>22.5</v>
      </c>
      <c r="C11" s="8" t="n">
        <v>56.3</v>
      </c>
      <c r="D11" s="8" t="n">
        <v>93.2</v>
      </c>
      <c r="E11" s="8" t="n">
        <v>118.9</v>
      </c>
      <c r="F11" s="8" t="n">
        <v>222.5</v>
      </c>
    </row>
    <row r="12">
      <c r="A12" t="inlineStr">
        <is>
          <t>June</t>
        </is>
      </c>
      <c r="B12" s="8" t="n">
        <v>42</v>
      </c>
      <c r="C12" s="8" t="n">
        <v>115</v>
      </c>
      <c r="D12" s="8" t="n">
        <v>92</v>
      </c>
      <c r="E12" s="8" t="n">
        <v>196.3</v>
      </c>
      <c r="F12" s="8" t="n">
        <v>288.9</v>
      </c>
    </row>
    <row r="13">
      <c r="A13" t="inlineStr">
        <is>
          <t>July</t>
        </is>
      </c>
      <c r="B13" s="8" t="n">
        <v>86.5</v>
      </c>
      <c r="C13" s="8" t="n">
        <v>181.9</v>
      </c>
      <c r="D13" s="8" t="n">
        <v>99.40000000000001</v>
      </c>
      <c r="E13" s="8" t="n">
        <v>153.6</v>
      </c>
      <c r="F13" s="8" t="n">
        <v>235.1</v>
      </c>
    </row>
    <row r="14">
      <c r="A14" t="inlineStr">
        <is>
          <t>August</t>
        </is>
      </c>
      <c r="B14" s="8" t="n">
        <v>80.90000000000001</v>
      </c>
      <c r="C14" s="8" t="n">
        <v>132.4</v>
      </c>
      <c r="D14" s="8" t="n">
        <v>108.1</v>
      </c>
      <c r="E14" s="8" t="n">
        <v>124.6</v>
      </c>
      <c r="F14" s="8" t="n">
        <v>299.8</v>
      </c>
    </row>
    <row r="15">
      <c r="A15" t="inlineStr">
        <is>
          <t>September</t>
        </is>
      </c>
      <c r="B15" s="8" t="n">
        <v>33.6</v>
      </c>
      <c r="C15" s="8" t="n">
        <v>55.4</v>
      </c>
      <c r="D15" s="8" t="n">
        <v>144.1</v>
      </c>
      <c r="E15" s="8" t="n">
        <v>193.7</v>
      </c>
      <c r="F15" s="8" t="n">
        <v>238.5</v>
      </c>
    </row>
    <row r="16">
      <c r="A16" t="inlineStr">
        <is>
          <t>October</t>
        </is>
      </c>
      <c r="B16" s="8" t="n">
        <v>13.6</v>
      </c>
      <c r="C16" s="8" t="n">
        <v>38.8</v>
      </c>
      <c r="D16" s="8" t="n">
        <v>103.1</v>
      </c>
      <c r="E16" s="8" t="n">
        <v>122.1</v>
      </c>
      <c r="F16" s="8" t="n">
        <v>120.3</v>
      </c>
    </row>
    <row r="17">
      <c r="A17" t="inlineStr">
        <is>
          <t>November</t>
        </is>
      </c>
      <c r="B17" s="8" t="n">
        <v>7.3</v>
      </c>
      <c r="C17" s="8" t="n">
        <v>14.9</v>
      </c>
      <c r="D17" s="8" t="n">
        <v>87.2</v>
      </c>
      <c r="E17" s="8" t="n">
        <v>73.09999999999999</v>
      </c>
      <c r="F17" s="8" t="n">
        <v>66.09999999999999</v>
      </c>
    </row>
    <row r="18">
      <c r="A18" t="inlineStr">
        <is>
          <t>December</t>
        </is>
      </c>
      <c r="B18" s="8" t="n">
        <v>3</v>
      </c>
      <c r="C18" s="8" t="n">
        <v>6.8</v>
      </c>
      <c r="D18" s="8" t="n">
        <v>57.1</v>
      </c>
      <c r="E18" s="8" t="n">
        <v>49</v>
      </c>
      <c r="F18" s="8" t="n">
        <v>73</v>
      </c>
    </row>
    <row r="19">
      <c r="A19" t="inlineStr">
        <is>
          <t>Total</t>
        </is>
      </c>
      <c r="B19" s="8" t="n">
        <v>318.7</v>
      </c>
      <c r="C19" s="8" t="n">
        <v>650.3</v>
      </c>
      <c r="D19" s="8" t="n">
        <v>982.7</v>
      </c>
      <c r="E19" s="7" t="n">
        <v>1343.3</v>
      </c>
      <c r="F19" s="7" t="n">
        <v>2114.7</v>
      </c>
    </row>
    <row r="21">
      <c r="A21" s="2" t="inlineStr">
        <is>
          <t>Transcriber's notes</t>
        </is>
      </c>
    </row>
    <row r="22">
      <c r="A22" t="inlineStr">
        <is>
          <t>January–March printed on p. 46; April–December and Total on p. 47 headed '(Continued)'. Merged.</t>
        </is>
      </c>
    </row>
    <row r="23">
      <c r="A23" t="inlineStr">
        <is>
          <t>Totals checked (monthly figures re-read once from a tighter crop): Hailar printed 318.7, parts sum to 318.4 — does NOT reconcile (diff 0.3); Hsinking printed 650.3, parts sum to 650.5 — does NOT reconcile (diff 0.2); Nemuro printed 982.7, parts sum to 982.8 — does NOT reconcile (diff 0.1); Kobe printed 1,343.3, parts sum to 1,344.3 — does NOT reconcile (diff 1.0); Taihoku printed 2,114.7, parts sum to 2,115.1 — does NOT reconcile (diff 0.4).</t>
        </is>
      </c>
    </row>
  </sheetData>
  <hyperlinks>
    <hyperlink xmlns:r="http://schemas.openxmlformats.org/officeDocument/2006/relationships" ref="A4"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15. Sunrise and Sunset</t>
        </is>
      </c>
    </row>
    <row r="2">
      <c r="A2" t="inlineStr">
        <is>
          <t>Geography and Geology · printed pp. 47</t>
        </is>
      </c>
    </row>
    <row r="3">
      <c r="A3" s="3" t="inlineStr">
        <is>
          <t>← Contents</t>
        </is>
      </c>
    </row>
    <row r="5">
      <c r="A5" s="5" t="inlineStr">
        <is>
          <t>Place</t>
        </is>
      </c>
      <c r="B5" s="5" t="inlineStr">
        <is>
          <t>Winter Solstice — Sunrise (a.m.)</t>
        </is>
      </c>
      <c r="C5" s="5" t="inlineStr">
        <is>
          <t>Winter Solstice — Sunset (p.m.)</t>
        </is>
      </c>
      <c r="D5" s="5" t="inlineStr">
        <is>
          <t>Summer Solstice — Sunrise (a.m.)</t>
        </is>
      </c>
      <c r="E5" s="5" t="inlineStr">
        <is>
          <t>Summer Solstice — Sunset (p.m.)</t>
        </is>
      </c>
    </row>
    <row r="6">
      <c r="A6" t="inlineStr">
        <is>
          <t>Hsinking</t>
        </is>
      </c>
      <c r="B6" s="11" t="n">
        <v>8.1</v>
      </c>
      <c r="C6" s="11" t="n">
        <v>5.04</v>
      </c>
      <c r="D6" s="11" t="n">
        <v>4.56</v>
      </c>
      <c r="E6" s="11" t="n">
        <v>8.24</v>
      </c>
    </row>
    <row r="7">
      <c r="A7" t="inlineStr">
        <is>
          <t>Harbin</t>
        </is>
      </c>
      <c r="B7" s="11" t="n">
        <v>8.119999999999999</v>
      </c>
      <c r="C7" s="11" t="n">
        <v>4.52</v>
      </c>
      <c r="D7" s="11" t="n">
        <v>4.43</v>
      </c>
      <c r="E7" s="11" t="n">
        <v>8.27</v>
      </c>
    </row>
    <row r="8">
      <c r="A8" t="inlineStr">
        <is>
          <t>Dairen</t>
        </is>
      </c>
      <c r="B8" s="11" t="n">
        <v>8.09</v>
      </c>
      <c r="C8" s="11" t="n">
        <v>5.35</v>
      </c>
      <c r="D8" s="11" t="n">
        <v>5.28</v>
      </c>
      <c r="E8" s="11" t="n">
        <v>8.220000000000001</v>
      </c>
    </row>
    <row r="9">
      <c r="A9" t="inlineStr">
        <is>
          <t>Heiho</t>
        </is>
      </c>
      <c r="B9" s="11" t="n">
        <v>8.279999999999999</v>
      </c>
      <c r="C9" s="11" t="n">
        <v>4.3</v>
      </c>
      <c r="D9" s="11" t="n">
        <v>4.19</v>
      </c>
      <c r="E9" s="11" t="n">
        <v>8.44</v>
      </c>
    </row>
    <row r="10">
      <c r="A10" t="inlineStr">
        <is>
          <t>Suifenho</t>
        </is>
      </c>
      <c r="B10" s="11" t="n">
        <v>7.49</v>
      </c>
      <c r="C10" s="11" t="n">
        <v>4.39</v>
      </c>
      <c r="D10" s="11" t="n">
        <v>4.31</v>
      </c>
      <c r="E10" s="11" t="n">
        <v>8.039999999999999</v>
      </c>
    </row>
    <row r="11">
      <c r="A11" t="inlineStr">
        <is>
          <t>Jehol</t>
        </is>
      </c>
      <c r="B11" s="11" t="n">
        <v>8.300000000000001</v>
      </c>
      <c r="C11" s="11" t="n">
        <v>5.44</v>
      </c>
      <c r="D11" s="11" t="n">
        <v>5.37</v>
      </c>
      <c r="E11" s="11" t="n">
        <v>8.44</v>
      </c>
    </row>
    <row r="12">
      <c r="A12" t="inlineStr">
        <is>
          <t>Hailar</t>
        </is>
      </c>
      <c r="B12" s="11" t="n">
        <v>8.539999999999999</v>
      </c>
      <c r="C12" s="11" t="n">
        <v>5.05</v>
      </c>
      <c r="D12" s="11" t="n">
        <v>4.55</v>
      </c>
      <c r="E12" s="11" t="n">
        <v>9.1</v>
      </c>
    </row>
    <row r="14">
      <c r="A14" s="2" t="inlineStr">
        <is>
          <t>Transcriber's notes</t>
        </is>
      </c>
    </row>
    <row r="15">
      <c r="A15" t="inlineStr">
        <is>
          <t>Stub has no printed header; 'Place' supplied.</t>
        </is>
      </c>
    </row>
    <row r="16">
      <c r="A16" t="inlineStr">
        <is>
          <t>No printed total.</t>
        </is>
      </c>
    </row>
  </sheetData>
  <hyperlinks>
    <hyperlink xmlns:r="http://schemas.openxmlformats.org/officeDocument/2006/relationships" ref="A3"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16. Vertical Radiant Heat</t>
        </is>
      </c>
    </row>
    <row r="2">
      <c r="A2" t="inlineStr">
        <is>
          <t>Geography and Geology · printed pp. 47, 48</t>
        </is>
      </c>
    </row>
    <row r="3">
      <c r="A3" t="inlineStr">
        <is>
          <t>(gram calory/cm2)</t>
        </is>
      </c>
    </row>
    <row r="4">
      <c r="A4" s="3" t="inlineStr">
        <is>
          <t>← Contents</t>
        </is>
      </c>
    </row>
    <row r="6">
      <c r="A6" s="5" t="inlineStr">
        <is>
          <t>Month</t>
        </is>
      </c>
      <c r="B6" s="5" t="inlineStr">
        <is>
          <t>Koshan</t>
        </is>
      </c>
      <c r="C6" s="5" t="inlineStr">
        <is>
          <t>Hsinking</t>
        </is>
      </c>
      <c r="D6" s="5" t="inlineStr">
        <is>
          <t>Chiamussu</t>
        </is>
      </c>
      <c r="E6" s="5" t="inlineStr">
        <is>
          <t>Tungan</t>
        </is>
      </c>
      <c r="F6" s="5" t="inlineStr">
        <is>
          <t>Tokyo</t>
        </is>
      </c>
      <c r="G6" s="5" t="inlineStr">
        <is>
          <t>Morioka</t>
        </is>
      </c>
      <c r="H6" s="5" t="inlineStr">
        <is>
          <t>Otomari</t>
        </is>
      </c>
    </row>
    <row r="7">
      <c r="A7" t="inlineStr">
        <is>
          <t>January</t>
        </is>
      </c>
      <c r="B7" s="9" t="n">
        <v>129</v>
      </c>
      <c r="C7" s="9" t="n">
        <v>318</v>
      </c>
      <c r="D7" t="inlineStr">
        <is>
          <t>—</t>
        </is>
      </c>
      <c r="E7" t="inlineStr">
        <is>
          <t>—</t>
        </is>
      </c>
      <c r="F7" s="9" t="n">
        <v>289</v>
      </c>
      <c r="G7" s="9" t="n">
        <v>286</v>
      </c>
      <c r="H7" t="inlineStr">
        <is>
          <t>—</t>
        </is>
      </c>
    </row>
    <row r="8">
      <c r="A8" t="inlineStr">
        <is>
          <t>February</t>
        </is>
      </c>
      <c r="B8" s="9" t="n">
        <v>228</v>
      </c>
      <c r="C8" s="9" t="n">
        <v>428</v>
      </c>
      <c r="D8" t="inlineStr">
        <is>
          <t>—</t>
        </is>
      </c>
      <c r="E8" t="inlineStr">
        <is>
          <t>—</t>
        </is>
      </c>
      <c r="F8" s="9" t="n">
        <v>407</v>
      </c>
      <c r="G8" s="9" t="n">
        <v>264</v>
      </c>
      <c r="H8" t="inlineStr">
        <is>
          <t>—</t>
        </is>
      </c>
    </row>
    <row r="9">
      <c r="A9" t="inlineStr">
        <is>
          <t>March</t>
        </is>
      </c>
      <c r="B9" s="9" t="n">
        <v>412</v>
      </c>
      <c r="C9" s="9" t="n">
        <v>518</v>
      </c>
      <c r="D9" s="9" t="n">
        <v>264</v>
      </c>
      <c r="E9" t="inlineStr">
        <is>
          <t>—</t>
        </is>
      </c>
      <c r="F9" s="9" t="n">
        <v>333</v>
      </c>
      <c r="G9" s="9" t="n">
        <v>409</v>
      </c>
      <c r="H9" t="inlineStr">
        <is>
          <t>—</t>
        </is>
      </c>
    </row>
    <row r="10">
      <c r="A10" t="inlineStr">
        <is>
          <t>April</t>
        </is>
      </c>
      <c r="B10" s="9" t="n">
        <v>486</v>
      </c>
      <c r="C10" s="9" t="n">
        <v>581</v>
      </c>
      <c r="D10" s="9" t="n">
        <v>621</v>
      </c>
      <c r="E10" s="9" t="n">
        <v>518</v>
      </c>
      <c r="F10" s="9" t="n">
        <v>552</v>
      </c>
      <c r="G10" s="9" t="n">
        <v>488</v>
      </c>
      <c r="H10" t="inlineStr">
        <is>
          <t>—</t>
        </is>
      </c>
    </row>
    <row r="11">
      <c r="A11" t="inlineStr">
        <is>
          <t>May</t>
        </is>
      </c>
      <c r="B11" s="9" t="n">
        <v>545</v>
      </c>
      <c r="C11" s="9" t="n">
        <v>510</v>
      </c>
      <c r="D11" s="9" t="n">
        <v>700</v>
      </c>
      <c r="E11" s="9" t="n">
        <v>568</v>
      </c>
      <c r="F11" s="9" t="n">
        <v>528</v>
      </c>
      <c r="G11" s="9" t="n">
        <v>517</v>
      </c>
      <c r="H11" t="inlineStr">
        <is>
          <t>—</t>
        </is>
      </c>
    </row>
    <row r="12">
      <c r="A12" t="inlineStr">
        <is>
          <t>June</t>
        </is>
      </c>
      <c r="B12" s="9" t="n">
        <v>591</v>
      </c>
      <c r="C12" s="9" t="n">
        <v>499</v>
      </c>
      <c r="D12" s="9" t="n">
        <v>659</v>
      </c>
      <c r="E12" s="9" t="n">
        <v>667</v>
      </c>
      <c r="F12" s="9" t="n">
        <v>408</v>
      </c>
      <c r="G12" s="9" t="n">
        <v>541</v>
      </c>
      <c r="H12" s="9" t="n">
        <v>625</v>
      </c>
    </row>
    <row r="13">
      <c r="A13" t="inlineStr">
        <is>
          <t>July</t>
        </is>
      </c>
      <c r="B13" s="9" t="n">
        <v>578</v>
      </c>
      <c r="C13" s="9" t="n">
        <v>411</v>
      </c>
      <c r="D13" s="9" t="n">
        <v>718</v>
      </c>
      <c r="E13" s="9" t="n">
        <v>616</v>
      </c>
      <c r="F13" s="9" t="n">
        <v>458</v>
      </c>
      <c r="G13" s="9" t="n">
        <v>486</v>
      </c>
      <c r="H13" s="9" t="n">
        <v>584</v>
      </c>
    </row>
    <row r="14">
      <c r="A14" t="inlineStr">
        <is>
          <t>August</t>
        </is>
      </c>
      <c r="B14" s="9" t="n">
        <v>509</v>
      </c>
      <c r="C14" s="9" t="n">
        <v>363</v>
      </c>
      <c r="D14" s="9" t="n">
        <v>491</v>
      </c>
      <c r="E14" s="9" t="n">
        <v>436</v>
      </c>
      <c r="F14" s="9" t="n">
        <v>456</v>
      </c>
      <c r="G14" s="9" t="n">
        <v>555</v>
      </c>
      <c r="H14" s="9" t="n">
        <v>514</v>
      </c>
    </row>
    <row r="15">
      <c r="A15" t="inlineStr">
        <is>
          <t>September</t>
        </is>
      </c>
      <c r="B15" s="9" t="n">
        <v>430</v>
      </c>
      <c r="C15" s="9" t="n">
        <v>338</v>
      </c>
      <c r="D15" s="9" t="n">
        <v>445</v>
      </c>
      <c r="E15" s="9" t="n">
        <v>390</v>
      </c>
      <c r="F15" s="9" t="n">
        <v>333</v>
      </c>
      <c r="G15" s="9" t="n">
        <v>438</v>
      </c>
      <c r="H15" s="9" t="n">
        <v>407</v>
      </c>
    </row>
    <row r="16">
      <c r="A16" t="inlineStr">
        <is>
          <t>October</t>
        </is>
      </c>
      <c r="B16" s="9" t="n">
        <v>313</v>
      </c>
      <c r="C16" s="9" t="n">
        <v>312</v>
      </c>
      <c r="D16" s="9" t="n">
        <v>386</v>
      </c>
      <c r="E16" s="9" t="n">
        <v>344</v>
      </c>
      <c r="F16" s="9" t="n">
        <v>291</v>
      </c>
      <c r="G16" s="9" t="n">
        <v>352</v>
      </c>
      <c r="H16" s="9" t="n">
        <v>351</v>
      </c>
    </row>
    <row r="17">
      <c r="A17" t="inlineStr">
        <is>
          <t>November</t>
        </is>
      </c>
      <c r="B17" s="9" t="n">
        <v>194</v>
      </c>
      <c r="C17" s="9" t="n">
        <v>224</v>
      </c>
      <c r="D17" s="9" t="n">
        <v>305</v>
      </c>
      <c r="E17" s="9" t="n">
        <v>250</v>
      </c>
      <c r="F17" s="9" t="n">
        <v>293</v>
      </c>
      <c r="G17" s="9" t="n">
        <v>296</v>
      </c>
      <c r="H17" s="9" t="n">
        <v>208</v>
      </c>
    </row>
    <row r="18">
      <c r="A18" t="inlineStr">
        <is>
          <t>December</t>
        </is>
      </c>
      <c r="B18" s="9" t="n">
        <v>114</v>
      </c>
      <c r="C18" s="9" t="n">
        <v>212</v>
      </c>
      <c r="D18" s="9" t="n">
        <v>256</v>
      </c>
      <c r="E18" s="9" t="n">
        <v>220</v>
      </c>
      <c r="F18" s="9" t="n">
        <v>214</v>
      </c>
      <c r="G18" s="9" t="n">
        <v>268</v>
      </c>
      <c r="H18" s="9" t="n">
        <v>164</v>
      </c>
    </row>
    <row r="20">
      <c r="A20" s="2" t="inlineStr">
        <is>
          <t>Transcriber's notes</t>
        </is>
      </c>
    </row>
    <row r="21">
      <c r="A21" t="inlineStr">
        <is>
          <t>January–June on p. 47 (IMG_5479); July–December on p. 48 (IMG_5480) headed '(Continued)'. Merged.</t>
        </is>
      </c>
    </row>
    <row r="22">
      <c r="A22" t="inlineStr">
        <is>
          <t>No printed total.</t>
        </is>
      </c>
    </row>
  </sheetData>
  <hyperlinks>
    <hyperlink xmlns:r="http://schemas.openxmlformats.org/officeDocument/2006/relationships" ref="A4"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17. Direction of the Wind</t>
        </is>
      </c>
    </row>
    <row r="2">
      <c r="A2" t="inlineStr">
        <is>
          <t>Geography and Geology · printed pp. 49, 50</t>
        </is>
      </c>
    </row>
    <row r="3">
      <c r="A3" s="3" t="inlineStr">
        <is>
          <t>← Contents</t>
        </is>
      </c>
    </row>
    <row r="5">
      <c r="A5" s="5" t="inlineStr">
        <is>
          <t>Name of District</t>
        </is>
      </c>
      <c r="B5" s="5" t="inlineStr">
        <is>
          <t>Most Usual Direction of the Wind — January</t>
        </is>
      </c>
      <c r="C5" s="5" t="inlineStr">
        <is>
          <t>Most Usual Direction of the Wind — July</t>
        </is>
      </c>
      <c r="D5" s="5" t="inlineStr">
        <is>
          <t>Average Velocity (metres per Second) — January</t>
        </is>
      </c>
      <c r="E5" s="5" t="inlineStr">
        <is>
          <t>Average Velocity (metres per Second) — July</t>
        </is>
      </c>
      <c r="F5" s="5" t="inlineStr">
        <is>
          <t>Number of Stormy Days</t>
        </is>
      </c>
    </row>
    <row r="6">
      <c r="A6" t="inlineStr">
        <is>
          <t>Manchouli</t>
        </is>
      </c>
      <c r="B6" t="inlineStr">
        <is>
          <t>Southwesterly</t>
        </is>
      </c>
      <c r="C6" t="inlineStr">
        <is>
          <t>Easterly</t>
        </is>
      </c>
      <c r="D6" t="inlineStr">
        <is>
          <t>2.3 metres</t>
        </is>
      </c>
      <c r="E6" t="inlineStr">
        <is>
          <t>2.7 metres</t>
        </is>
      </c>
      <c r="F6" s="9" t="n">
        <v>7</v>
      </c>
    </row>
    <row r="7">
      <c r="A7" t="inlineStr">
        <is>
          <t>Hailar</t>
        </is>
      </c>
      <c r="B7" t="inlineStr">
        <is>
          <t>Westerly</t>
        </is>
      </c>
      <c r="C7" t="inlineStr">
        <is>
          <t>Westerly</t>
        </is>
      </c>
      <c r="D7" s="8" t="n">
        <v>1.1</v>
      </c>
      <c r="E7" s="8" t="n">
        <v>2</v>
      </c>
      <c r="F7" s="9" t="n">
        <v>3</v>
      </c>
    </row>
    <row r="8">
      <c r="A8" t="inlineStr">
        <is>
          <t>Mientuho</t>
        </is>
      </c>
      <c r="B8" t="inlineStr">
        <is>
          <t>Westerly</t>
        </is>
      </c>
      <c r="C8" t="inlineStr">
        <is>
          <t>Easterly</t>
        </is>
      </c>
      <c r="D8" s="8" t="n">
        <v>1.1</v>
      </c>
      <c r="E8" s="8" t="n">
        <v>2</v>
      </c>
      <c r="F8" s="9" t="n">
        <v>16</v>
      </c>
    </row>
    <row r="9">
      <c r="A9" t="inlineStr">
        <is>
          <t>Pukotu</t>
        </is>
      </c>
      <c r="B9" t="inlineStr">
        <is>
          <t>Northwesterly</t>
        </is>
      </c>
      <c r="C9" t="inlineStr">
        <is>
          <t>Easterly &amp; Southeasterly</t>
        </is>
      </c>
      <c r="D9" s="8" t="n">
        <v>3.7</v>
      </c>
      <c r="E9" s="8" t="n">
        <v>2.2</v>
      </c>
      <c r="F9" s="9" t="n">
        <v>19</v>
      </c>
    </row>
    <row r="10">
      <c r="A10" t="inlineStr">
        <is>
          <t>Chalantun</t>
        </is>
      </c>
      <c r="B10" t="inlineStr">
        <is>
          <t>Northwesterly</t>
        </is>
      </c>
      <c r="C10" t="inlineStr">
        <is>
          <t>Northerly</t>
        </is>
      </c>
      <c r="D10" s="8" t="n">
        <v>3.2</v>
      </c>
      <c r="E10" s="8" t="n">
        <v>2.3</v>
      </c>
      <c r="F10" s="9" t="n">
        <v>0</v>
      </c>
    </row>
    <row r="11">
      <c r="A11" t="inlineStr">
        <is>
          <t>Angangki</t>
        </is>
      </c>
      <c r="B11" t="inlineStr">
        <is>
          <t>Northwesterly</t>
        </is>
      </c>
      <c r="C11" t="inlineStr">
        <is>
          <t>Southwesterly</t>
        </is>
      </c>
      <c r="D11" s="8" t="n">
        <v>3.9</v>
      </c>
      <c r="E11" s="8" t="n">
        <v>4.8</v>
      </c>
      <c r="F11" s="9" t="n">
        <v>27</v>
      </c>
    </row>
    <row r="12">
      <c r="A12" t="inlineStr">
        <is>
          <t>Anta</t>
        </is>
      </c>
      <c r="B12" t="inlineStr">
        <is>
          <t>Westerly</t>
        </is>
      </c>
      <c r="C12" t="inlineStr">
        <is>
          <t>Southerly</t>
        </is>
      </c>
      <c r="D12" s="8" t="n">
        <v>3.6</v>
      </c>
      <c r="E12" s="8" t="n">
        <v>3.6</v>
      </c>
      <c r="F12" s="9" t="n">
        <v>9</v>
      </c>
    </row>
    <row r="13">
      <c r="A13" t="inlineStr">
        <is>
          <t>Harbin</t>
        </is>
      </c>
      <c r="B13" t="inlineStr">
        <is>
          <t>Westerly</t>
        </is>
      </c>
      <c r="C13" t="inlineStr">
        <is>
          <t>Southerly</t>
        </is>
      </c>
      <c r="D13" s="8" t="n">
        <v>5.3</v>
      </c>
      <c r="E13" s="8" t="n">
        <v>5.2</v>
      </c>
      <c r="F13" s="9" t="n">
        <v>13</v>
      </c>
    </row>
    <row r="14">
      <c r="A14" t="inlineStr">
        <is>
          <t>Yaomen</t>
        </is>
      </c>
      <c r="B14" t="inlineStr">
        <is>
          <t>Southwesterly &amp; Westerly</t>
        </is>
      </c>
      <c r="C14" t="inlineStr">
        <is>
          <t>Southwesterly</t>
        </is>
      </c>
      <c r="D14" s="8" t="n">
        <v>2.3</v>
      </c>
      <c r="E14" s="8" t="n">
        <v>3.2</v>
      </c>
      <c r="F14" s="9" t="n">
        <v>34</v>
      </c>
    </row>
    <row r="15">
      <c r="A15" t="inlineStr">
        <is>
          <t>Imienpo</t>
        </is>
      </c>
      <c r="B15" t="inlineStr">
        <is>
          <t>Southwesterly</t>
        </is>
      </c>
      <c r="C15" t="inlineStr">
        <is>
          <t>Southwesterly</t>
        </is>
      </c>
      <c r="D15" s="8" t="n">
        <v>3.5</v>
      </c>
      <c r="E15" s="8" t="n">
        <v>2.8</v>
      </c>
      <c r="F15" s="9" t="n">
        <v>11</v>
      </c>
    </row>
    <row r="16">
      <c r="A16" t="inlineStr">
        <is>
          <t>Mutankiang</t>
        </is>
      </c>
      <c r="B16" t="inlineStr">
        <is>
          <t>Southwesterly</t>
        </is>
      </c>
      <c r="C16" t="inlineStr">
        <is>
          <t>Southwesterly</t>
        </is>
      </c>
      <c r="D16" s="8" t="n">
        <v>2.3</v>
      </c>
      <c r="E16" s="8" t="n">
        <v>2.4</v>
      </c>
      <c r="F16" t="inlineStr">
        <is>
          <t>15 or less</t>
        </is>
      </c>
    </row>
    <row r="17">
      <c r="A17" t="inlineStr">
        <is>
          <t>Taipingling</t>
        </is>
      </c>
      <c r="B17" t="inlineStr">
        <is>
          <t>Northerly</t>
        </is>
      </c>
      <c r="C17" t="inlineStr">
        <is>
          <t>Southeasterly</t>
        </is>
      </c>
      <c r="D17" s="8" t="n">
        <v>4.5</v>
      </c>
      <c r="E17" s="8" t="n">
        <v>2.9</v>
      </c>
      <c r="F17" s="9" t="n">
        <v>7</v>
      </c>
    </row>
    <row r="18">
      <c r="A18" t="inlineStr">
        <is>
          <t>Yenki</t>
        </is>
      </c>
      <c r="B18" t="inlineStr">
        <is>
          <t>Westerly</t>
        </is>
      </c>
      <c r="C18" t="inlineStr">
        <is>
          <t>Northwesterly</t>
        </is>
      </c>
      <c r="D18" s="8" t="n">
        <v>3.1</v>
      </c>
      <c r="E18" s="8" t="n">
        <v>1.4</v>
      </c>
      <c r="F18" s="9" t="n">
        <v>16</v>
      </c>
    </row>
    <row r="19">
      <c r="A19" t="inlineStr">
        <is>
          <t>Sanhsing</t>
        </is>
      </c>
      <c r="B19" t="inlineStr">
        <is>
          <t>Southeasterly</t>
        </is>
      </c>
      <c r="C19" t="inlineStr">
        <is>
          <t>Southwesterly</t>
        </is>
      </c>
      <c r="D19" s="8" t="n">
        <v>3.6</v>
      </c>
      <c r="E19" s="8" t="n">
        <v>2.1</v>
      </c>
      <c r="F19" s="9" t="n">
        <v>9</v>
      </c>
    </row>
    <row r="20">
      <c r="A20" t="inlineStr">
        <is>
          <t>Hsinking</t>
        </is>
      </c>
      <c r="B20" t="inlineStr">
        <is>
          <t>Southwesterly</t>
        </is>
      </c>
      <c r="C20" t="inlineStr">
        <is>
          <t>Southeasterly</t>
        </is>
      </c>
      <c r="D20" s="8" t="n">
        <v>2.7</v>
      </c>
      <c r="E20" s="8" t="n">
        <v>2.2</v>
      </c>
      <c r="F20" s="9" t="n">
        <v>21</v>
      </c>
    </row>
    <row r="21">
      <c r="A21" t="inlineStr">
        <is>
          <t>Mukden</t>
        </is>
      </c>
      <c r="B21" t="inlineStr">
        <is>
          <t>Northerly</t>
        </is>
      </c>
      <c r="C21" t="inlineStr">
        <is>
          <t>Southerly</t>
        </is>
      </c>
      <c r="D21" s="8" t="n">
        <v>2.1</v>
      </c>
      <c r="E21" s="8" t="n">
        <v>1.9</v>
      </c>
      <c r="F21" s="9" t="n">
        <v>6</v>
      </c>
    </row>
    <row r="22">
      <c r="A22" t="inlineStr">
        <is>
          <t>Dairen</t>
        </is>
      </c>
      <c r="B22" t="inlineStr">
        <is>
          <t>Northerly</t>
        </is>
      </c>
      <c r="C22" t="inlineStr">
        <is>
          <t>Southerly</t>
        </is>
      </c>
      <c r="D22" s="8" t="n">
        <v>5.2</v>
      </c>
      <c r="E22" s="8" t="n">
        <v>4.9</v>
      </c>
      <c r="F22" s="9" t="n">
        <v>121</v>
      </c>
    </row>
    <row r="23">
      <c r="A23" t="inlineStr">
        <is>
          <t>Vladivostok</t>
        </is>
      </c>
      <c r="B23" t="inlineStr">
        <is>
          <t>Southwesterly</t>
        </is>
      </c>
      <c r="C23" t="inlineStr">
        <is>
          <t>Southwesterly</t>
        </is>
      </c>
      <c r="D23" s="8" t="n">
        <v>8.4</v>
      </c>
      <c r="E23" s="8" t="n">
        <v>7.2</v>
      </c>
      <c r="F23" s="9" t="n">
        <v>93</v>
      </c>
    </row>
    <row r="25">
      <c r="A25" s="2" t="inlineStr">
        <is>
          <t>Transcriber's notes</t>
        </is>
      </c>
    </row>
    <row r="26">
      <c r="A26" t="inlineStr">
        <is>
          <t>Manchouli through Mutankiang on p. 49 (IMG_5480); Taipingling through Vladivostok on p. 50 (IMG_5481) headed '(Continued)'. Merged.</t>
        </is>
      </c>
    </row>
    <row r="27">
      <c r="A27" t="inlineStr">
        <is>
          <t>Manchouli velocities printed with unit '2.3 metres', '2.7 metres'; other rows bare figures.</t>
        </is>
      </c>
    </row>
    <row r="28">
      <c r="A28" t="inlineStr">
        <is>
          <t>Row 'Dairen', Stormy Days: '121' — middle digit slightly smudged but reads 121.</t>
        </is>
      </c>
    </row>
    <row r="29">
      <c r="A29" t="inlineStr">
        <is>
          <t>No printed total.</t>
        </is>
      </c>
    </row>
  </sheetData>
  <hyperlinks>
    <hyperlink xmlns:r="http://schemas.openxmlformats.org/officeDocument/2006/relationships" ref="A3" r:id="rId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18. Geologic Formation of Manchuria</t>
        </is>
      </c>
    </row>
    <row r="2">
      <c r="A2" t="inlineStr">
        <is>
          <t>Geography and Geology · printed pp. 53</t>
        </is>
      </c>
    </row>
    <row r="3">
      <c r="A3" t="inlineStr">
        <is>
          <t>Chiefly based on the report by Professor Murakami</t>
        </is>
      </c>
    </row>
    <row r="4">
      <c r="A4" s="3" t="inlineStr">
        <is>
          <t>← Contents</t>
        </is>
      </c>
    </row>
    <row r="6">
      <c r="A6" s="5" t="inlineStr">
        <is>
          <t>Geological Period</t>
        </is>
      </c>
      <c r="B6" s="5" t="inlineStr">
        <is>
          <t>Principal Rocks</t>
        </is>
      </c>
      <c r="C6" s="5" t="inlineStr">
        <is>
          <t>Principal Fossils</t>
        </is>
      </c>
    </row>
    <row r="7">
      <c r="A7" t="inlineStr">
        <is>
          <t>Cainozoic Era:</t>
        </is>
      </c>
      <c r="B7" t="inlineStr"/>
      <c r="C7" t="inlineStr"/>
    </row>
    <row r="8">
      <c r="A8" t="inlineStr">
        <is>
          <t>Quarternary Period</t>
        </is>
      </c>
      <c r="B8" t="inlineStr">
        <is>
          <t>Sands, gravels, clays loess, basalts</t>
        </is>
      </c>
      <c r="C8" t="inlineStr">
        <is>
          <t>Mammoth, bison, deer, reindeer elks, rhinoceros</t>
        </is>
      </c>
    </row>
    <row r="9">
      <c r="A9" t="inlineStr">
        <is>
          <t>Tertiary Period</t>
        </is>
      </c>
      <c r="B9" t="inlineStr">
        <is>
          <t>Shales, sandstones, tuffs, basalts, trachyte, andesite</t>
        </is>
      </c>
      <c r="C9" t="inlineStr">
        <is>
          <t>Ferns, sago-palms, Glyptostrobus, Comtoriphyllum, Populus, insects, spiders, tortoise, fresh-water fishes, etc.</t>
        </is>
      </c>
    </row>
    <row r="10">
      <c r="A10" t="inlineStr">
        <is>
          <t>Mesozoic Era:</t>
        </is>
      </c>
      <c r="B10" t="inlineStr"/>
      <c r="C10" t="inlineStr"/>
    </row>
    <row r="11">
      <c r="A11" t="inlineStr">
        <is>
          <t>Cretaceous Period</t>
        </is>
      </c>
      <c r="B11" t="inlineStr">
        <is>
          <t>Sandstones, shales</t>
        </is>
      </c>
      <c r="C11" t="inlineStr">
        <is>
          <t>Eggs of sea-turtles, fresh-water fishes, etc.</t>
        </is>
      </c>
    </row>
    <row r="12">
      <c r="A12" t="inlineStr">
        <is>
          <t>Jurassic Period</t>
        </is>
      </c>
      <c r="B12" t="inlineStr">
        <is>
          <t>Sandstones, shales, marls, conglomerates, coals, granite-porphyry, quartz-porphyry, liparite</t>
        </is>
      </c>
      <c r="C12" t="inlineStr">
        <is>
          <t>Ferns, sago-palms, gingo-trees, conifers, bivalves, primordial mammals, etc.</t>
        </is>
      </c>
    </row>
    <row r="13">
      <c r="A13" t="inlineStr">
        <is>
          <t>Triassic Period</t>
        </is>
      </c>
      <c r="B13" t="inlineStr">
        <is>
          <t>(Wanting)</t>
        </is>
      </c>
      <c r="C13" t="inlineStr"/>
    </row>
    <row r="14">
      <c r="A14" t="inlineStr">
        <is>
          <t>Palaeozoic Era:</t>
        </is>
      </c>
      <c r="B14" t="inlineStr"/>
      <c r="C14" t="inlineStr"/>
    </row>
    <row r="15">
      <c r="A15" t="inlineStr">
        <is>
          <t>Permian Period</t>
        </is>
      </c>
      <c r="B15" t="inlineStr">
        <is>
          <t>Limestone, sandstones, shales, coals</t>
        </is>
      </c>
      <c r="C15" t="inlineStr">
        <is>
          <t>Lepidodendron, Sphenopteris, cordaites, Fusulia japonica, crinoids, corals, etc.</t>
        </is>
      </c>
    </row>
    <row r="16">
      <c r="A16" t="inlineStr">
        <is>
          <t>Sub-carboniferous Period; Silurian Period; Devonian Period; Ordovician Period</t>
        </is>
      </c>
      <c r="B16" t="inlineStr">
        <is>
          <t>(Wanting)</t>
        </is>
      </c>
      <c r="C16" t="inlineStr"/>
    </row>
    <row r="17">
      <c r="A17" t="inlineStr"/>
      <c r="B17" t="inlineStr">
        <is>
          <t>Limestone, shales, clay-slates, marls, sandstones</t>
        </is>
      </c>
      <c r="C17" t="inlineStr">
        <is>
          <t>Cephalopods (orthoceras, etc.), gasteropods (maelurea, etc.), brachiopods (Obolus, etc.), trilobites (Ptychasyis), fucoids.</t>
        </is>
      </c>
    </row>
    <row r="18">
      <c r="A18" t="inlineStr">
        <is>
          <t>Cambrian Period</t>
        </is>
      </c>
      <c r="B18" t="inlineStr">
        <is>
          <t>Limestone, marls, shales, clay-slates, sandstones, conglomerates, gabbro, Granites, porphyrites</t>
        </is>
      </c>
      <c r="C18" t="inlineStr">
        <is>
          <t>Brachiopods (obolus, obolleta, etc.), pteropods, lamelli branchia, gasteropods (more than 70 species), trilobites, etc.</t>
        </is>
      </c>
    </row>
    <row r="19">
      <c r="A19" t="inlineStr">
        <is>
          <t>Protozoic Era</t>
        </is>
      </c>
      <c r="B19" t="inlineStr">
        <is>
          <t>Crystalline schists, silica, clay-slates, Lydian stone, limestone, dolomite, ironstones, Granites, gabbro</t>
        </is>
      </c>
      <c r="C19" t="inlineStr">
        <is>
          <t>Fucoids</t>
        </is>
      </c>
    </row>
    <row r="20">
      <c r="A20" t="inlineStr">
        <is>
          <t>Archaean Era</t>
        </is>
      </c>
      <c r="B20" t="inlineStr">
        <is>
          <t>Gneisses, crystalline schists, silica, crystalline limestone, granites</t>
        </is>
      </c>
      <c r="C20" t="inlineStr"/>
    </row>
    <row r="22">
      <c r="A22" s="2" t="inlineStr">
        <is>
          <t>Transcriber's notes</t>
        </is>
      </c>
    </row>
    <row r="23">
      <c r="A23" t="inlineStr">
        <is>
          <t>Era headings ('Cainozoic Era:' etc.) are heading rows.</t>
        </is>
      </c>
    </row>
    <row r="24">
      <c r="A24" t="inlineStr">
        <is>
          <t>Sub-carboniferous, Silurian, Devonian and Ordovician Periods are printed as four lines joined by a single brace to '(Wanting)'; kept as one row. Immediately below, a row of rocks/fossils ('Limestone, shales, clay-slates...') is printed with no period name in the first column. By position and content it probably belongs to the Ordovician Period (the text on p. 51 lists only Silurian, Devonian, sub-carboniferous and Triassic as absent), but as printed Ordovician is inside the '(Wanting)' brace; recorded as printed with an empty period cell.</t>
        </is>
      </c>
    </row>
    <row r="25">
      <c r="A25" t="inlineStr">
        <is>
          <t>Words hyphenated at line ends joined (e.g. 'rein-deer' -&gt; 'reindeer', 'Glyptostro-bus' -&gt; 'Glyptostrobus', 'fu-coids' -&gt; 'fucoids'); genuine hyphens kept (fresh-water, sago-palms, granite-porphyry, clay-slates, gingo-trees).</t>
        </is>
      </c>
    </row>
    <row r="26">
      <c r="A26" t="inlineStr">
        <is>
          <t>Spellings as printed: 'Quarternary', 'Comtoriphyllum', 'Fusulia', 'maelurea', 'Ptychasyis', 'obolleta', 'lamelli branchia', 'gingo-trees', 'clays loess' (no comma).</t>
        </is>
      </c>
    </row>
    <row r="27">
      <c r="A27" t="inlineStr">
        <is>
          <t>Stray full stop after 'Fucoids' in print omitted.</t>
        </is>
      </c>
    </row>
    <row r="28">
      <c r="A28" t="inlineStr">
        <is>
          <t>No figures or totals.</t>
        </is>
      </c>
    </row>
  </sheetData>
  <hyperlinks>
    <hyperlink xmlns:r="http://schemas.openxmlformats.org/officeDocument/2006/relationships" ref="A4" r:id="rId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19. Geologic Formation of Mongolia</t>
        </is>
      </c>
    </row>
    <row r="2">
      <c r="A2" t="inlineStr">
        <is>
          <t>Geography and Geology · printed pp. 54</t>
        </is>
      </c>
    </row>
    <row r="3">
      <c r="A3" s="3" t="inlineStr">
        <is>
          <t>← Contents</t>
        </is>
      </c>
    </row>
    <row r="5">
      <c r="A5" s="5" t="inlineStr">
        <is>
          <t>Geological Period</t>
        </is>
      </c>
      <c r="B5" s="5" t="inlineStr">
        <is>
          <t>Principal Rocks</t>
        </is>
      </c>
      <c r="C5" s="5" t="inlineStr">
        <is>
          <t>Thickness in meters</t>
        </is>
      </c>
      <c r="D5" s="5" t="inlineStr">
        <is>
          <t>Principal Fossils</t>
        </is>
      </c>
    </row>
    <row r="6">
      <c r="A6" t="inlineStr">
        <is>
          <t>Cainozoic Era:</t>
        </is>
      </c>
      <c r="B6" t="inlineStr"/>
      <c r="C6" t="inlineStr"/>
      <c r="D6" t="inlineStr"/>
    </row>
    <row r="7">
      <c r="A7" t="inlineStr">
        <is>
          <t>Quarternary Period — Alluvium</t>
        </is>
      </c>
      <c r="B7" t="inlineStr">
        <is>
          <t>Sands, Gravels, Clays, Lacustrine deposits, Loess</t>
        </is>
      </c>
      <c r="C7" t="inlineStr">
        <is>
          <t>1–30</t>
        </is>
      </c>
      <c r="D7" t="inlineStr"/>
    </row>
    <row r="8">
      <c r="A8" t="inlineStr">
        <is>
          <t>Quarternary Period — Diluvium</t>
        </is>
      </c>
      <c r="B8" t="inlineStr">
        <is>
          <t>Sands, Clays, Gravels, Loess, Volcanic products</t>
        </is>
      </c>
      <c r="C8" t="inlineStr">
        <is>
          <t>30–300</t>
        </is>
      </c>
      <c r="D8" t="inlineStr">
        <is>
          <t>Elephas antiquus, horses, rhinoceros, etc.</t>
        </is>
      </c>
    </row>
    <row r="9">
      <c r="A9" t="inlineStr">
        <is>
          <t>Tertiary Period</t>
        </is>
      </c>
      <c r="B9" t="inlineStr">
        <is>
          <t>Clay, Silt, Sands, Gravels, Shales, Basalts</t>
        </is>
      </c>
      <c r="C9" s="6" t="n">
        <v>1200</v>
      </c>
      <c r="D9" t="inlineStr">
        <is>
          <t>Elephas antiquus, rhinoceros, boars, hipparion, serridentius, boluchitherum, Menodus, Protitanotherium, Teilhardia, Eudinoceras, Schlosseaia, Paleostylops</t>
        </is>
      </c>
    </row>
    <row r="10">
      <c r="A10" t="inlineStr">
        <is>
          <t>Mesozoic Era:</t>
        </is>
      </c>
      <c r="B10" t="inlineStr"/>
      <c r="C10" t="inlineStr"/>
      <c r="D10" t="inlineStr"/>
    </row>
    <row r="11">
      <c r="A11" t="inlineStr">
        <is>
          <t>Cretaceous Period</t>
        </is>
      </c>
      <c r="B11" t="inlineStr">
        <is>
          <t>Granular red sandstone, Clays, Sands, Shales, Granites, Phorphyries, etc.</t>
        </is>
      </c>
      <c r="C11" t="inlineStr">
        <is>
          <t>300–600</t>
        </is>
      </c>
      <c r="D11" t="inlineStr">
        <is>
          <t>Protoceratops, Ignanodontia, Prodeinodon, Protiguanodon, fresh-water shells, etc.</t>
        </is>
      </c>
    </row>
    <row r="12">
      <c r="A12" t="inlineStr">
        <is>
          <t>Jurassic Period</t>
        </is>
      </c>
      <c r="B12" t="inlineStr">
        <is>
          <t>Conglomerates, Sandstones, Shales, Marls, Coals, Eruptive blocks, granites, Porphyries, etc.</t>
        </is>
      </c>
      <c r="C12" t="inlineStr">
        <is>
          <t>150–3,000</t>
        </is>
      </c>
      <c r="D12" t="inlineStr">
        <is>
          <t>Small fragmentary botanical fossils</t>
        </is>
      </c>
    </row>
    <row r="13">
      <c r="A13" t="inlineStr">
        <is>
          <t>Palaeozoic Era:</t>
        </is>
      </c>
      <c r="B13" t="inlineStr"/>
      <c r="C13" t="inlineStr"/>
      <c r="D13" t="inlineStr"/>
    </row>
    <row r="14">
      <c r="A14" t="inlineStr">
        <is>
          <t>Permian Period</t>
        </is>
      </c>
      <c r="B14" t="inlineStr">
        <is>
          <t>Conglomerates, Sandstones, Shales, Limestones, Marls, Granites, etc.</t>
        </is>
      </c>
      <c r="C14" t="inlineStr">
        <is>
          <t>15–600</t>
        </is>
      </c>
      <c r="D14" t="inlineStr">
        <is>
          <t>Productus, Orthotychia, Martinia, Lyttonia, Spirifer, Spiriferella, Streptorhynchus, Camarophoria, Hemiptychina, Enteleles, Marginifera, etc.</t>
        </is>
      </c>
    </row>
    <row r="15">
      <c r="A15" t="inlineStr">
        <is>
          <t>Dinantian Period</t>
        </is>
      </c>
      <c r="B15" t="inlineStr">
        <is>
          <t>Conglomerates, Sandstones, Clay-slates, Limestones, Dolomites, Batholites of Granite, Intrusive Rocks, etc.</t>
        </is>
      </c>
      <c r="C15" t="inlineStr">
        <is>
          <t>15–300</t>
        </is>
      </c>
      <c r="D15" t="inlineStr">
        <is>
          <t>?</t>
        </is>
      </c>
    </row>
    <row r="16">
      <c r="A16" t="inlineStr">
        <is>
          <t>Protozoic Era:</t>
        </is>
      </c>
      <c r="B16" t="inlineStr"/>
      <c r="C16" t="inlineStr"/>
      <c r="D16" t="inlineStr"/>
    </row>
    <row r="17">
      <c r="A17" t="inlineStr">
        <is>
          <t>Older (Huanhai System)</t>
        </is>
      </c>
      <c r="B17" t="inlineStr">
        <is>
          <t>Grits, Clay-slates, Igneous Rocks, Veins &amp; Stocks</t>
        </is>
      </c>
      <c r="C17" t="inlineStr">
        <is>
          <t>3,000–6,000</t>
        </is>
      </c>
      <c r="D17" t="inlineStr">
        <is>
          <t>?</t>
        </is>
      </c>
    </row>
    <row r="18">
      <c r="A18" t="inlineStr">
        <is>
          <t>Newer (Wutai System)</t>
        </is>
      </c>
      <c r="B18" t="inlineStr">
        <is>
          <t>Crystalline-schists, Phyllites, Limestones, Dolomites, Quartzite, Greenstones, Intrusive Igneous Rocks, etc.</t>
        </is>
      </c>
      <c r="C18" t="inlineStr">
        <is>
          <t>?</t>
        </is>
      </c>
      <c r="D18" t="inlineStr"/>
    </row>
    <row r="19">
      <c r="A19" t="inlineStr">
        <is>
          <t>Archaean Era: (Taishan System)</t>
        </is>
      </c>
      <c r="B19" t="inlineStr">
        <is>
          <t>Crystalline Limestone, Crystalline-schists, Gneisses, Intrusive Igneous Rocks, etc.</t>
        </is>
      </c>
      <c r="C19" t="inlineStr">
        <is>
          <t>?</t>
        </is>
      </c>
      <c r="D19" t="inlineStr"/>
    </row>
    <row r="21">
      <c r="A21" s="2" t="inlineStr">
        <is>
          <t>Transcriber's notes</t>
        </is>
      </c>
    </row>
    <row r="22">
      <c r="A22" t="inlineStr">
        <is>
          <t>'Quarternary Period' is printed with a brace to two sub-rows 'Alluvium' and 'Diluvium'; flattened as 'Quarternary Period — Alluvium/Diluvium'. Era headings are heading rows.</t>
        </is>
      </c>
    </row>
    <row r="23">
      <c r="A23" t="inlineStr">
        <is>
          <t>'?' = a bold query mark printed in the cell (Dinantian and Older (Huanhai) fossils; Newer (Wutai) and Archaean thickness).</t>
        </is>
      </c>
    </row>
    <row r="24">
      <c r="A24" t="inlineStr">
        <is>
          <t>The right edge of the Principal Fossils column runs into the book gutter; the line-end fragments are compressed but were read: 'horses,', 'rhinoce-', 'ser-', 'boluchitherum,', 'Protitanothe-', 'Eudi-', 'Pa-', 'Ignanodon-', 'Proti-', 'fresh-water', 'bota-', 'Orthotychia,', 'Spiri-', 'Strep-', 'Camarapho-', 'En-', 'etc.'. 'Orthotychia' final letters are the least certain.</t>
        </is>
      </c>
    </row>
    <row r="25">
      <c r="A25" t="inlineStr">
        <is>
          <t>Words hyphenated at line ends joined; spellings as printed ('Quarternary', 'Phorphyries', 'serridentius', 'boluchitherum', 'Schlosseaia', 'Paleostylops', 'Ignanodontia', 'Enteleles').</t>
        </is>
      </c>
    </row>
    <row r="26">
      <c r="A26" t="inlineStr">
        <is>
          <t>No totals.</t>
        </is>
      </c>
    </row>
  </sheetData>
  <hyperlinks>
    <hyperlink xmlns:r="http://schemas.openxmlformats.org/officeDocument/2006/relationships" ref="A3" r:id="rId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7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Chronology of Important Events</t>
        </is>
      </c>
    </row>
    <row r="2">
      <c r="A2" t="inlineStr">
        <is>
          <t>History · printed pp. 105, 106, 107, 108, 109, 110, 111, 112, 113, 114, 115, 116</t>
        </is>
      </c>
    </row>
    <row r="3">
      <c r="A3" s="3" t="inlineStr">
        <is>
          <t>← Contents</t>
        </is>
      </c>
    </row>
    <row r="5">
      <c r="A5" s="5" t="inlineStr">
        <is>
          <t>Year</t>
        </is>
      </c>
      <c r="B5" s="5" t="inlineStr">
        <is>
          <t>Event</t>
        </is>
      </c>
    </row>
    <row r="6">
      <c r="A6" s="9" t="n">
        <v>1616</v>
      </c>
      <c r="B6" t="inlineStr">
        <is>
          <t>Establishment of Ching dynasty.</t>
        </is>
      </c>
    </row>
    <row r="7">
      <c r="A7" s="9" t="n">
        <v>1643</v>
      </c>
      <c r="B7" t="inlineStr">
        <is>
          <t>Russian exploring party reaches the upper stream of the Amur.</t>
        </is>
      </c>
    </row>
    <row r="8">
      <c r="A8" s="9" t="n">
        <v>1644</v>
      </c>
      <c r="B8" t="inlineStr">
        <is>
          <t>Accession of the Emperor Kanghsi at Peking.</t>
        </is>
      </c>
    </row>
    <row r="9">
      <c r="A9" s="9" t="n">
        <v>1655</v>
      </c>
      <c r="B9" t="inlineStr">
        <is>
          <t>Russia sends her first envoy to Peking.</t>
        </is>
      </c>
    </row>
    <row r="10">
      <c r="A10" s="9" t="n">
        <v>1689</v>
      </c>
      <c r="B10" t="inlineStr">
        <is>
          <t>“Treaty of Nertchinsk” concluded, fixing the border between Russia and China as a line drawn from the Amur River along the Yablonoi and Stanovoi ranges, north-eastward to the Sea of Okhotsk.</t>
        </is>
      </c>
    </row>
    <row r="11">
      <c r="A11" s="9" t="n">
        <v>1691</v>
      </c>
      <c r="B11" t="inlineStr">
        <is>
          <t>The Emperor Kanghsi inspects outer Mongolia.</t>
        </is>
      </c>
    </row>
    <row r="12">
      <c r="A12" s="9" t="n">
        <v>1707</v>
      </c>
      <c r="B12" t="inlineStr">
        <is>
          <t>Kamchatka becomes Russian territory.</t>
        </is>
      </c>
    </row>
    <row r="13">
      <c r="A13" s="9" t="n">
        <v>1720</v>
      </c>
      <c r="B13" t="inlineStr">
        <is>
          <t>Trading at Kulun is first allowed to Russians.</t>
        </is>
      </c>
    </row>
    <row r="14">
      <c r="A14" s="9" t="n">
        <v>1722</v>
      </c>
      <c r="B14" t="inlineStr">
        <is>
          <t>Accession of the Emperor Yungcheng.</t>
        </is>
      </c>
    </row>
    <row r="15">
      <c r="A15" s="9" t="n">
        <v>1736</v>
      </c>
      <c r="B15" t="inlineStr">
        <is>
          <t>Accession of the Emperor Chienlung.</t>
        </is>
      </c>
    </row>
    <row r="16">
      <c r="A16" s="9" t="n">
        <v>1740</v>
      </c>
      <c r="B16" t="inlineStr">
        <is>
          <t>Immigration of Chinese into Manchuria prohibited.</t>
        </is>
      </c>
    </row>
    <row r="17">
      <c r="A17" s="9" t="n">
        <v>1750</v>
      </c>
      <c r="B17" t="inlineStr">
        <is>
          <t>Immigration of Chinese again prohibited.</t>
        </is>
      </c>
    </row>
    <row r="18">
      <c r="A18" s="9" t="n">
        <v>1768</v>
      </c>
      <c r="B18" t="inlineStr">
        <is>
          <t>Russians come to Kiakhta for trading.</t>
        </is>
      </c>
    </row>
    <row r="19">
      <c r="A19" s="9" t="n">
        <v>1796</v>
      </c>
      <c r="B19" t="inlineStr">
        <is>
          <t>Accession of Emperor Chiayang.</t>
        </is>
      </c>
    </row>
    <row r="20">
      <c r="A20" s="9" t="n">
        <v>1821</v>
      </c>
      <c r="B20" t="inlineStr">
        <is>
          <t>Accession of Emperor Taokuang.</t>
        </is>
      </c>
    </row>
    <row r="21">
      <c r="A21" s="9" t="n">
        <v>1842</v>
      </c>
      <c r="B21" t="inlineStr">
        <is>
          <t>“Treaty of Nanking,” (ending the ‘Opium War’).</t>
        </is>
      </c>
    </row>
    <row r="22">
      <c r="A22" s="9" t="n">
        <v>1847</v>
      </c>
      <c r="B22" t="inlineStr">
        <is>
          <t>Count Muraviev appointed Governor-General of Eastern Siberia.</t>
        </is>
      </c>
    </row>
    <row r="23">
      <c r="A23" t="inlineStr">
        <is>
          <t>1850-64</t>
        </is>
      </c>
      <c r="B23" t="inlineStr">
        <is>
          <t>Taiping Rebellion.</t>
        </is>
      </c>
    </row>
    <row r="24">
      <c r="A24" s="9" t="n">
        <v>1851</v>
      </c>
      <c r="B24" t="inlineStr">
        <is>
          <t>Accession of the Emperor Hsienfeng.</t>
        </is>
      </c>
    </row>
    <row r="25">
      <c r="A25" s="9" t="n">
        <v>1854</v>
      </c>
      <c r="B25" t="inlineStr">
        <is>
          <t>Count Muraviev descends the Amur River with one thousand soldiers, without obtaining the permission of China.</t>
        </is>
      </c>
    </row>
    <row r="26">
      <c r="A26" s="9" t="n">
        <v>1856</v>
      </c>
      <c r="B26" t="inlineStr">
        <is>
          <t>Great Britain nad France declare war against China.</t>
        </is>
      </c>
    </row>
    <row r="27">
      <c r="A27" s="9" t="n">
        <v>1858</v>
      </c>
      <c r="B27" t="inlineStr">
        <is>
          <t>The “Treaty of Aigun” signed between Russia and China (May 16/28), recognizing the left bank of the Amur River, as Russian, and the territory between the right bank of the Ussuri River and the sea as common territory between the two countries.</t>
        </is>
      </c>
    </row>
    <row r="28">
      <c r="A28" t="inlineStr">
        <is>
          <t>„</t>
        </is>
      </c>
      <c r="B28" t="inlineStr">
        <is>
          <t>Tientsin Treaty” concluded between Russia and China (June 13).</t>
        </is>
      </c>
    </row>
    <row r="29">
      <c r="A29" t="inlineStr">
        <is>
          <t>„</t>
        </is>
      </c>
      <c r="B29" t="inlineStr">
        <is>
          <t>“Tientsin Treaty” between Great Britain and China signed (June 26).</t>
        </is>
      </c>
    </row>
    <row r="30">
      <c r="A30" s="9" t="n">
        <v>1860</v>
      </c>
      <c r="B30" t="inlineStr">
        <is>
          <t>British and French troops enter Peking.</t>
        </is>
      </c>
    </row>
    <row r="31">
      <c r="A31" t="inlineStr">
        <is>
          <t>„</t>
        </is>
      </c>
      <c r="B31" t="inlineStr">
        <is>
          <t>By “Peking Treaty” (Nov. 2/14), Russia acquires the territory on the right bank of the Ussuri River.</t>
        </is>
      </c>
    </row>
    <row r="32">
      <c r="A32" t="inlineStr">
        <is>
          <t>1894-95</t>
        </is>
      </c>
      <c r="B32" t="inlineStr">
        <is>
          <t>Sino-Japanese War.</t>
        </is>
      </c>
    </row>
    <row r="33">
      <c r="A33" s="9" t="n">
        <v>1895</v>
      </c>
      <c r="B33" t="inlineStr">
        <is>
          <t>“Treaty of Shimonoseki” concluded between Japan and China (April 17).</t>
        </is>
      </c>
    </row>
    <row r="34">
      <c r="A34" t="inlineStr">
        <is>
          <t>„</t>
        </is>
      </c>
      <c r="B34" t="inlineStr">
        <is>
          <t>By intervention of Russia, Germany and France (April 23), Japan obliged to announce retrocession of Liaotung peninsula (July 19).</t>
        </is>
      </c>
    </row>
    <row r="35">
      <c r="A35" t="inlineStr">
        <is>
          <t>„</t>
        </is>
      </c>
      <c r="B35" t="inlineStr">
        <is>
          <t>Russo-Chinese Bank established with a capital of 15,000,000 rubles (Dec. 28).</t>
        </is>
      </c>
    </row>
    <row r="36">
      <c r="A36" s="9" t="n">
        <v>1896</v>
      </c>
      <c r="B36" t="inlineStr">
        <is>
          <t>Treaty of Alliance between Russia and China (“Li-Lobanov Agreement”). (May 22).</t>
        </is>
      </c>
    </row>
    <row r="37">
      <c r="A37" t="inlineStr">
        <is>
          <t>„</t>
        </is>
      </c>
      <c r="B37" t="inlineStr">
        <is>
          <t>“Contract for Construction and Operation of Chinese Eastern Railway” signed (Sept. 8), Russia obtains the right of constructing the C.E.R. through Kirin and Heilungkiang Provinces to connect Chita and Vladistok by a nearly straight railway line.</t>
        </is>
      </c>
    </row>
    <row r="38">
      <c r="A38" t="inlineStr">
        <is>
          <t>„</t>
        </is>
      </c>
      <c r="B38" t="inlineStr">
        <is>
          <t>Chinese Eastern Railway Company is established (Dec. 16).</t>
        </is>
      </c>
    </row>
    <row r="39">
      <c r="A39" s="9" t="n">
        <v>1898</v>
      </c>
      <c r="B39" t="inlineStr">
        <is>
          <t>Germany acquires the lease of Kiaochow (March 6).</t>
        </is>
      </c>
    </row>
    <row r="40">
      <c r="A40" t="inlineStr"/>
      <c r="B40" t="inlineStr">
        <is>
          <t>Russia obtains twenty-five years’ lease of Liaotung peninsula (March 27).</t>
        </is>
      </c>
    </row>
    <row r="41">
      <c r="A41" s="9" t="n">
        <v>1898</v>
      </c>
      <c r="B41" t="inlineStr">
        <is>
          <t>“Preliminary Loan Agreement for Peking-Newchwang Railway” signed by Hongkong and Shanghai Banking Corporation and China (June 7).</t>
        </is>
      </c>
    </row>
    <row r="42">
      <c r="A42" t="inlineStr">
        <is>
          <t>„</t>
        </is>
      </c>
      <c r="B42" t="inlineStr">
        <is>
          <t>Great Britain acquires lease of Weihaiwei (July 1).</t>
        </is>
      </c>
    </row>
    <row r="43">
      <c r="A43" t="inlineStr">
        <is>
          <t>„</t>
        </is>
      </c>
      <c r="B43" t="inlineStr">
        <is>
          <t>By the “Agreement concerning Southern Branch of Chinese Eastern Railway” Russia obtains the right to construct a railway which connects the C.E.R. to Liaotung peninsula (July 6). (Construction completed in 1902).</t>
        </is>
      </c>
    </row>
    <row r="44">
      <c r="A44" t="inlineStr">
        <is>
          <t>„</t>
        </is>
      </c>
      <c r="B44" t="inlineStr">
        <is>
          <t>“Shanhaikwan-Newchwang Railway Loan Agreement” signed by British and Chinese Corporation, Ltd. and China (Oct. 10.).</t>
        </is>
      </c>
    </row>
    <row r="45">
      <c r="A45" s="9" t="n">
        <v>1899</v>
      </c>
      <c r="B45" t="inlineStr">
        <is>
          <t>Russia and Great Britain exchange “Notes regarding Railway Interests in China” (April 28).</t>
        </is>
      </c>
    </row>
    <row r="46">
      <c r="A46" t="inlineStr">
        <is>
          <t>„</t>
        </is>
      </c>
      <c r="B46" t="inlineStr">
        <is>
          <t>Exchange of “Notes between Russia and China with regard to Railways Northward and North-eastward from Peking” (June 17).</t>
        </is>
      </c>
    </row>
    <row r="47">
      <c r="A47" t="inlineStr">
        <is>
          <t>„</t>
        </is>
      </c>
      <c r="B47" t="inlineStr">
        <is>
          <t>By an Imperial order Russia announces to create Dalny a free port (August 11).</t>
        </is>
      </c>
    </row>
    <row r="48">
      <c r="A48" t="inlineStr">
        <is>
          <t>„</t>
        </is>
      </c>
      <c r="B48" t="inlineStr">
        <is>
          <t>John Hay proposes ‘Open Door’ in China (Sept.-Nov.).</t>
        </is>
      </c>
    </row>
    <row r="49">
      <c r="A49" s="9" t="n">
        <v>1900</v>
      </c>
      <c r="B49" t="inlineStr">
        <is>
          <t>The Boxer Rebellion.</t>
        </is>
      </c>
    </row>
    <row r="50">
      <c r="A50" s="9" t="n">
        <v>1902</v>
      </c>
      <c r="B50" t="inlineStr">
        <is>
          <t>Agreement relating to China and Korea reached between Japan and Great Britain (Jan. 30) (“First Anglo-Japanese Alliance”).</t>
        </is>
      </c>
    </row>
    <row r="51">
      <c r="A51" t="inlineStr">
        <is>
          <t>„</t>
        </is>
      </c>
      <c r="B51" t="inlineStr">
        <is>
          <t>Convention between Russia and China in regard to Manchuria signed (April 8).</t>
        </is>
      </c>
    </row>
    <row r="52">
      <c r="A52" t="inlineStr">
        <is>
          <t>„</t>
        </is>
      </c>
      <c r="B52" t="inlineStr">
        <is>
          <t>Re-establishment of Chinese authority in Manchuria and evacuation of Manchuria by Russia agreed. (Russia fails, however, to carry out her promise).</t>
        </is>
      </c>
    </row>
    <row r="53">
      <c r="A53" t="inlineStr">
        <is>
          <t>„</t>
        </is>
      </c>
      <c r="B53" t="inlineStr">
        <is>
          <t>Second Anglo-Japanese Alliance concluded (Aug. 12).</t>
        </is>
      </c>
    </row>
    <row r="54">
      <c r="A54" t="inlineStr">
        <is>
          <t>1904-5</t>
        </is>
      </c>
      <c r="B54" t="inlineStr">
        <is>
          <t>Russo-Japanese War.</t>
        </is>
      </c>
    </row>
    <row r="55">
      <c r="A55" s="9" t="n">
        <v>1905</v>
      </c>
      <c r="B55" t="inlineStr">
        <is>
          <t>“Treaty of Portsmouth” concluded between Japan and Russia (Sept. 5).</t>
        </is>
      </c>
    </row>
    <row r="56">
      <c r="A56" t="inlineStr"/>
      <c r="B56" t="inlineStr">
        <is>
          <t>(By the Treaty, (1) China’s sovereignty in Manchuria was recognized, Russia transferred to Japan, with the consent of China, the lease of Port Arthur, Dairen, and adjacent territory and territory waters, together with all rights, privileges, and concession with or forming part of this lease; (2) Russia transferred to Japan the railway between Changchun and Port Arthur and its branch lines, together with all rights, privileges and properties appertaining thereto.)</t>
        </is>
      </c>
    </row>
    <row r="57">
      <c r="A57" t="inlineStr">
        <is>
          <t>„</t>
        </is>
      </c>
      <c r="B57" t="inlineStr">
        <is>
          <t>Japan concluded the “Treaty of Peking” with China in conformity with the terms of the Portsmouth Treaty (Dec. 22), and obtains the consent of China to the transfer by Russia of the lease, privileges, and properties mentioned in the Treaty of Portsmouth, and also the right of maintaining, improving and operating the railway line between Mukden and Antung, which was constructed by Japan during the war.</t>
        </is>
      </c>
    </row>
    <row r="58">
      <c r="A58" t="inlineStr">
        <is>
          <t>„</t>
        </is>
      </c>
      <c r="B58" t="inlineStr">
        <is>
          <t>E. H. Harriman proposes to purchase the South Manchuria Railway, but the proposal was rejected by Japan.</t>
        </is>
      </c>
    </row>
    <row r="59">
      <c r="A59" s="9" t="n">
        <v>1906</v>
      </c>
      <c r="B59" t="inlineStr">
        <is>
          <t>By an Imperial Ordinance the Organization of the South Manchuria Railway Company proclaimed (June 7).</t>
        </is>
      </c>
    </row>
    <row r="60">
      <c r="A60" t="inlineStr">
        <is>
          <t>„</t>
        </is>
      </c>
      <c r="B60" t="inlineStr">
        <is>
          <t>Japan announces the organization of the Kwantung Government-General in the Kwantung Leased Territory (July).</t>
        </is>
      </c>
    </row>
    <row r="61">
      <c r="A61" s="9" t="n">
        <v>1907</v>
      </c>
      <c r="B61" t="inlineStr">
        <is>
          <t>“Loan agreement regarding Mukden-Hsinmintun and Changchun-Kirin Railways” concluded between Japan and China (April 15).</t>
        </is>
      </c>
    </row>
    <row r="62">
      <c r="A62" t="inlineStr">
        <is>
          <t>„</t>
        </is>
      </c>
      <c r="B62" t="inlineStr">
        <is>
          <t>“Agreement regarding Establishment of Maritime Customs Office at Dairen” signed by Japan and China (May 30).</t>
        </is>
      </c>
    </row>
    <row r="63">
      <c r="A63" t="inlineStr">
        <is>
          <t>„</t>
        </is>
      </c>
      <c r="B63" t="inlineStr">
        <is>
          <t>“Political Convention” between Japan and Russia concluded (July 30).</t>
        </is>
      </c>
    </row>
    <row r="64">
      <c r="A64" t="inlineStr">
        <is>
          <t>„</t>
        </is>
      </c>
      <c r="B64" t="inlineStr">
        <is>
          <t>Question of ‘parallel line’ arises regarding China’s proposal to build Hsinmintun-Fakumen Railway in co-operation with a British firm of contractors, Pauling &amp; Co. Japan twice protests on the ground that the project contradicts the ‘protocol’ attached to the Peking Treaty of 1905. (The matter dragged on till 1909, when China dropped the scheme).</t>
        </is>
      </c>
    </row>
    <row r="65">
      <c r="A65" t="inlineStr">
        <is>
          <t>„</t>
        </is>
      </c>
      <c r="B65" t="inlineStr">
        <is>
          <t>The United States attempts to acquire the right to establish a Manchurian Bank with a capital of $10,000,000, with view to financing the railway, connecting Hsinmintun and Aigun. The project, however, fails owing to political changes in China.</t>
        </is>
      </c>
    </row>
    <row r="66">
      <c r="A66" s="9" t="n">
        <v>1908</v>
      </c>
      <c r="B66" t="inlineStr">
        <is>
          <t>Agreement reached between Great Britain and China in regard to Shanhaikwan-Hsinmintun section of Peking-Mukden Railway (March 25).</t>
        </is>
      </c>
    </row>
    <row r="67">
      <c r="A67" t="inlineStr">
        <is>
          <t>„</t>
        </is>
      </c>
      <c r="B67" t="inlineStr">
        <is>
          <t>“Regulations for Sino-Japanese Joint Stock Lumber Company for Exploitation of Yalu Timber” announced. (Sept. 11).</t>
        </is>
      </c>
    </row>
    <row r="68">
      <c r="A68" t="inlineStr">
        <is>
          <t>„</t>
        </is>
      </c>
      <c r="B68" t="inlineStr">
        <is>
          <t>“Supplementary Loan Agreement for Hsinmintun-Mukden and Kirin-Changchun Railways” signed (Nov. 12).</t>
        </is>
      </c>
    </row>
    <row r="69">
      <c r="A69" t="inlineStr">
        <is>
          <t>„</t>
        </is>
      </c>
      <c r="B69" t="inlineStr">
        <is>
          <t>“Exchange of Notes declaring Policy in Far East.” (So-called “Takahira-Root Agreement”) (Nov. 30).</t>
        </is>
      </c>
    </row>
    <row r="70">
      <c r="A70" s="9" t="n">
        <v>1909</v>
      </c>
      <c r="B70" t="inlineStr">
        <is>
          <t>Russia and China sign “Preliminary Agreement in regard to Municipal Administration in the C.E.R. Zone” (May 10).</t>
        </is>
      </c>
    </row>
    <row r="71">
      <c r="A71" t="inlineStr">
        <is>
          <t>„</t>
        </is>
      </c>
      <c r="B71" t="inlineStr">
        <is>
          <t>“Detailed Agreement regarding Loans for Hsinmintun-Mukden and Changchun-Kirin Railways signed (Aug. 18).</t>
        </is>
      </c>
    </row>
    <row r="72">
      <c r="A72" t="inlineStr">
        <is>
          <t>„</t>
        </is>
      </c>
      <c r="B72" t="inlineStr">
        <is>
          <t>Japan and China conclude the “Agreement concerning Mines and Railways in Manchuria,” and “Agreemnt relating to Chientao Region.” (Sept. 4). (By the former agreement it was decided that China should previously arrange with Japan in the event of her undertaking to contract a railway between Hsinmintun and Fakumen, that China should recognize the Tashichiao-Yingkow line as a branch line of the S.M.R., that China should recognize the right of Japan to work coal mines of Fushun and Yentai, that all mines along the Antung-Mukden Railway and the main line of the S.M.R., excepting those at Fushun and Yentai, should be exploited as joint enterprises of the Japanese and Chinese, and that Japan should agree to the extension of the Peking-Mukden Railway to the city wall of Mukden. And by the latter agreement the long disputed boundaries between China and Korea was fixed along the Tumen River, and Koreans were given the right to settle freely and own land in the Chientao district.</t>
        </is>
      </c>
    </row>
    <row r="73">
      <c r="A73" t="inlineStr">
        <is>
          <t>„</t>
        </is>
      </c>
      <c r="B73" t="inlineStr">
        <is>
          <t>“Preliminary Agreement for Chinchow-Aigun Railway” signed between Pauling &amp; Co. of Great Britain, American group of financers, and the Chinese Government. (Oct. 2). (Russia opposed the plan and Japan claimed participation. The question was submitted ultimately to the New Four-Power Consortium by America).</t>
        </is>
      </c>
    </row>
    <row r="74">
      <c r="A74" t="inlineStr">
        <is>
          <t>„</t>
        </is>
      </c>
      <c r="B74" t="inlineStr">
        <is>
          <t>Secretary Knox of the United States proposes to internationalize the railways in Manchuria. (Dec.) (Russia and Japan opposing the scheme, sent their replies simultaneously to the United States, rejecting the proposal).</t>
        </is>
      </c>
    </row>
    <row r="75">
      <c r="A75" s="9" t="n">
        <v>1910</v>
      </c>
      <c r="B75" t="inlineStr">
        <is>
          <t>“Second Russo-Japanese Convention” concluded (July 4) in view of protecting their common interests in Manchuria against a third Power.</t>
        </is>
      </c>
    </row>
    <row r="76">
      <c r="A76" t="inlineStr">
        <is>
          <t>„</t>
        </is>
      </c>
      <c r="B76" t="inlineStr">
        <is>
          <t>Amalgamation of Korea and Japan (Aug. 29).</t>
        </is>
      </c>
    </row>
    <row r="77">
      <c r="A77" t="inlineStr">
        <is>
          <t>„</t>
        </is>
      </c>
      <c r="B77" t="inlineStr">
        <is>
          <t>By a preliminary agreement the United States acquires right to loan for currency reform and industrial development in China.</t>
        </is>
      </c>
    </row>
    <row r="78">
      <c r="A78" s="9" t="n">
        <v>1911</v>
      </c>
      <c r="B78" t="inlineStr">
        <is>
          <t>“Chinese Currency Reform and Industrial Development Loan Agreement” signed by China and Four Powers’ Consortium (April 15), the United States agreeing to give up the right, which she acquired in the preceding year, to the Consortium.</t>
        </is>
      </c>
    </row>
    <row r="79">
      <c r="A79" t="inlineStr">
        <is>
          <t>„</t>
        </is>
      </c>
      <c r="B79" t="inlineStr">
        <is>
          <t>Third Anglo-Japanese Alliance concluded (July 13).</t>
        </is>
      </c>
    </row>
    <row r="80">
      <c r="A80" t="inlineStr">
        <is>
          <t>1911-12</t>
        </is>
      </c>
      <c r="B80" t="inlineStr">
        <is>
          <t>Revolution in China, the Manchu dynasty overthrown and China becomes a Republic.</t>
        </is>
      </c>
    </row>
    <row r="81">
      <c r="A81" s="9" t="n">
        <v>1912</v>
      </c>
      <c r="B81" t="inlineStr">
        <is>
          <t>Yuan Shi-kai proclaimed President of China.</t>
        </is>
      </c>
    </row>
    <row r="82">
      <c r="A82" t="inlineStr">
        <is>
          <t>„</t>
        </is>
      </c>
      <c r="B82" t="inlineStr">
        <is>
          <t>“Russo-Mongolian Agreement” signed (Nov. 3).</t>
        </is>
      </c>
    </row>
    <row r="83">
      <c r="A83" s="9" t="n">
        <v>1913</v>
      </c>
      <c r="B83" t="inlineStr">
        <is>
          <t>Japan and China exchange “Notes regarding Construction of certain Railways in Manchuria” (Oct. 5), and in consequence, Japan acquires the right to loan for the construction of five railways, namely (1) Ssupingkai-Chengchiatun-Toanan, (2) Kaiyuan-Hailung, (3) Changchun-Taonan (4) Taonan-Jehol, and (5) Hailung-Kirin lines. For the first three railways China is to ask loan from Japan and for the last two she is to consult Japanese financers first.</t>
        </is>
      </c>
    </row>
    <row r="84">
      <c r="A84" t="inlineStr">
        <is>
          <t>„</t>
        </is>
      </c>
      <c r="B84" t="inlineStr">
        <is>
          <t>Russia and China issue “Declaration in regard to Outer Mongolia” (Nov. 5).</t>
        </is>
      </c>
    </row>
    <row r="85">
      <c r="A85" t="inlineStr">
        <is>
          <t>1914-1918</t>
        </is>
      </c>
      <c r="B85" t="inlineStr">
        <is>
          <t>The Great War.</t>
        </is>
      </c>
    </row>
    <row r="86">
      <c r="A86" s="9" t="n">
        <v>1915</v>
      </c>
      <c r="B86" t="inlineStr">
        <is>
          <t>“Treaty, and Exchange of Notes, respecting South Manchuria and Eastern Inner Mongolia” (May 25). (By this Treaty the term of lease of Port Arthur and Dalny and the terms of the S.M.R. and Antung-Mukden Railway were extended to 99 years, namely, the definite time for the expiration of the terms of lease became 1997 for the Kwantung Leased Territory, 2002 for the S.M.R. and 2007 for the Antung-Mukden Railway. Secondly, the Japanese acquired right to lease land by negotiation in South Manchuria. Thirdly, the Japanese acquired rights to reside and travel freely in South Manchuria and to engage in business and manufacture of any kind, and fourthly the Chinese government agreed to give permission to Japanese and Chinese who desire to undertake agricultural enterprises jointly).</t>
        </is>
      </c>
    </row>
    <row r="87">
      <c r="A87" t="inlineStr">
        <is>
          <t>„</t>
        </is>
      </c>
      <c r="B87" t="inlineStr">
        <is>
          <t>Russia, China and Mongolia sign “Tripartite Agreement regarding Outer Mongolia (June 7).</t>
        </is>
      </c>
    </row>
    <row r="88">
      <c r="A88" t="inlineStr">
        <is>
          <t>„</t>
        </is>
      </c>
      <c r="B88" t="inlineStr">
        <is>
          <t>Russia and China conclude “Arrangement concerning Situation of Hulunbuir (Hailar) (Nov. 6), Russian position in North Manchuria strengthened.</t>
        </is>
      </c>
    </row>
    <row r="89">
      <c r="A89" t="inlineStr">
        <is>
          <t>„</t>
        </is>
      </c>
      <c r="B89" t="inlineStr">
        <is>
          <t>Yokohama Specie Bank and China conclude “Loan Agreement for Ssupingkai-Chengchiatun Railway (Dec. 27).</t>
        </is>
      </c>
    </row>
    <row r="90">
      <c r="A90" s="9" t="n">
        <v>1916</v>
      </c>
      <c r="B90" t="inlineStr">
        <is>
          <t>Chang To-lin becomes Military and Civil Governor of Fengtien Province.</t>
        </is>
      </c>
    </row>
    <row r="91">
      <c r="A91" t="inlineStr">
        <is>
          <t>„</t>
        </is>
      </c>
      <c r="B91" t="inlineStr">
        <is>
          <t>Yuan Shih-kai attempts to restore monarchy.</t>
        </is>
      </c>
    </row>
    <row r="92">
      <c r="A92" t="inlineStr">
        <is>
          <t>„</t>
        </is>
      </c>
      <c r="B92" t="inlineStr">
        <is>
          <t>“Convention in regard to Co-operation in the Far East” concluded between Japan and Russia (July 3).</t>
        </is>
      </c>
    </row>
    <row r="93">
      <c r="A93" t="inlineStr">
        <is>
          <t>„</t>
        </is>
      </c>
      <c r="B93" t="inlineStr">
        <is>
          <t>Chengchiatun Incident.</t>
        </is>
      </c>
    </row>
    <row r="94">
      <c r="A94" s="9" t="n">
        <v>1917</v>
      </c>
      <c r="B94" t="inlineStr">
        <is>
          <t>Japan and China exchange “Notes regarding Settlement of Chengchiatun Affair, Employment of Japanese Military Advisers and Instructors, Establishment of Japanese Police Stations in South Manchuria and Eastern Inner Mongolia, and withdrawal of Japanese Troops from between Ssupingkai and Chengchiatun (Jan. 28).</t>
        </is>
      </c>
    </row>
    <row r="95">
      <c r="A95" t="inlineStr">
        <is>
          <t>„</t>
        </is>
      </c>
      <c r="B95" t="inlineStr">
        <is>
          <t>South Manchuria Railway Co. and China sign “Agreement for Kirin-Changchun Railway Loan” (Oct. 12).</t>
        </is>
      </c>
    </row>
    <row r="96">
      <c r="A96" t="inlineStr">
        <is>
          <t>„</t>
        </is>
      </c>
      <c r="B96" t="inlineStr">
        <is>
          <t>Japan and the United States exchange “Identic Notes regarding Mutual Interests relating to China (Ishii-Lansing Agreement)” (Nov. 2), the principle that ‘territorial propinquity creates special relations between countries’ accepted.</t>
        </is>
      </c>
    </row>
    <row r="97">
      <c r="A97" s="9" t="n">
        <v>1918</v>
      </c>
      <c r="B97" t="inlineStr">
        <is>
          <t>“Preliminary Agreement for Kirin-Kainei Railway Loan” concluded between Japanese banks and China (June 18).</t>
        </is>
      </c>
    </row>
    <row r="98">
      <c r="A98" t="inlineStr">
        <is>
          <t>„</t>
        </is>
      </c>
      <c r="B98" t="inlineStr">
        <is>
          <t>“Agreement for Loan for Gold Mining and Forestry in Heilungkiang and Kirin” signed by Japanese banks and China (Aug. 2).</t>
        </is>
      </c>
    </row>
    <row r="99">
      <c r="A99" t="inlineStr">
        <is>
          <t>„</t>
        </is>
      </c>
      <c r="B99" t="inlineStr">
        <is>
          <t>Japan and China exchange “Notes regarding Four Railways in Manchuria and Mongolia” (Sept. 24).</t>
        </is>
      </c>
    </row>
    <row r="100">
      <c r="A100" t="inlineStr">
        <is>
          <t>„</t>
        </is>
      </c>
      <c r="B100" t="inlineStr">
        <is>
          <t>“Contract for Loan for Four Railways in Manchuria and Mongolia” signed by Japanese banks and China (Sept. 28).</t>
        </is>
      </c>
    </row>
    <row r="101">
      <c r="A101" t="inlineStr">
        <is>
          <t>1918-22</t>
        </is>
      </c>
      <c r="B101" t="inlineStr">
        <is>
          <t>Allied intervention in Siberia.</t>
        </is>
      </c>
    </row>
    <row r="102">
      <c r="A102" s="9" t="n">
        <v>1919</v>
      </c>
      <c r="B102" t="inlineStr">
        <is>
          <t>Imperial Ordinance of Japan regarding the Organization of the Government of Kwantung issued (April 12).</t>
        </is>
      </c>
    </row>
    <row r="103">
      <c r="A103" t="inlineStr">
        <is>
          <t>„</t>
        </is>
      </c>
      <c r="B103" t="inlineStr">
        <is>
          <t>Karakhan issues Soviet “Declaration to the Chinese Nation and the Governments of the Southern and Northern China” (July 25).</t>
        </is>
      </c>
    </row>
    <row r="104">
      <c r="A104" s="9" t="n">
        <v>1920</v>
      </c>
      <c r="B104" t="inlineStr">
        <is>
          <t>The New Consortium formed (Oct. 15).</t>
        </is>
      </c>
    </row>
    <row r="105">
      <c r="A105" t="inlineStr">
        <is>
          <t>„</t>
        </is>
      </c>
      <c r="B105" t="inlineStr">
        <is>
          <t>“Second Soviet Declaration on policy towards China” (Oct. 27).</t>
        </is>
      </c>
    </row>
    <row r="106">
      <c r="A106" t="inlineStr">
        <is>
          <t>1921-22</t>
        </is>
      </c>
      <c r="B106" t="inlineStr">
        <is>
          <t>Washington Conference.</t>
        </is>
      </c>
    </row>
    <row r="107">
      <c r="A107" s="9" t="n">
        <v>1922</v>
      </c>
      <c r="B107" t="inlineStr">
        <is>
          <t>First Mukden Chihli War. Declaration of independence of the Three Eastern Provinces.</t>
        </is>
      </c>
    </row>
    <row r="108">
      <c r="A108" t="inlineStr">
        <is>
          <t>„</t>
        </is>
      </c>
      <c r="B108" t="inlineStr">
        <is>
          <t>Japanese delegate to the Washington Conference announces that Japanese capital, which has had the monopoly of loans for construction of railways in South Manchuria and Eastern Inner Mongolia and of loans having for security the taxes in that region, is willing to forego this monopoly and open the field to the enterprise of the International Financial Consortium, and that Japan has no intention of insisting on a preferential right in the engagement of foreign advisers or instructors by China on political, financial, military, or police matters in South Manchuria (Feb. 2).</t>
        </is>
      </c>
    </row>
    <row r="109">
      <c r="A109" t="inlineStr">
        <is>
          <t>„</t>
        </is>
      </c>
      <c r="B109" t="inlineStr">
        <is>
          <t>“Nine Power Treaty regarding to Principles and Policies to be followed in matters concerning China” signed (Feb. 6). Principle of ‘Open Door’ affirmed formally by the treaty, and the Powers other than China agree: (1) To respect the sovereignty, the independence, and the territorial and administrative integrity in China; (2) To provide the fullest and unembarrassed opportunity to China to develop and maintain for herself an effective and stable government; (3) To use their influence for the purpose of effectually establishing and maintaining the principle of equal opportunity; and (4) To refrain from taking advantage of conditions in China in order to seek special rights or privileges.</t>
        </is>
      </c>
    </row>
    <row r="110">
      <c r="A110" s="9" t="n">
        <v>1923</v>
      </c>
      <c r="B110" t="inlineStr">
        <is>
          <t>China requests nullification of the Treaty of 1915, but Japan refuses. (March 10).</t>
        </is>
      </c>
    </row>
    <row r="111">
      <c r="A111" t="inlineStr">
        <is>
          <t>„</t>
        </is>
      </c>
      <c r="B111" t="inlineStr">
        <is>
          <t>Japan and the United States exchange “Note in regard to Cancellation of Ishii-Lansing Agreement” (April 14).</t>
        </is>
      </c>
    </row>
    <row r="112">
      <c r="A112" s="9" t="n">
        <v>1924</v>
      </c>
      <c r="B112" t="inlineStr">
        <is>
          <t>“Agreement on General Principles for the Settlement of the Question between the U.S.S.R. and the Republic of China” signed (May 31).</t>
        </is>
      </c>
    </row>
    <row r="113">
      <c r="A113" t="inlineStr">
        <is>
          <t>„</t>
        </is>
      </c>
      <c r="B113" t="inlineStr">
        <is>
          <t>“Agreement for the Provisional Management of the Chinese Eastern Railway” signed (May 31).</t>
        </is>
      </c>
    </row>
    <row r="114">
      <c r="A114" t="inlineStr">
        <is>
          <t>„</t>
        </is>
      </c>
      <c r="B114" t="inlineStr">
        <is>
          <t>Agreement between the Government of the Autonomous Three Eastern Provinces of the Republic of China and the Government of the U.S.S.R., concerning Mutual Rights and Principles” signed at Mukden (Sept. 20). The main features of this Agreement are as follows: (1) The Soviet Union recognizes that the C.E.R. is a purely commercial enterprise, (2) In the management of the Railway, the two countries are equally represented, (3) After the expiration of sixty years from August 27, 1896, instead of eighty years, as formerly provided, the railway shall pass by reversion without payment into Chinese possession. China may recover the railway at any time upon paying, with her own capital, the price agreed upon by the two governments. (4) Both parties agree that the future of the C.E.R. shall be determined by the U.S.S.R. and China to the exclusion of any third party or parties. (5) The two governments recognize equal rights of navigation on border rivers, and maintenance of the present border line, and also agree not to engage in propaganda directed against the political and social systems of the other contracting party.</t>
        </is>
      </c>
    </row>
    <row r="115">
      <c r="A115" t="inlineStr">
        <is>
          <t>„</t>
        </is>
      </c>
      <c r="B115" t="inlineStr">
        <is>
          <t>Second Mukden-Chihli War.</t>
        </is>
      </c>
    </row>
    <row r="116">
      <c r="A116" t="inlineStr">
        <is>
          <t>„</t>
        </is>
      </c>
      <c r="B116" t="inlineStr">
        <is>
          <t>Commander-in-Chief of Kwantung Army issues a statement on the attitude of Japanese military authorities in Manchuria in regard to maintenance of peace and order in that region, (Oct. 30).</t>
        </is>
      </c>
    </row>
    <row r="117">
      <c r="A117" s="9" t="n">
        <v>1925</v>
      </c>
      <c r="B117" t="inlineStr">
        <is>
          <t>Third Mukden-Chihli War.</t>
        </is>
      </c>
    </row>
    <row r="118">
      <c r="A118" t="inlineStr">
        <is>
          <t>„</t>
        </is>
      </c>
      <c r="B118" t="inlineStr">
        <is>
          <t>Contract for construction of Kirin-Tunhwa Railway concluded between the S.M.R. Co. and China, (Oct. 24).</t>
        </is>
      </c>
    </row>
    <row r="119">
      <c r="A119" t="inlineStr">
        <is>
          <t>„</t>
        </is>
      </c>
      <c r="B119" t="inlineStr">
        <is>
          <t>Revolt of Kuo Sung-ling (Nov.-Dec.).</t>
        </is>
      </c>
    </row>
    <row r="120">
      <c r="A120" t="inlineStr">
        <is>
          <t>„</t>
        </is>
      </c>
      <c r="B120" t="inlineStr">
        <is>
          <t>Japan issues announcement on her attitude towards political disturbances caused by the revolt of Kuo Sung-ling, (Dec.).</t>
        </is>
      </c>
    </row>
    <row r="121">
      <c r="A121" s="9" t="n">
        <v>1926</v>
      </c>
      <c r="B121" t="inlineStr">
        <is>
          <t>Mukden Forces enter Peking (June).</t>
        </is>
      </c>
    </row>
    <row r="122">
      <c r="A122" t="inlineStr">
        <is>
          <t>„</t>
        </is>
      </c>
      <c r="B122" t="inlineStr">
        <is>
          <t>Hulan-Hailun Railway partly completed (July).</t>
        </is>
      </c>
    </row>
    <row r="123">
      <c r="A123" t="inlineStr">
        <is>
          <t>„</t>
        </is>
      </c>
      <c r="B123" t="inlineStr">
        <is>
          <t>Taonan-Angangki Railway partly opened to traffic (July).</t>
        </is>
      </c>
    </row>
    <row r="124">
      <c r="A124" t="inlineStr">
        <is>
          <t>„</t>
        </is>
      </c>
      <c r="B124" t="inlineStr">
        <is>
          <t>Chiang Kai-shek, Commander-in-Chief of the Nationalist Army issues declaration of ‘Northern Expedition’ (July 9).</t>
        </is>
      </c>
    </row>
    <row r="125">
      <c r="A125" t="inlineStr">
        <is>
          <t>„</t>
        </is>
      </c>
      <c r="B125" t="inlineStr">
        <is>
          <t>Peking Government demands recall of Soviet Ambassador (Aug. 30).</t>
        </is>
      </c>
    </row>
    <row r="126">
      <c r="A126" t="inlineStr">
        <is>
          <t>„</t>
        </is>
      </c>
      <c r="B126" t="inlineStr">
        <is>
          <t>Chang Tso-lin appointed Commander-in-Chief of the Ankuochun (Dec. 1) and enters Peking (Dec. 27).</t>
        </is>
      </c>
    </row>
    <row r="127">
      <c r="A127" t="inlineStr">
        <is>
          <t>1926-28</t>
        </is>
      </c>
      <c r="B127" t="inlineStr">
        <is>
          <t>The National Revolution.</t>
        </is>
      </c>
    </row>
    <row r="128">
      <c r="A128" s="9" t="n">
        <v>1927</v>
      </c>
      <c r="B128" t="inlineStr">
        <is>
          <t>Nanking occupied by Nationalist Forces (March).</t>
        </is>
      </c>
    </row>
    <row r="129">
      <c r="A129" t="inlineStr">
        <is>
          <t>„</t>
        </is>
      </c>
      <c r="B129" t="inlineStr">
        <is>
          <t>Raid of Soviet Embassay at Peking (April 6).</t>
        </is>
      </c>
    </row>
    <row r="130">
      <c r="A130" t="inlineStr">
        <is>
          <t>„</t>
        </is>
      </c>
      <c r="B130" t="inlineStr">
        <is>
          <t>Contract for construction of Kirin-Tunhwa Railway revised (May 20).</t>
        </is>
      </c>
    </row>
    <row r="131">
      <c r="A131" t="inlineStr">
        <is>
          <t>„</t>
        </is>
      </c>
      <c r="B131" t="inlineStr">
        <is>
          <t>Contract for construction of Taonan-Solun Railway concluded between Japan and Peking government (May 20).</t>
        </is>
      </c>
    </row>
    <row r="132">
      <c r="A132" t="inlineStr">
        <is>
          <t>„</t>
        </is>
      </c>
      <c r="B132" t="inlineStr">
        <is>
          <t>Chang Tso-lin appoints himself Grand Marshal (June 18).</t>
        </is>
      </c>
    </row>
    <row r="133">
      <c r="A133" t="inlineStr">
        <is>
          <t>„</t>
        </is>
      </c>
      <c r="B133" t="inlineStr">
        <is>
          <t>Japan despatches troops to Shantung (June-July).</t>
        </is>
      </c>
    </row>
    <row r="134">
      <c r="A134" t="inlineStr">
        <is>
          <t>„</t>
        </is>
      </c>
      <c r="B134" t="inlineStr">
        <is>
          <t>Mukden-Hailung (Chaoyangchen) Railway completed (Sept.).</t>
        </is>
      </c>
    </row>
    <row r="135">
      <c r="A135" t="inlineStr">
        <is>
          <t>„</t>
        </is>
      </c>
      <c r="B135" t="inlineStr">
        <is>
          <t>Tahushan-Tungliao Railway completed (Oct.).</t>
        </is>
      </c>
    </row>
    <row r="136">
      <c r="A136" s="9" t="n">
        <v>1928</v>
      </c>
      <c r="B136" t="inlineStr">
        <is>
          <t>Clash between Japanese and Chinese troops at Tsinan (May).</t>
        </is>
      </c>
    </row>
    <row r="137">
      <c r="A137" t="inlineStr">
        <is>
          <t>„</t>
        </is>
      </c>
      <c r="B137" t="inlineStr">
        <is>
          <t>Contract on construction of four railways, namely: Yenchi-Hailin Tunhwa-Laotoukou, Laotoukuo-Tumen and Changchun-Talai concluded between Japan and Peking Government (May 13-15).</t>
        </is>
      </c>
    </row>
    <row r="138">
      <c r="A138" t="inlineStr">
        <is>
          <t>„</t>
        </is>
      </c>
      <c r="B138" t="inlineStr">
        <is>
          <t>Japan sends note to Chinese generals and announces her intention to take, if necessary, ‘appropriate, effective steps for the maintenance of peace and order in Manchuria’ (May 18).</t>
        </is>
      </c>
    </row>
    <row r="139">
      <c r="A139" t="inlineStr">
        <is>
          <t>„</t>
        </is>
      </c>
      <c r="B139" t="inlineStr">
        <is>
          <t>Chang Tso-lin retreats from Peking and meets an unexpected death (June 4). Chang Hsueh-liang succeeds his father.</t>
        </is>
      </c>
    </row>
    <row r="140">
      <c r="A140" t="inlineStr">
        <is>
          <t>„</t>
        </is>
      </c>
      <c r="B140" t="inlineStr">
        <is>
          <t>Construction of Kirin-Tunhwa Railway completed (Aug.).</t>
        </is>
      </c>
    </row>
    <row r="141">
      <c r="A141" t="inlineStr">
        <is>
          <t>„</t>
        </is>
      </c>
      <c r="B141" t="inlineStr">
        <is>
          <t>Independence movement in Barga (Sept.-Oct.).</t>
        </is>
      </c>
    </row>
    <row r="142">
      <c r="A142" t="inlineStr">
        <is>
          <t>„</t>
        </is>
      </c>
      <c r="B142" t="inlineStr">
        <is>
          <t>Construction of Hulan-Hailun Railway completed (Dec.).</t>
        </is>
      </c>
    </row>
    <row r="143">
      <c r="A143" t="inlineStr">
        <is>
          <t>„</t>
        </is>
      </c>
      <c r="B143" t="inlineStr">
        <is>
          <t>Mukden Government orders the Three Eastern Provinces to hoist Nationalist flag (Dec. 29).</t>
        </is>
      </c>
    </row>
    <row r="144">
      <c r="A144" s="9" t="n">
        <v>1929</v>
      </c>
      <c r="B144" t="inlineStr">
        <is>
          <t>North-Eastern Political Committee formed, and the Three Eastern Provinces become formally under the authority of Nanking (Jan. 9).</t>
        </is>
      </c>
    </row>
    <row r="145">
      <c r="A145" t="inlineStr">
        <is>
          <t>„</t>
        </is>
      </c>
      <c r="B145" t="inlineStr">
        <is>
          <t>Fengtien province renamed Liaoning province (Feb. 5).</t>
        </is>
      </c>
    </row>
    <row r="146">
      <c r="A146" t="inlineStr">
        <is>
          <t>„</t>
        </is>
      </c>
      <c r="B146" t="inlineStr">
        <is>
          <t>Kirin-Hailung (Chaoyangchen) Railway completed (May).</t>
        </is>
      </c>
    </row>
    <row r="147">
      <c r="A147" t="inlineStr">
        <is>
          <t>„</t>
        </is>
      </c>
      <c r="B147" t="inlineStr">
        <is>
          <t>Sino-Soviet conflict over Chinese Eastern Railway (May-Dec.).</t>
        </is>
      </c>
    </row>
    <row r="148">
      <c r="A148" t="inlineStr">
        <is>
          <t>„</t>
        </is>
      </c>
      <c r="B148" t="inlineStr">
        <is>
          <t>Chinese raid on the Russian consulates at Harbin (May 27).</t>
        </is>
      </c>
    </row>
    <row r="149">
      <c r="A149" t="inlineStr">
        <is>
          <t>„</t>
        </is>
      </c>
      <c r="B149" t="inlineStr">
        <is>
          <t>Chinese arrest the Russian manager of the C.E.R. and others (July 10).</t>
        </is>
      </c>
    </row>
    <row r="150">
      <c r="A150" t="inlineStr">
        <is>
          <t>„</t>
        </is>
      </c>
      <c r="B150" t="inlineStr">
        <is>
          <t>Reminder sent to the U.S.S.R. and China about the Kellogg Pact (Dec.)</t>
        </is>
      </c>
    </row>
    <row r="151">
      <c r="A151" t="inlineStr">
        <is>
          <t>„</t>
        </is>
      </c>
      <c r="B151" t="inlineStr">
        <is>
          <t>Khabarovsk Protocol signed (Dec. 22) re-establishing the ‘status quo ante’ on the Chinese Eastern Railway.</t>
        </is>
      </c>
    </row>
    <row r="152">
      <c r="A152" s="9" t="n">
        <v>1930</v>
      </c>
      <c r="B152" t="inlineStr">
        <is>
          <t>Sino-Soviet conference on the C.E.R. affairs.</t>
        </is>
      </c>
    </row>
    <row r="153">
      <c r="A153" t="inlineStr">
        <is>
          <t>„</t>
        </is>
      </c>
      <c r="B153" t="inlineStr">
        <is>
          <t>War between Yen Hsi-shan and Chiang Kai-shek (Feb.-Sept..).</t>
        </is>
      </c>
    </row>
    <row r="154">
      <c r="A154" t="inlineStr">
        <is>
          <t>„</t>
        </is>
      </c>
      <c r="B154" t="inlineStr">
        <is>
          <t>“Sino-Japanese Customs Tariff Agreement” signed (May 6).</t>
        </is>
      </c>
    </row>
    <row r="155">
      <c r="A155" t="inlineStr">
        <is>
          <t>„</t>
        </is>
      </c>
      <c r="B155" t="inlineStr">
        <is>
          <t>Chang Hsueh-liang intervenes between the Northern Army under Yen Hsi-shan and Feng Yu-hsiang, and National Government (Sept. 18). The Mukden troops enter Peking (Sept. 21).</t>
        </is>
      </c>
    </row>
    <row r="156">
      <c r="A156" s="9" t="n">
        <v>1931</v>
      </c>
      <c r="B156" t="inlineStr">
        <is>
          <t>Clash between Japanese and Chinese soldiers at Liukiaokou, and Japanese troops occupy Mukden and Kuanchengtzu. China appeals to the League of Nations for mediation of the Manchurian Incident (Sept.) Chief Secretary Drummond advices Japan and China not to enlarge the situation. The Council of the League of Nations decides to invite observers. Nanking Government demands Japan to evacuate the troops from Manchuria (Oct.) Clash between Japanese and Chinese Armies at Nanking. Briand, Chairman of the League Council, advices Japan and China to stop the disputes. Japanese Army enters Tsitsihar. Nanking Government demand Japan again to evacuate her troops (Nov.) Tsang Shih-Yi appointed Mayor Mukden. Heilungkiang Province declares independence (Dec.).</t>
        </is>
      </c>
    </row>
    <row r="157">
      <c r="A157" s="9" t="n">
        <v>1932</v>
      </c>
      <c r="B157" t="inlineStr">
        <is>
          <t>Japanese troops enter Chinchow. New Heilungkiang Provincial Government established. Chang Hai-peng plans to establish a new independent state in Manchuria (Jan.) Japanese Army attacks the Ting Chao troops and enters Harbin.</t>
        </is>
      </c>
    </row>
    <row r="158">
      <c r="A158" t="inlineStr"/>
      <c r="B158" t="inlineStr">
        <is>
          <t>The League Commission of Inquiry arrives at Tokyo (Feb.) Proclamation of Independence of Manchoukuo. Pu Yi appointed Chief Executive of Manchoukuo. Changchun made capital of Manchoukuo and name is changed to Hsinking (Mar.) Declaration of Customs Tariff Autonomy of Manchoukuo (June). Ting Chien-hsiu visits Japan as special envoy of Manchoukuo. Ma Chan-shan defeated and escapes (July). General Muto, Japanese Ambassador and Envoy Plenipotentiary to Manchoukuo arrives at Mukden (Aug.) Japanese recognition of Manchoukuo. Japan-Manchoukuo Protocol signed. The Lytton Report released. Japanese Army enters Tunghua (Oct.) Japanese Army enters Chalantun (Nov.) Japanese Embassy located at Hsinking.</t>
        </is>
      </c>
    </row>
    <row r="159">
      <c r="A159" s="9" t="n">
        <v>1933</v>
      </c>
      <c r="B159" t="inlineStr">
        <is>
          <t>Manchoukuo protests against Chang Hsueh-liang. Chinese Government issues a project against Japan on the Shanhaikwan Incident (Jan.) Japan-Manchoukuo Army makes expedition to Jehol. Japanese Army occupies Chaoyang (Feb.) Japanese Army occupies Chihfeng and Lingyuan, Luanping and Kupehkou (Mar.) Japan-Manchoukuo Agreement on Leasehold Privileges signed. The Investigation of Manchoukuo Constitutional Law begins. China charges high rate tax on the goods imported from Manchoukuo. Ambassador Muto dies. Manchoukuo’s New Currency system (M¥) adopted. (July). The Anniversary of founding of Manchoukuo celebrated (Sept.). Shanhaikwan incorporated in Manchoukuo formally (Nov.).</t>
        </is>
      </c>
    </row>
    <row r="160">
      <c r="A160" s="9" t="n">
        <v>1934</v>
      </c>
      <c r="B160" t="inlineStr">
        <is>
          <t>The Imperial Regime adopted. Chang Hsueh-liang appointed Commander of Bandits Suppression Army of Honan, Hupei and Anwei Provinces (Jan.). Pu Yi rises to the throne of the Emperor of Manchoukuo. New Organization Law of Government issued (Mar.). General Hishikari appointed second Japanese Ambassador to Manchoukuo. Pope recognizes Manchoukuo . The Orchid Flower decided upon as the Imperial Crest of Manchoukuo (Apr.). Recognition of Manchoukuo by Salvador (May). H.I.H. Prince Chichibu as Imperial proxy visits Manchoukuo carrying message to the Emperor of Manchoukuo from the Emperor of Japan.</t>
        </is>
      </c>
    </row>
    <row r="161">
      <c r="A161" t="inlineStr"/>
      <c r="B161" t="inlineStr">
        <is>
          <t>The negotiation for purchasing the Chinese Eastern Railway reaches a deadlock. The Manchoukuo customs house at Kupehkou opened (July). Russo-Manchoukuo Water Routes Agreement signed (Sept.). Manchoukuo Local Administration system proclaimed. Japanese Administrative Organ in Manchoukuo established (Oct.). General Minami appointed Commander of Kwantung Army. The Circulation of Hsien Tayuan prohibited (Dec.).</t>
        </is>
      </c>
    </row>
    <row r="162">
      <c r="A162" s="9" t="n">
        <v>1935</v>
      </c>
      <c r="B162" t="inlineStr">
        <is>
          <t>The postal routes between Manchoukuo and China reopened. (Jan.). Japan-Manchoukuo Customs Tariff Agreement signed (Feb.). Convention for Purchasing the Chinese Eastern Railway signed (Mar.). H.I.H. the Emperor of Manchoukuo visits Japan. State Monopoly Petroleum Law issued. The Message of friendship from the president of Dominican Republic arrives (Apr.). Preparatory Convention between Manchoukuo and Outer Mongolia begins at Manchouli (May). Grand Naval Review in commemoration of the enthronement of the Emperor held on the Sungari. Exchange of postal money orders between Manchoukuo and Germany begins. Abolition of extra-territoriality decided upon to be enforced from July of following Year (Nov.).</t>
        </is>
      </c>
    </row>
    <row r="163">
      <c r="A163" s="9" t="n">
        <v>1936</v>
      </c>
      <c r="B163" t="inlineStr">
        <is>
          <t>Abolition of North Manchuria Special District (Jan.). Japanese troops defeat the Outer Mongolian Army invading the frontier and destroy eight airplanes (Mar.). East Hopei Autonomous Government sends a special envoy for friendly relation to Manchoukuo. Manchoukuo undertakes to make research on the East frontier. Major-General Itagaki appointed Chairman of Japan-Manchoukuo Joint Economic Commission. Manchoukuo-Germany Trade Convention signed (Apr.) Soviet-Manchoukuo Water Routes Technical Committee held at Blagoveschensk (May). The Overseas Department of Japan decides to send 5,000 families to Manchoukuo as immigrants from the following year. Japan-Manchoukuo Treaty for Protection of Industrial Properties signed (June). Manchuria Development Company established. The Treaty on Postal Affairs between Japan and Manchoukuo signed (Dec.). Japan-Manchou Social Works Association established (Sept. 12). The Memorial Tower to the Japanese Soldiers at Harbin unveiled (Sept. 23). Sino-Japanese Air Routes Through Traffic Agreement signed (Oct. 17). Dr. Knoll appointed German Trade Representative to Manchoukuo (Nov. 24).</t>
        </is>
      </c>
    </row>
    <row r="164">
      <c r="A164" t="inlineStr"/>
      <c r="B164" t="inlineStr">
        <is>
          <t>Anniversary of East Hopei Autonomous Government (Nov. 25). Prime Minister Chang Ching-hui issues the statement on the Japan-German Anti-Communist Agreement (Nov. 26). Italian Consulate-General permitted to be located at Mukden (Dec. 1). Japan-Manchoukuo unification of time (Dec. 5). Match Monopoly Law promulgated (Dec. 20). Salt Monopoly Law proclaimed (Dec. 24). The Manchurian Affairs Board of Japan issues the statement on Manchoukuo Industrial Development plan. New Manchoukuo Post Law promulgated (Dec. 26).</t>
        </is>
      </c>
    </row>
    <row r="165">
      <c r="A165" s="9" t="n">
        <v>1937</v>
      </c>
      <c r="B165" t="inlineStr">
        <is>
          <t>Conference of Provincial Governors held (Jan. 22). Imperial Throne Succession Law promulgated. Lieut.-General Tojo succeeds Lieut-General Itagaki and oppointed Chief of the Staff of Kwantung Army (Mar. 1). Imperial Property Administration Law proclaimed. Dr. Knoll arrives at Hsinking (Apr. 1). Sino-Japanese Hostilities Break Out at Lukowchiao in the outskirts of Peking (July 7). Agreement reached to entrust heavy industries of Manchoukuo under supervision of the S.M.R. Company to the Nippon Sangyo Company (Manchuria Industrial Development Corporation) (Nov. 1).</t>
        </is>
      </c>
    </row>
    <row r="166">
      <c r="A166" s="9" t="n">
        <v>1938</v>
      </c>
      <c r="B166" t="inlineStr">
        <is>
          <t>Germany extends de jure recognition to Manchoukuo (Feb. 20). National Mobilization Law promulgated (Feb. 26). 5-year industrial plan revised (May 14). Japan-Manchoukuo-Italy Commercial Treaty and Manchoukuo-Italy Commerce &amp; Navigation Treaty concluded (July 5). Manchoukuo-Germany Foreign Trade Agreement concluded (Sept. 14). Manchoukuo declaration of cooperation with Konoe statement in China policy (Dec. 22).</t>
        </is>
      </c>
    </row>
    <row r="167">
      <c r="A167" s="9" t="n">
        <v>1939</v>
      </c>
      <c r="B167" t="inlineStr">
        <is>
          <t>Hungary extends de jure recognition to Manchoukuo (Jan. 10.) Participation in Anti-Comintern Agreement declared by Premier Chang. (Jan. 16). Manchoukuo-Hungary Anti-Comintern Pact concluded (Feb. 24). First Nomonhan Incident breaks out (May 11). 2nd Nomonhan Incident breaks out (June 17). Nomonhan Armistice treaty concluded (Sept. 15).</t>
        </is>
      </c>
    </row>
    <row r="168">
      <c r="A168" s="9" t="n">
        <v>1940</v>
      </c>
      <c r="B168" t="inlineStr">
        <is>
          <t>The New National Army Law promulgated (Apr. 11). Revised Japan-Manchoukuo Commercial Pact concluded (June 26). The Emperor pays formal visit to Tokyo (June 26). Establishment of Chienkou Shrine in Imperial Palace (July 15). Provincial Census Registration Act promulgated (Aug. 1.). New Manchoukuo-Reich Trade Agreement signed (Sept. 12). Temporary National Census compilation commenced (Oct. 1). Japan-Manchoukuo-China Joint Declaration on establishing East Asia Co-prosperity Sphere announced (Nov. 30). Roumania extends de jure recognition to Manchoukuo (Dec. 4). Results of Provisional Census published. (Population of Manchoukuo 43,000,000 standing on Oct. 1) (Dec. 25).</t>
        </is>
      </c>
    </row>
    <row r="169">
      <c r="A169" s="9" t="n">
        <v>1941</v>
      </c>
      <c r="B169" t="inlineStr">
        <is>
          <t>2nd Coal production expansion plan decided (Feb. 5). Lu Yung-huan appointed Ambassador to Nanking (Jan. 15). Newly appointed Chinese Ambassador to Manchoukuo Lien Yu arrives at Hsinking (Feb. 23). Japan-Manchoukuo-China communications unifying policy decided (Feb. 24). Teh Wang pays formal visit to Tokyo (Feb. 24). Roosevelt orders freezing Japanese assets in U.S.A. (Mar. 3). Wool production increasing plan decided (Mar. 4). Manchuria Development Co. amalgamates Manchuria-Chosen Development Co. (Apr. 1). Copper production encouragement rule promulgated (Apr. 1). Manchoukuo Iron Ore development plan decided (Apr. 4). Industrial Promotion Loan Law promulgated (Apr. 17). Manchuria Development Co. increases capital by ¥15,000,000 (Apr. 23). Japan-Manchoukuo-Germany Trade Conference held (Apr. 29). Manchoukuo Investment Securities Co. (capital ¥400,000,000) established (Apr. 29). Bulgaria extends de jure recognition to Manchoukuo (May 14). Japan and U.S.S.R. exchange ratifications of Neutral Pact (May 20). Manchoukuo-Germany Trade Pact to be effective another 5 months (May 31). Manchoukuo Army receives first conscripted soldiers (June 1). The Emperor makes inspection tour to Northwest district (June 2). Spain establishes legation in Manchoukuo (June 4). Japan-Manchoukuo Economic Conference held (June 9). Wang Ching-wei pays formal visit to Japanese Capital (June 17). Manchoukuo Wool Co. established (June 22). Ssuping Province newly established (July 1). Finland extends de jure recognition to Manchoukuo (July 21). Freezing British and American assets in Manchoukuo ordered (July 28). Commodity Price Suspending Law promulgated (July 29). Foreign Exchange Law revised (Aug. 1). Manchoukuo extends de jure recognition to Croatia (Aug. 2). Manchuria Ceramic Wares Co. established (Aug. 5). Thailand extends de jure recognition to Manchoukuo (Aug. ). Manchoukuo-Outer Mongolia Joint Communique on Nomonhan Frontier Regulation announced (Aug. 20). Suifeng Dam of Yalu River completed (Aug. 25). Denmark extends de jure recognition to Manchoukuo (Aug. 27). British subjects in Japan and Manchoukuo decide to leave (Aug. 30). Automobile Transportation Industries Law promulgated (Sept. 1). 2nd 5 year Industrial Plan fundamental principles established (Sept. 2). 2nd Provincial Governors’ Conference held (Sept. 5). Japan-Manchoukuo Joint Committee’s Conference held (Sept. 9). 1st Enshrinement Rites of Kienkuo Chunyu Miao (Shrine deifying the war-dead in the establishment of Manchoukuo) held (Sept. 17). Treaty of Amity, Commerce and Navigation signed between Manchoukuo and Spain. (Sept. 18). Joint declaration is made by the Manchoukuo &amp; Outer Mongolia Governments regarding settlement of border demarcation. (Oct. 15)</t>
        </is>
      </c>
    </row>
    <row r="171">
      <c r="A171" s="2" t="inlineStr">
        <is>
          <t>Transcriber's notes</t>
        </is>
      </c>
    </row>
    <row r="172">
      <c r="A172" t="inlineStr">
        <is>
          <t>Laid out as a two-column year/event list (year in a hanging left column), so transcribed as a table. Each row is one printed entry; line-end hyphenations have been joined (e.g. 'con-nects' -&gt; 'connects').</t>
        </is>
      </c>
    </row>
    <row r="173">
      <c r="A173" t="inlineStr">
        <is>
          <t>'„' in the Year column is the printed ditto mark (same year as above).</t>
        </is>
      </c>
    </row>
    <row r="174">
      <c r="A174" t="inlineStr">
        <is>
          <t>Rows with an empty Year cell: no year or ditto mark is printed for these entries/paragraphs: 1898 'Russia obtains twenty-five years' lease ...' (p.106); the '(By the Treaty, (1) ...)' paragraph after the 1905 Portsmouth entry (p.107); the second 1932 paragraph 'The League Commission of Inquiry ...' (p.113); the 1934 paragraph 'The negotiation for purchasing ...' (p.114); the 1936 paragraph 'Anniversary of East Hopei ...' (p.114).</t>
        </is>
      </c>
    </row>
    <row r="175">
      <c r="A175" t="inlineStr">
        <is>
          <t>Entries that run across page breaks are joined into one row: Yokohama Specie Bank entry (pp.109-110), Nine Power Treaty entry (pp.110-111), 1934 (pp.113-114), 1937 (pp.114-115), 1941 (pp.115-116). The year 1898 is printed again at the top of p.107, so it appears twice in the Year column, as printed.</t>
        </is>
      </c>
    </row>
    <row r="176">
      <c r="A176" t="inlineStr">
        <is>
          <t>Printed spellings, misprints and unbalanced quotation marks kept as printed, e.g. 'nad France' (1856), 'Tientsin Treaty"' with no opening quote (1858), 'Vladistok', 'Agreemnt' (1909), 'Embassay' (1927), 'Laotoukou'/'Laotoukuo' (1928), 'oppointed' (1937), 'Chang To-lin' (1916), 'Sept..' (1930), 'Aug. )' with the day missing (1941).</t>
        </is>
      </c>
    </row>
    <row r="177">
      <c r="A177" t="inlineStr">
        <is>
          <t>1941 'Croatia': the second letter is damaged in the print and could be read 'Crcatia'.</t>
        </is>
      </c>
    </row>
    <row r="178">
      <c r="A178" t="inlineStr">
        <is>
          <t>Handwritten reader's marks on p.106 (underlining and circling of 'border', 'Yablonoi', 'ranges', 'By "Peking Treaty"', and a tick by 1860) are not part of the print and are ignored.</t>
        </is>
      </c>
    </row>
    <row r="179">
      <c r="A179" t="inlineStr">
        <is>
          <t>Chronology starts at the foot of p.105 (IMG_5508 right page) and ends on p.116 (IMG_5514 left page).</t>
        </is>
      </c>
    </row>
  </sheetData>
  <hyperlinks>
    <hyperlink xmlns:r="http://schemas.openxmlformats.org/officeDocument/2006/relationships" ref="A3" r:id="rId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Yearly Comparison of Population</t>
        </is>
      </c>
    </row>
    <row r="2">
      <c r="A2" t="inlineStr">
        <is>
          <t>Population and Races · printed pp. 117</t>
        </is>
      </c>
    </row>
    <row r="3">
      <c r="A3" t="inlineStr">
        <is>
          <t>(Unit: 1,000)</t>
        </is>
      </c>
    </row>
    <row r="4">
      <c r="A4" s="3" t="inlineStr">
        <is>
          <t>← Contents</t>
        </is>
      </c>
    </row>
    <row r="6">
      <c r="A6" s="5" t="inlineStr">
        <is>
          <t>Year</t>
        </is>
      </c>
      <c r="B6" s="5" t="inlineStr">
        <is>
          <t>Manchoukuoan — Male</t>
        </is>
      </c>
      <c r="C6" s="5" t="inlineStr">
        <is>
          <t>Manchoukuoan — Female</t>
        </is>
      </c>
      <c r="D6" s="5" t="inlineStr">
        <is>
          <t>Japanese — Male</t>
        </is>
      </c>
      <c r="E6" s="5" t="inlineStr">
        <is>
          <t>Japanese — Female</t>
        </is>
      </c>
      <c r="F6" s="5" t="inlineStr">
        <is>
          <t>Chosenese — Male</t>
        </is>
      </c>
      <c r="G6" s="5" t="inlineStr">
        <is>
          <t>Chosenese — Female</t>
        </is>
      </c>
      <c r="H6" s="5" t="inlineStr">
        <is>
          <t>Others — Male</t>
        </is>
      </c>
      <c r="I6" s="5" t="inlineStr">
        <is>
          <t>Others — Female</t>
        </is>
      </c>
      <c r="J6" s="5" t="inlineStr">
        <is>
          <t>Total</t>
        </is>
      </c>
    </row>
    <row r="7">
      <c r="A7" t="inlineStr">
        <is>
          <t>*1932</t>
        </is>
      </c>
      <c r="B7" s="6" t="n">
        <v>16110</v>
      </c>
      <c r="C7" s="6" t="n">
        <v>13009</v>
      </c>
      <c r="D7" s="8" t="n">
        <v>61.8</v>
      </c>
      <c r="E7" s="8" t="n">
        <v>54.8</v>
      </c>
      <c r="F7" t="inlineStr">
        <is>
          <t>—</t>
        </is>
      </c>
      <c r="G7" t="inlineStr">
        <is>
          <t>—</t>
        </is>
      </c>
      <c r="H7" s="8" t="n">
        <v>79.59999999999999</v>
      </c>
      <c r="I7" s="8" t="n">
        <v>58.8</v>
      </c>
      <c r="J7" s="6" t="n">
        <v>29969</v>
      </c>
    </row>
    <row r="8">
      <c r="A8" t="inlineStr">
        <is>
          <t>*1933</t>
        </is>
      </c>
      <c r="B8" s="6" t="n">
        <v>16804</v>
      </c>
      <c r="C8" s="6" t="n">
        <v>13621</v>
      </c>
      <c r="D8" s="8" t="n">
        <v>98.5</v>
      </c>
      <c r="E8" s="8" t="n">
        <v>80.09999999999999</v>
      </c>
      <c r="F8" s="8" t="n">
        <v>308.5</v>
      </c>
      <c r="G8" s="8" t="n">
        <v>271.4</v>
      </c>
      <c r="H8" s="8" t="n">
        <v>51.5</v>
      </c>
      <c r="I8" s="8" t="n">
        <v>48.3</v>
      </c>
      <c r="J8" s="6" t="n">
        <v>31284</v>
      </c>
    </row>
    <row r="9">
      <c r="A9" t="inlineStr">
        <is>
          <t>*1934</t>
        </is>
      </c>
      <c r="B9" s="6" t="n">
        <v>17818</v>
      </c>
      <c r="C9" s="6" t="n">
        <v>14486</v>
      </c>
      <c r="D9" s="8" t="n">
        <v>137.1</v>
      </c>
      <c r="E9" s="8" t="n">
        <v>104.7</v>
      </c>
      <c r="F9" s="8" t="n">
        <v>369.6</v>
      </c>
      <c r="G9" s="8" t="n">
        <v>321.1</v>
      </c>
      <c r="H9" s="8" t="n">
        <v>40.8</v>
      </c>
      <c r="I9" s="8" t="n">
        <v>38</v>
      </c>
      <c r="J9" s="6" t="n">
        <v>33315</v>
      </c>
    </row>
    <row r="10">
      <c r="A10" t="inlineStr">
        <is>
          <t>*1935</t>
        </is>
      </c>
      <c r="B10" s="6" t="n">
        <v>18402</v>
      </c>
      <c r="C10" s="6" t="n">
        <v>15135</v>
      </c>
      <c r="D10" s="8" t="n">
        <v>178.2</v>
      </c>
      <c r="E10" s="8" t="n">
        <v>140.6</v>
      </c>
      <c r="F10" s="8" t="n">
        <v>415.8</v>
      </c>
      <c r="G10" s="8" t="n">
        <v>358.9</v>
      </c>
      <c r="H10" s="8" t="n">
        <v>36.1</v>
      </c>
      <c r="I10" s="8" t="n">
        <v>36.5</v>
      </c>
      <c r="J10" s="6" t="n">
        <v>34702</v>
      </c>
    </row>
    <row r="11">
      <c r="A11" t="inlineStr">
        <is>
          <t>*1936</t>
        </is>
      </c>
      <c r="B11" s="6" t="n">
        <v>18896</v>
      </c>
      <c r="C11" s="6" t="n">
        <v>15619</v>
      </c>
      <c r="D11" s="8" t="n">
        <v>219.1</v>
      </c>
      <c r="E11" s="8" t="n">
        <v>173.7</v>
      </c>
      <c r="F11" s="8" t="n">
        <v>483</v>
      </c>
      <c r="G11" s="8" t="n">
        <v>411.7</v>
      </c>
      <c r="H11" s="8" t="n">
        <v>34.6</v>
      </c>
      <c r="I11" s="8" t="n">
        <v>33.4</v>
      </c>
      <c r="J11" s="6" t="n">
        <v>35871</v>
      </c>
    </row>
    <row r="12">
      <c r="A12" s="9" t="n">
        <v>1937</v>
      </c>
      <c r="B12" s="6" t="n">
        <v>19428</v>
      </c>
      <c r="C12" s="6" t="n">
        <v>19105</v>
      </c>
      <c r="D12" s="8" t="n">
        <v>232.9</v>
      </c>
      <c r="E12" s="8" t="n">
        <v>185.4</v>
      </c>
      <c r="F12" s="8" t="n">
        <v>502.7</v>
      </c>
      <c r="G12" s="8" t="n">
        <v>428.9</v>
      </c>
      <c r="H12" s="8" t="n">
        <v>33.7</v>
      </c>
      <c r="I12" s="8" t="n">
        <v>32.6</v>
      </c>
      <c r="J12" s="6" t="n">
        <v>36950</v>
      </c>
    </row>
    <row r="13">
      <c r="A13" s="9" t="n">
        <v>1938</v>
      </c>
      <c r="B13" s="6" t="n">
        <v>20156</v>
      </c>
      <c r="C13" s="6" t="n">
        <v>16823</v>
      </c>
      <c r="D13" s="8" t="n">
        <v>302.3</v>
      </c>
      <c r="E13" s="8" t="n">
        <v>219.9</v>
      </c>
      <c r="F13" s="8" t="n">
        <v>568.7</v>
      </c>
      <c r="G13" s="8" t="n">
        <v>478.6</v>
      </c>
      <c r="H13" s="8" t="n">
        <v>33.4</v>
      </c>
      <c r="I13" s="8" t="n">
        <v>32.3</v>
      </c>
      <c r="J13" s="6" t="n">
        <v>38624</v>
      </c>
    </row>
    <row r="14">
      <c r="A14" s="9" t="n">
        <v>1939</v>
      </c>
      <c r="B14" s="6" t="n">
        <v>20491</v>
      </c>
      <c r="C14" s="6" t="n">
        <v>17090</v>
      </c>
      <c r="D14" s="8" t="n">
        <v>377.9</v>
      </c>
      <c r="E14" s="8" t="n">
        <v>264.4</v>
      </c>
      <c r="F14" s="8" t="n">
        <v>627.6</v>
      </c>
      <c r="G14" s="8" t="n">
        <v>534.5</v>
      </c>
      <c r="H14" s="8" t="n">
        <v>34</v>
      </c>
      <c r="I14" s="8" t="n">
        <v>33.7</v>
      </c>
      <c r="J14" s="6" t="n">
        <v>39454</v>
      </c>
    </row>
    <row r="15">
      <c r="A15" s="9" t="n">
        <v>1940</v>
      </c>
      <c r="B15" t="inlineStr">
        <is>
          <t>—</t>
        </is>
      </c>
      <c r="C15" t="inlineStr">
        <is>
          <t>—</t>
        </is>
      </c>
      <c r="D15" t="inlineStr">
        <is>
          <t>—</t>
        </is>
      </c>
      <c r="E15" t="inlineStr">
        <is>
          <t>—</t>
        </is>
      </c>
      <c r="F15" t="inlineStr">
        <is>
          <t>—</t>
        </is>
      </c>
      <c r="G15" t="inlineStr">
        <is>
          <t>—</t>
        </is>
      </c>
      <c r="H15" t="inlineStr">
        <is>
          <t>—</t>
        </is>
      </c>
      <c r="I15" t="inlineStr">
        <is>
          <t>—</t>
        </is>
      </c>
      <c r="J15" s="6" t="n">
        <v>43234</v>
      </c>
    </row>
    <row r="17">
      <c r="A17" s="2" t="inlineStr">
        <is>
          <t>Footnotes</t>
        </is>
      </c>
    </row>
    <row r="18">
      <c r="A18" t="inlineStr">
        <is>
          <t>Note: * Inclusive of former S.M.R. zone. The total population of Kwantung Province, which is not included in this table, was 1,225,570, consisting of 189,689 Japanese, 4,496 Chosenese, 1,772 other foreigners and 1,038,613 Manchoukuoans at the end of 1938.</t>
        </is>
      </c>
    </row>
    <row r="20">
      <c r="A20" s="2" t="inlineStr">
        <is>
          <t>Transcriber's notes</t>
        </is>
      </c>
    </row>
    <row r="21">
      <c r="A21" t="inlineStr">
        <is>
          <t>Row totals checked (sum of 8 parts vs printed Total): 1933 31,283.3 vs 31,284; 1934 33,315.3 vs 33,315; 1935 34,703.1 vs 34,702; 1936 35,870.5 vs 35,871; 1939 39,453.1 vs 39,454 — all reconcile within rounding.</t>
        </is>
      </c>
    </row>
    <row r="22">
      <c r="A22" t="inlineStr">
        <is>
          <t>1932: parts sum to 29,374.0 vs printed 29,969 — does NOT reconcile (diff 595). Chosenese are printed as dashes for 1932, which may explain it.</t>
        </is>
      </c>
    </row>
    <row r="23">
      <c r="A23" t="inlineStr">
        <is>
          <t>1937: parts sum to 39,949.2 vs printed 36,950 — does NOT reconcile (diff 2,999.2). Manchoukuoan Female printed '19,105' (re-read at higher zoom, clearly printed so); probably a misprint for 16,105, but left as printed.</t>
        </is>
      </c>
    </row>
    <row r="24">
      <c r="A24" t="inlineStr">
        <is>
          <t>1938: parts sum to 38,614.2 vs printed 38,624 — does NOT reconcile (diff 9.8); cells re-read.</t>
        </is>
      </c>
    </row>
    <row r="25">
      <c r="A25" t="inlineStr">
        <is>
          <t>1939 Total: the final digit is partly broken in the print but reads as '4', which agrees with the sum of parts.</t>
        </is>
      </c>
    </row>
    <row r="26">
      <c r="A26" t="inlineStr">
        <is>
          <t>Kwantung footnote: 189,689+4,496+1,772+1,038,613 = 1,234,570 vs printed 1,225,570 — does NOT reconcile (diff 9,000).</t>
        </is>
      </c>
    </row>
  </sheetData>
  <hyperlinks>
    <hyperlink xmlns:r="http://schemas.openxmlformats.org/officeDocument/2006/relationships" ref="A4"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Population by Provinces</t>
        </is>
      </c>
    </row>
    <row r="2">
      <c r="A2" t="inlineStr">
        <is>
          <t>Population and Races · printed pp. 119</t>
        </is>
      </c>
    </row>
    <row r="3">
      <c r="A3" s="3" t="inlineStr">
        <is>
          <t>← Contents</t>
        </is>
      </c>
    </row>
    <row r="5">
      <c r="A5" s="5" t="inlineStr">
        <is>
          <t>Province</t>
        </is>
      </c>
      <c r="B5" s="5" t="inlineStr">
        <is>
          <t>Population</t>
        </is>
      </c>
      <c r="C5" s="5" t="inlineStr">
        <is>
          <t>Males</t>
        </is>
      </c>
      <c r="D5" s="5" t="inlineStr">
        <is>
          <t>Females</t>
        </is>
      </c>
      <c r="E5" s="5" t="inlineStr">
        <is>
          <t>No. of males to each 100 females</t>
        </is>
      </c>
      <c r="F5" s="5" t="inlineStr">
        <is>
          <t>Population density per sq. km.</t>
        </is>
      </c>
    </row>
    <row r="6">
      <c r="A6" t="inlineStr">
        <is>
          <t>Hsinging Special Municipality</t>
        </is>
      </c>
      <c r="B6" s="6" t="n">
        <v>554202</v>
      </c>
      <c r="C6" s="6" t="n">
        <v>345710</v>
      </c>
      <c r="D6" s="6" t="n">
        <v>208492</v>
      </c>
      <c r="E6" s="8" t="n">
        <v>165.3</v>
      </c>
      <c r="F6" s="7" t="n">
        <v>1266.3</v>
      </c>
    </row>
    <row r="7">
      <c r="A7" t="inlineStr">
        <is>
          <t>Kirin Prov.</t>
        </is>
      </c>
      <c r="B7" s="6" t="n">
        <v>5865024</v>
      </c>
      <c r="C7" s="6" t="n">
        <v>3204931</v>
      </c>
      <c r="D7" s="6" t="n">
        <v>2660093</v>
      </c>
      <c r="E7" s="8" t="n">
        <v>120.5</v>
      </c>
      <c r="F7" s="8" t="n">
        <v>66</v>
      </c>
    </row>
    <row r="8">
      <c r="A8" t="inlineStr">
        <is>
          <t>Lungkiang</t>
        </is>
      </c>
      <c r="B8" s="6" t="n">
        <v>2087814</v>
      </c>
      <c r="C8" s="6" t="n">
        <v>1158841</v>
      </c>
      <c r="D8" s="6" t="n">
        <v>928251</v>
      </c>
      <c r="E8" s="8" t="n">
        <v>124.8</v>
      </c>
      <c r="F8" s="8" t="n">
        <v>30.9</v>
      </c>
    </row>
    <row r="9">
      <c r="A9" t="inlineStr">
        <is>
          <t>Peian</t>
        </is>
      </c>
      <c r="B9" s="6" t="n">
        <v>2318053</v>
      </c>
      <c r="C9" s="6" t="n">
        <v>1316478</v>
      </c>
      <c r="D9" s="6" t="n">
        <v>1001575</v>
      </c>
      <c r="E9" s="8" t="n">
        <v>131.4</v>
      </c>
      <c r="F9" s="8" t="n">
        <v>30.4</v>
      </c>
    </row>
    <row r="10">
      <c r="A10" t="inlineStr">
        <is>
          <t>Heiho</t>
        </is>
      </c>
      <c r="B10" s="6" t="n">
        <v>149679</v>
      </c>
      <c r="C10" s="6" t="n">
        <v>114613</v>
      </c>
      <c r="D10" s="6" t="n">
        <v>15066</v>
      </c>
      <c r="E10" s="8" t="n">
        <v>326.8</v>
      </c>
      <c r="F10" s="8" t="n">
        <v>1.3</v>
      </c>
    </row>
    <row r="11">
      <c r="A11" t="inlineStr">
        <is>
          <t>Sankiang</t>
        </is>
      </c>
      <c r="B11" s="6" t="n">
        <v>1417888</v>
      </c>
      <c r="C11" s="6" t="n">
        <v>853306</v>
      </c>
      <c r="D11" s="6" t="n">
        <v>564582</v>
      </c>
      <c r="E11" s="8" t="n">
        <v>151.1</v>
      </c>
      <c r="F11" s="8" t="n">
        <v>15.7</v>
      </c>
    </row>
    <row r="12">
      <c r="A12" t="inlineStr">
        <is>
          <t>Tungan</t>
        </is>
      </c>
      <c r="B12" s="6" t="n">
        <v>522833</v>
      </c>
      <c r="C12" s="6" t="n">
        <v>346596</v>
      </c>
      <c r="D12" s="6" t="n">
        <v>176265</v>
      </c>
      <c r="E12" s="8" t="n">
        <v>196.6</v>
      </c>
      <c r="F12" s="8" t="n">
        <v>12.6</v>
      </c>
    </row>
    <row r="13">
      <c r="A13" t="inlineStr">
        <is>
          <t>Mutankiang</t>
        </is>
      </c>
      <c r="B13" s="6" t="n">
        <v>689113</v>
      </c>
      <c r="C13" s="6" t="n">
        <v>447284</v>
      </c>
      <c r="D13" s="6" t="n">
        <v>241829</v>
      </c>
      <c r="E13" s="8" t="n">
        <v>185</v>
      </c>
      <c r="F13" s="8" t="n">
        <v>20.9</v>
      </c>
    </row>
    <row r="14">
      <c r="A14" t="inlineStr">
        <is>
          <t>Pinkiang</t>
        </is>
      </c>
      <c r="B14" s="6" t="n">
        <v>4236410</v>
      </c>
      <c r="C14" s="6" t="n">
        <v>2369463</v>
      </c>
      <c r="D14" s="6" t="n">
        <v>1866947</v>
      </c>
      <c r="E14" s="8" t="n">
        <v>126.9</v>
      </c>
      <c r="F14" s="8" t="n">
        <v>66.3</v>
      </c>
    </row>
    <row r="15">
      <c r="A15" t="inlineStr">
        <is>
          <t>Chientao</t>
        </is>
      </c>
      <c r="B15" s="6" t="n">
        <v>848819</v>
      </c>
      <c r="C15" s="6" t="n">
        <v>467789</v>
      </c>
      <c r="D15" s="6" t="n">
        <v>381030</v>
      </c>
      <c r="E15" s="8" t="n">
        <v>122.8</v>
      </c>
      <c r="F15" s="8" t="n">
        <v>28</v>
      </c>
    </row>
    <row r="16">
      <c r="A16" t="inlineStr">
        <is>
          <t>Tunghua</t>
        </is>
      </c>
      <c r="B16" s="6" t="n">
        <v>982942</v>
      </c>
      <c r="C16" s="6" t="n">
        <v>603688</v>
      </c>
      <c r="D16" s="6" t="n">
        <v>379254</v>
      </c>
      <c r="E16" s="8" t="n">
        <v>159.2</v>
      </c>
      <c r="F16" s="8" t="n">
        <v>31</v>
      </c>
    </row>
    <row r="17">
      <c r="A17" t="inlineStr">
        <is>
          <t>Antung</t>
        </is>
      </c>
      <c r="B17" s="6" t="n">
        <v>2233284</v>
      </c>
      <c r="C17" s="6" t="n">
        <v>1171081</v>
      </c>
      <c r="D17" s="6" t="n">
        <v>1061203</v>
      </c>
      <c r="E17" s="8" t="n">
        <v>110.4</v>
      </c>
      <c r="F17" s="8" t="n">
        <v>84.2</v>
      </c>
    </row>
    <row r="18">
      <c r="A18" t="inlineStr">
        <is>
          <t>Fengtien</t>
        </is>
      </c>
      <c r="B18" s="6" t="n">
        <v>10325530</v>
      </c>
      <c r="C18" s="6" t="n">
        <v>5606481</v>
      </c>
      <c r="D18" s="6" t="n">
        <v>4719049</v>
      </c>
      <c r="E18" s="8" t="n">
        <v>118.8</v>
      </c>
      <c r="F18" s="8" t="n">
        <v>137.9</v>
      </c>
    </row>
    <row r="19">
      <c r="A19" t="inlineStr">
        <is>
          <t>Chinchow</t>
        </is>
      </c>
      <c r="B19" s="6" t="n">
        <v>4323239</v>
      </c>
      <c r="C19" s="6" t="n">
        <v>2242270</v>
      </c>
      <c r="D19" s="6" t="n">
        <v>2080969</v>
      </c>
      <c r="E19" s="8" t="n">
        <v>107.8</v>
      </c>
      <c r="F19" s="8" t="n">
        <v>107.6</v>
      </c>
    </row>
    <row r="20">
      <c r="A20" t="inlineStr">
        <is>
          <t>Jehol</t>
        </is>
      </c>
      <c r="B20" s="6" t="n">
        <v>4557676</v>
      </c>
      <c r="C20" s="6" t="n">
        <v>2450864</v>
      </c>
      <c r="D20" s="6" t="n">
        <v>2106812</v>
      </c>
      <c r="E20" s="8" t="n">
        <v>116.3</v>
      </c>
      <c r="F20" s="8" t="n">
        <v>44.2</v>
      </c>
    </row>
    <row r="21">
      <c r="A21" t="inlineStr">
        <is>
          <t>West Hsingan</t>
        </is>
      </c>
      <c r="B21" s="6" t="n">
        <v>763804</v>
      </c>
      <c r="C21" s="6" t="n">
        <v>427756</v>
      </c>
      <c r="D21" s="6" t="n">
        <v>336048</v>
      </c>
      <c r="E21" s="8" t="n">
        <v>127.3</v>
      </c>
      <c r="F21" s="8" t="n">
        <v>10.3</v>
      </c>
    </row>
    <row r="22">
      <c r="A22" t="inlineStr">
        <is>
          <t>South Ssingan</t>
        </is>
      </c>
      <c r="B22" s="6" t="n">
        <v>1026235</v>
      </c>
      <c r="C22" s="6" t="n">
        <v>580587</v>
      </c>
      <c r="D22" s="6" t="n">
        <v>445648</v>
      </c>
      <c r="E22" s="8" t="n">
        <v>130.5</v>
      </c>
      <c r="F22" s="8" t="n">
        <v>13.4</v>
      </c>
    </row>
    <row r="23">
      <c r="A23" t="inlineStr">
        <is>
          <t>East Hsingan</t>
        </is>
      </c>
      <c r="B23" s="6" t="n">
        <v>200654</v>
      </c>
      <c r="C23" s="6" t="n">
        <v>120906</v>
      </c>
      <c r="D23" s="6" t="n">
        <v>79748</v>
      </c>
      <c r="E23" s="8" t="n">
        <v>151.6</v>
      </c>
      <c r="F23" s="8" t="n">
        <v>1.8</v>
      </c>
    </row>
    <row r="24">
      <c r="A24" t="inlineStr">
        <is>
          <t>North Hsingan</t>
        </is>
      </c>
      <c r="B24" s="6" t="n">
        <v>132477</v>
      </c>
      <c r="C24" s="6" t="n">
        <v>91347</v>
      </c>
      <c r="D24" s="6" t="n">
        <v>41130</v>
      </c>
      <c r="E24" s="8" t="n">
        <v>222.1</v>
      </c>
      <c r="F24" s="8" t="n">
        <v>0.8</v>
      </c>
    </row>
    <row r="25">
      <c r="A25" t="inlineStr">
        <is>
          <t>TOTAL</t>
        </is>
      </c>
      <c r="B25" s="6" t="n">
        <v>43233954</v>
      </c>
      <c r="C25" s="6" t="n">
        <v>23919963</v>
      </c>
      <c r="D25" s="6" t="n">
        <v>19313911</v>
      </c>
      <c r="E25" s="8" t="n">
        <v>123.8</v>
      </c>
      <c r="F25" s="8" t="n">
        <v>33.2</v>
      </c>
    </row>
    <row r="27">
      <c r="A27" s="2" t="inlineStr">
        <is>
          <t>Transcriber's notes</t>
        </is>
      </c>
    </row>
    <row r="28">
      <c r="A28" t="inlineStr">
        <is>
          <t>Stub spellings as printed: 'Hsinging Special Municipality' (sic, for Hsinking), 'South Ssingan' (sic).</t>
        </is>
      </c>
    </row>
    <row r="29">
      <c r="A29" t="inlineStr">
        <is>
          <t>Column totals: Population parts sum to 43,235,676 vs printed 43,233,954 — does NOT reconcile (diff +1,722); Males parts sum to 23,919,991 vs printed 23,919,963 — does NOT reconcile (diff +28); Females parts sum to 19,293,991 vs printed 19,313,911 — does NOT reconcile (diff −19,920). Cells re-read at higher zoom.</t>
        </is>
      </c>
    </row>
    <row r="30">
      <c r="A30" t="inlineStr">
        <is>
          <t>Row check Population = Males + Females fails for: Lungkiang (M+F 2,087,092 vs 2,087,814), Heiho (129,679 vs 149,679), Tungan (522,861 vs 522,833), Antung (2,232,284 vs 2,233,284), TOTAL (43,233,874 vs 43,233,954). All other rows reconcile.</t>
        </is>
      </c>
    </row>
    <row r="31">
      <c r="A31" t="inlineStr">
        <is>
          <t>Heiho males-per-100-females 326.8 does not match 114,613/15,066 (=760.7); it matches Females ≈ 35,066 and Population = 149,679, so Heiho Females '15,066' is probably a misprint for 35,066. Left as printed. Hsinging ratio 165.3 vs computed 165.8.</t>
        </is>
      </c>
    </row>
    <row r="32">
      <c r="A32" t="inlineStr">
        <is>
          <t>Tunghua ratio '159.2': the second digit is partly blurred but reads as 5; 603,688/379,254 = 159.2 agrees.</t>
        </is>
      </c>
    </row>
  </sheetData>
  <hyperlinks>
    <hyperlink xmlns:r="http://schemas.openxmlformats.org/officeDocument/2006/relationships" ref="A3" r:id="rId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Census Population by Cities</t>
        </is>
      </c>
    </row>
    <row r="2">
      <c r="A2" t="inlineStr">
        <is>
          <t>Population and Races · printed pp. 119, 120</t>
        </is>
      </c>
    </row>
    <row r="3">
      <c r="A3" s="3" t="inlineStr">
        <is>
          <t>← Contents</t>
        </is>
      </c>
    </row>
    <row r="5">
      <c r="A5" s="5" t="inlineStr">
        <is>
          <t>City</t>
        </is>
      </c>
      <c r="B5" s="5" t="inlineStr">
        <is>
          <t>Population</t>
        </is>
      </c>
      <c r="C5" s="5" t="inlineStr">
        <is>
          <t>Males</t>
        </is>
      </c>
      <c r="D5" s="5" t="inlineStr">
        <is>
          <t>Females</t>
        </is>
      </c>
      <c r="E5" s="5" t="inlineStr">
        <is>
          <t>No. of males to each 100 females</t>
        </is>
      </c>
      <c r="F5" s="5" t="inlineStr">
        <is>
          <t>Population density per sq. km.</t>
        </is>
      </c>
    </row>
    <row r="6">
      <c r="A6" t="inlineStr">
        <is>
          <t>Hsinking</t>
        </is>
      </c>
      <c r="B6" s="6" t="n">
        <v>544202</v>
      </c>
      <c r="C6" s="6" t="n">
        <v>345710</v>
      </c>
      <c r="D6" s="6" t="n">
        <v>208492</v>
      </c>
      <c r="E6" s="8" t="n">
        <v>165.3</v>
      </c>
      <c r="F6" s="7" t="n">
        <v>1243</v>
      </c>
    </row>
    <row r="7">
      <c r="A7" t="inlineStr">
        <is>
          <t>Mukden</t>
        </is>
      </c>
      <c r="B7" s="6" t="n">
        <v>1135801</v>
      </c>
      <c r="C7" s="6" t="n">
        <v>716604</v>
      </c>
      <c r="D7" s="6" t="n">
        <v>419197</v>
      </c>
      <c r="E7" s="8" t="n">
        <v>170.9</v>
      </c>
      <c r="F7" s="7" t="n">
        <v>4335</v>
      </c>
    </row>
    <row r="8">
      <c r="A8" t="inlineStr">
        <is>
          <t>Harbin</t>
        </is>
      </c>
      <c r="B8" s="6" t="n">
        <v>661984</v>
      </c>
      <c r="C8" s="6" t="n">
        <v>419761</v>
      </c>
      <c r="D8" s="6" t="n">
        <v>242223</v>
      </c>
      <c r="E8" s="8" t="n">
        <v>173.3</v>
      </c>
      <c r="F8" s="8" t="n">
        <v>823.6</v>
      </c>
    </row>
    <row r="9">
      <c r="A9" t="inlineStr">
        <is>
          <t>Kirin</t>
        </is>
      </c>
      <c r="B9" s="6" t="n">
        <v>173624</v>
      </c>
      <c r="C9" s="6" t="n">
        <v>104551</v>
      </c>
      <c r="D9" s="6" t="n">
        <v>69073</v>
      </c>
      <c r="E9" s="8" t="n">
        <v>151.4</v>
      </c>
      <c r="F9" s="7" t="n">
        <v>1490.9</v>
      </c>
    </row>
    <row r="10">
      <c r="A10" t="inlineStr">
        <is>
          <t>Chinchou</t>
        </is>
      </c>
      <c r="B10" s="6" t="n">
        <v>142606</v>
      </c>
      <c r="C10" s="6" t="n">
        <v>87814</v>
      </c>
      <c r="D10" s="6" t="n">
        <v>54792</v>
      </c>
      <c r="E10" s="8" t="n">
        <v>160.3</v>
      </c>
      <c r="F10" s="7" t="n">
        <v>1242.2</v>
      </c>
    </row>
    <row r="11">
      <c r="A11" t="inlineStr">
        <is>
          <t>Tsitsihar</t>
        </is>
      </c>
      <c r="B11" s="6" t="n">
        <v>133495</v>
      </c>
      <c r="C11" s="6" t="n">
        <v>82978</v>
      </c>
      <c r="D11" s="6" t="n">
        <v>50517</v>
      </c>
      <c r="E11" s="8" t="n">
        <v>164.3</v>
      </c>
      <c r="F11" s="7" t="n">
        <v>1995.1</v>
      </c>
    </row>
    <row r="12">
      <c r="A12" t="inlineStr">
        <is>
          <t>Antung</t>
        </is>
      </c>
      <c r="B12" s="6" t="n">
        <v>315242</v>
      </c>
      <c r="C12" s="6" t="n">
        <v>182551</v>
      </c>
      <c r="D12" s="6" t="n">
        <v>132691</v>
      </c>
      <c r="E12" s="8" t="n">
        <v>137.6</v>
      </c>
      <c r="F12" s="7" t="n">
        <v>1048.4</v>
      </c>
    </row>
    <row r="13">
      <c r="A13" t="inlineStr">
        <is>
          <t>Mutankiang</t>
        </is>
      </c>
      <c r="B13" s="6" t="n">
        <v>179217</v>
      </c>
      <c r="C13" s="6" t="n">
        <v>119438</v>
      </c>
      <c r="D13" s="6" t="n">
        <v>59779</v>
      </c>
      <c r="E13" s="8" t="n">
        <v>199.8</v>
      </c>
      <c r="F13" s="8" t="n">
        <v>494.1</v>
      </c>
    </row>
    <row r="14">
      <c r="A14" t="inlineStr">
        <is>
          <t>Fuhsin</t>
        </is>
      </c>
      <c r="B14" s="6" t="n">
        <v>143288</v>
      </c>
      <c r="C14" s="6" t="n">
        <v>92692</v>
      </c>
      <c r="D14" s="6" t="n">
        <v>50596</v>
      </c>
      <c r="E14" s="8" t="n">
        <v>183.2</v>
      </c>
      <c r="F14" s="8" t="n">
        <v>418.3</v>
      </c>
    </row>
    <row r="15">
      <c r="A15" t="inlineStr">
        <is>
          <t>Ssupingkai</t>
        </is>
      </c>
      <c r="B15" s="6" t="n">
        <v>68418</v>
      </c>
      <c r="C15" s="6" t="n">
        <v>40320</v>
      </c>
      <c r="D15" s="6" t="n">
        <v>28088</v>
      </c>
      <c r="E15" s="8" t="n">
        <v>143.6</v>
      </c>
      <c r="F15" s="7" t="n">
        <v>2330.3</v>
      </c>
    </row>
    <row r="16">
      <c r="A16" t="inlineStr">
        <is>
          <t>Yingkou</t>
        </is>
      </c>
      <c r="B16" s="6" t="n">
        <v>180871</v>
      </c>
      <c r="C16" s="6" t="n">
        <v>106491</v>
      </c>
      <c r="D16" s="6" t="n">
        <v>74380</v>
      </c>
      <c r="E16" s="8" t="n">
        <v>143.1</v>
      </c>
      <c r="F16" s="7" t="n">
        <v>1622.1</v>
      </c>
    </row>
    <row r="17">
      <c r="A17" t="inlineStr">
        <is>
          <t>Tiehling</t>
        </is>
      </c>
      <c r="B17" s="6" t="n">
        <v>55656</v>
      </c>
      <c r="C17" s="6" t="n">
        <v>31323</v>
      </c>
      <c r="D17" s="6" t="n">
        <v>24333</v>
      </c>
      <c r="E17" s="8" t="n">
        <v>128.7</v>
      </c>
      <c r="F17" s="7" t="n">
        <v>2528.8</v>
      </c>
    </row>
    <row r="18">
      <c r="A18" t="inlineStr">
        <is>
          <t>Penhsihu</t>
        </is>
      </c>
      <c r="B18" s="6" t="n">
        <v>100057</v>
      </c>
      <c r="C18" s="6" t="n">
        <v>72185</v>
      </c>
      <c r="D18" s="6" t="n">
        <v>27872</v>
      </c>
      <c r="E18" s="8" t="n">
        <v>259</v>
      </c>
      <c r="F18" s="7" t="n">
        <v>2867</v>
      </c>
    </row>
    <row r="19">
      <c r="A19" t="inlineStr">
        <is>
          <t>Liaoyang</t>
        </is>
      </c>
      <c r="B19" s="6" t="n">
        <v>100165</v>
      </c>
      <c r="C19" s="6" t="n">
        <v>56218</v>
      </c>
      <c r="D19" s="6" t="n">
        <v>43947</v>
      </c>
      <c r="E19" s="8" t="n">
        <v>127.9</v>
      </c>
      <c r="F19" s="7" t="n">
        <v>3731.9</v>
      </c>
    </row>
    <row r="20">
      <c r="A20" t="inlineStr">
        <is>
          <t>Anshan</t>
        </is>
      </c>
      <c r="B20" s="6" t="n">
        <v>213865</v>
      </c>
      <c r="C20" s="6" t="n">
        <v>131926</v>
      </c>
      <c r="D20" s="6" t="n">
        <v>81939</v>
      </c>
      <c r="E20" s="8" t="n">
        <v>161</v>
      </c>
      <c r="F20" s="7" t="n">
        <v>1735.4</v>
      </c>
    </row>
    <row r="21">
      <c r="A21" t="inlineStr">
        <is>
          <t>Chiamussu</t>
        </is>
      </c>
      <c r="B21" s="6" t="n">
        <v>128667</v>
      </c>
      <c r="C21" s="6" t="n">
        <v>95336</v>
      </c>
      <c r="D21" s="6" t="n">
        <v>43431</v>
      </c>
      <c r="E21" s="8" t="n">
        <v>196.3</v>
      </c>
      <c r="F21" s="7" t="n">
        <v>1133.2</v>
      </c>
    </row>
    <row r="22">
      <c r="A22" t="inlineStr">
        <is>
          <t>Hailar</t>
        </is>
      </c>
      <c r="B22" s="6" t="n">
        <v>39877</v>
      </c>
      <c r="C22" s="6" t="n">
        <v>29499</v>
      </c>
      <c r="D22" s="6" t="n">
        <v>10378</v>
      </c>
      <c r="E22" s="8" t="n">
        <v>184.2</v>
      </c>
      <c r="F22" s="7" t="n">
        <v>2345.7</v>
      </c>
    </row>
    <row r="24">
      <c r="A24" s="2" t="inlineStr">
        <is>
          <t>Transcriber's notes</t>
        </is>
      </c>
    </row>
    <row r="25">
      <c r="A25" t="inlineStr">
        <is>
          <t>Continues from p.119 (Hsinking, Mukden, Harbin) to p.120, which is headed '(Continued)' and repeats the column heads; merged here. No total row is printed.</t>
        </is>
      </c>
    </row>
    <row r="26">
      <c r="A26" t="inlineStr">
        <is>
          <t>Row check Population = Males + Females fails for: Hsinking (M+F 554,202 vs printed 544,202; the text and Table 2 give 554,202), Ssupingkai (68,408 vs 68,418), Chiamussu (138,767 vs 128,667). The other rows reconcile.</t>
        </is>
      </c>
    </row>
    <row r="27">
      <c r="A27" t="inlineStr">
        <is>
          <t>Ratio column: Chiamussu 196.3 vs computed 219.5; Hailar 184.2 vs computed 284.2 (29,499/10,378); Hsinking 165.3 vs 165.8. Printed as shown.</t>
        </is>
      </c>
    </row>
    <row r="28">
      <c r="A28" t="inlineStr">
        <is>
          <t>Parts sum (no printed total): Population 4,317,035; the text gives 4,596,954 for Hsinking plus 17 cities, and 17 rows are printed (Hsinking + 16 cities), so the numbers are not directly comparable.</t>
        </is>
      </c>
    </row>
  </sheetData>
  <hyperlinks>
    <hyperlink xmlns:r="http://schemas.openxmlformats.org/officeDocument/2006/relationships" ref="A3" r:id="rId1"/>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Population Classified by Occupations</t>
        </is>
      </c>
    </row>
    <row r="2">
      <c r="A2" t="inlineStr">
        <is>
          <t>Population and Races · printed pp. 120</t>
        </is>
      </c>
    </row>
    <row r="3">
      <c r="A3" t="inlineStr">
        <is>
          <t>(December 1937)</t>
        </is>
      </c>
    </row>
    <row r="4">
      <c r="A4" s="3" t="inlineStr">
        <is>
          <t>← Contents</t>
        </is>
      </c>
    </row>
    <row r="6">
      <c r="A6" s="5" t="inlineStr">
        <is>
          <t>Occupation</t>
        </is>
      </c>
      <c r="B6" s="5" t="inlineStr">
        <is>
          <t>Manchoukuoan</t>
        </is>
      </c>
      <c r="C6" s="5" t="inlineStr">
        <is>
          <t>Manchoukuoan — %</t>
        </is>
      </c>
      <c r="D6" s="5" t="inlineStr">
        <is>
          <t>Japanese</t>
        </is>
      </c>
      <c r="E6" s="5" t="inlineStr">
        <is>
          <t>Japanese — %</t>
        </is>
      </c>
      <c r="F6" s="5" t="inlineStr">
        <is>
          <t>Chosenese</t>
        </is>
      </c>
      <c r="G6" s="5" t="inlineStr">
        <is>
          <t>Chosenese — %</t>
        </is>
      </c>
      <c r="H6" s="5" t="inlineStr">
        <is>
          <t>Others</t>
        </is>
      </c>
      <c r="I6" s="5" t="inlineStr">
        <is>
          <t>Others — %</t>
        </is>
      </c>
      <c r="J6" s="5" t="inlineStr">
        <is>
          <t>Total</t>
        </is>
      </c>
      <c r="K6" s="5" t="inlineStr">
        <is>
          <t>Total — %</t>
        </is>
      </c>
    </row>
    <row r="7">
      <c r="A7" t="inlineStr">
        <is>
          <t>Agriculture and Forestry</t>
        </is>
      </c>
      <c r="B7" s="6" t="n">
        <v>21722254</v>
      </c>
      <c r="C7" s="8" t="n">
        <v>60.1</v>
      </c>
      <c r="D7" s="6" t="n">
        <v>10098</v>
      </c>
      <c r="E7" s="8" t="n">
        <v>2.4</v>
      </c>
      <c r="F7" s="6" t="n">
        <v>527463</v>
      </c>
      <c r="G7" s="8" t="n">
        <v>56.5</v>
      </c>
      <c r="H7" s="6" t="n">
        <v>8728</v>
      </c>
      <c r="I7" s="8" t="n">
        <v>13.1</v>
      </c>
      <c r="J7" s="6" t="n">
        <v>22268543</v>
      </c>
      <c r="K7" t="inlineStr"/>
    </row>
    <row r="8">
      <c r="A8" t="inlineStr">
        <is>
          <t>Aquatic</t>
        </is>
      </c>
      <c r="B8" s="6" t="n">
        <v>50053</v>
      </c>
      <c r="C8" s="8" t="n">
        <v>0.1</v>
      </c>
      <c r="D8" s="9" t="n">
        <v>235</v>
      </c>
      <c r="E8" s="8" t="n">
        <v>0</v>
      </c>
      <c r="F8" s="6" t="n">
        <v>5428</v>
      </c>
      <c r="G8" s="8" t="n">
        <v>0.6</v>
      </c>
      <c r="H8" s="9" t="n">
        <v>293</v>
      </c>
      <c r="I8" s="8" t="n">
        <v>0.4</v>
      </c>
      <c r="J8" s="6" t="n">
        <v>56009</v>
      </c>
      <c r="K8" t="inlineStr"/>
    </row>
    <row r="9">
      <c r="A9" t="inlineStr">
        <is>
          <t>Mining</t>
        </is>
      </c>
      <c r="B9" s="6" t="n">
        <v>172773</v>
      </c>
      <c r="C9" s="8" t="n">
        <v>0.5</v>
      </c>
      <c r="D9" s="6" t="n">
        <v>25638</v>
      </c>
      <c r="E9" s="8" t="n">
        <v>6</v>
      </c>
      <c r="F9" s="6" t="n">
        <v>5331</v>
      </c>
      <c r="G9" s="8" t="n">
        <v>0.6</v>
      </c>
      <c r="H9" s="9" t="n">
        <v>322</v>
      </c>
      <c r="I9" s="8" t="n">
        <v>0.5</v>
      </c>
      <c r="J9" s="6" t="n">
        <v>204064</v>
      </c>
      <c r="K9" t="inlineStr"/>
    </row>
    <row r="10">
      <c r="A10" t="inlineStr">
        <is>
          <t>Mfg. Ind.</t>
        </is>
      </c>
      <c r="B10" s="6" t="n">
        <v>1032967</v>
      </c>
      <c r="C10" s="8" t="n">
        <v>2.9</v>
      </c>
      <c r="D10" s="6" t="n">
        <v>39910</v>
      </c>
      <c r="E10" s="8" t="n">
        <v>9.5</v>
      </c>
      <c r="F10" s="6" t="n">
        <v>30057</v>
      </c>
      <c r="G10" s="8" t="n">
        <v>3.2</v>
      </c>
      <c r="H10" s="6" t="n">
        <v>6659</v>
      </c>
      <c r="I10" s="8" t="n">
        <v>10</v>
      </c>
      <c r="J10" s="6" t="n">
        <v>1109593</v>
      </c>
      <c r="K10" t="inlineStr"/>
    </row>
    <row r="11">
      <c r="A11" t="inlineStr">
        <is>
          <t>Commerce</t>
        </is>
      </c>
      <c r="B11" s="6" t="n">
        <v>1636297</v>
      </c>
      <c r="C11" s="8" t="n">
        <v>4.6</v>
      </c>
      <c r="D11" s="6" t="n">
        <v>73134</v>
      </c>
      <c r="E11" s="8" t="n">
        <v>18.4</v>
      </c>
      <c r="F11" s="6" t="n">
        <v>40676</v>
      </c>
      <c r="G11" s="8" t="n">
        <v>4.3</v>
      </c>
      <c r="H11" s="6" t="n">
        <v>6270</v>
      </c>
      <c r="I11" s="8" t="n">
        <v>9.4</v>
      </c>
      <c r="J11" s="6" t="n">
        <v>1756377</v>
      </c>
      <c r="K11" t="inlineStr"/>
    </row>
    <row r="12">
      <c r="A12" t="inlineStr">
        <is>
          <t>Transportation</t>
        </is>
      </c>
      <c r="B12" s="6" t="n">
        <v>109455</v>
      </c>
      <c r="C12" s="8" t="n">
        <v>0.3</v>
      </c>
      <c r="D12" s="6" t="n">
        <v>29194</v>
      </c>
      <c r="E12" s="8" t="n">
        <v>6.9</v>
      </c>
      <c r="F12" s="6" t="n">
        <v>5075</v>
      </c>
      <c r="G12" s="8" t="n">
        <v>0.6</v>
      </c>
      <c r="H12" s="6" t="n">
        <v>3388</v>
      </c>
      <c r="I12" s="8" t="n">
        <v>5.1</v>
      </c>
      <c r="J12" s="6" t="n">
        <v>147112</v>
      </c>
      <c r="K12" t="inlineStr"/>
    </row>
    <row r="13">
      <c r="A13" t="inlineStr">
        <is>
          <t>Official and Free Occupations</t>
        </is>
      </c>
      <c r="B13" s="6" t="n">
        <v>1317560</v>
      </c>
      <c r="C13" s="8" t="n">
        <v>3.7</v>
      </c>
      <c r="D13" s="6" t="n">
        <v>78413</v>
      </c>
      <c r="E13" s="8" t="n">
        <v>18.7</v>
      </c>
      <c r="F13" s="6" t="n">
        <v>37657</v>
      </c>
      <c r="G13" s="8" t="n">
        <v>4</v>
      </c>
      <c r="H13" s="6" t="n">
        <v>9322</v>
      </c>
      <c r="I13" s="8" t="n">
        <v>14</v>
      </c>
      <c r="J13" s="6" t="n">
        <v>1442952</v>
      </c>
      <c r="K13" t="inlineStr"/>
    </row>
    <row r="14">
      <c r="A14" t="inlineStr">
        <is>
          <t>Domestic Workers</t>
        </is>
      </c>
      <c r="B14" s="6" t="n">
        <v>2838110</v>
      </c>
      <c r="C14" s="8" t="n">
        <v>8</v>
      </c>
      <c r="D14" s="6" t="n">
        <v>22014</v>
      </c>
      <c r="E14" s="8" t="n">
        <v>5.3</v>
      </c>
      <c r="F14" s="6" t="n">
        <v>62882</v>
      </c>
      <c r="G14" s="8" t="n">
        <v>6.3</v>
      </c>
      <c r="H14" s="6" t="n">
        <v>12670</v>
      </c>
      <c r="I14" s="8" t="n">
        <v>19.2</v>
      </c>
      <c r="J14" s="6" t="n">
        <v>2935676</v>
      </c>
      <c r="K14" t="inlineStr"/>
    </row>
    <row r="15">
      <c r="A15" t="inlineStr">
        <is>
          <t>Other Occupations</t>
        </is>
      </c>
      <c r="B15" s="6" t="n">
        <v>1701209</v>
      </c>
      <c r="C15" s="8" t="n">
        <v>4.8</v>
      </c>
      <c r="D15" s="6" t="n">
        <v>40876</v>
      </c>
      <c r="E15" s="8" t="n">
        <v>9.800000000000001</v>
      </c>
      <c r="F15" s="6" t="n">
        <v>55052</v>
      </c>
      <c r="G15" s="8" t="n">
        <v>5.9</v>
      </c>
      <c r="H15" s="6" t="n">
        <v>9479</v>
      </c>
      <c r="I15" s="8" t="n">
        <v>14.3</v>
      </c>
      <c r="J15" s="6" t="n">
        <v>1806616</v>
      </c>
      <c r="K15" t="inlineStr"/>
    </row>
    <row r="16">
      <c r="A16" t="inlineStr">
        <is>
          <t>Without Occupations</t>
        </is>
      </c>
      <c r="B16" s="6" t="n">
        <v>4953053</v>
      </c>
      <c r="C16" s="8" t="n">
        <v>15</v>
      </c>
      <c r="D16" s="6" t="n">
        <v>98788</v>
      </c>
      <c r="E16" s="8" t="n">
        <v>23</v>
      </c>
      <c r="F16" s="6" t="n">
        <v>161999</v>
      </c>
      <c r="G16" s="8" t="n">
        <v>17.4</v>
      </c>
      <c r="H16" s="6" t="n">
        <v>9190</v>
      </c>
      <c r="I16" s="8" t="n">
        <v>13.7</v>
      </c>
      <c r="J16" s="6" t="n">
        <v>5223030</v>
      </c>
      <c r="K16" t="inlineStr"/>
    </row>
    <row r="17">
      <c r="A17" t="inlineStr">
        <is>
          <t>Total</t>
        </is>
      </c>
      <c r="B17" s="6" t="n">
        <v>35533731</v>
      </c>
      <c r="C17" s="8" t="n">
        <v>100</v>
      </c>
      <c r="D17" s="6" t="n">
        <v>418300</v>
      </c>
      <c r="E17" s="8" t="n">
        <v>100</v>
      </c>
      <c r="F17" s="6" t="n">
        <v>931620</v>
      </c>
      <c r="G17" s="8" t="n">
        <v>100</v>
      </c>
      <c r="H17" s="6" t="n">
        <v>66321</v>
      </c>
      <c r="I17" s="8" t="n">
        <v>100</v>
      </c>
      <c r="J17" s="6" t="n">
        <v>36949972</v>
      </c>
      <c r="K17" t="inlineStr"/>
    </row>
    <row r="19">
      <c r="A19" s="2" t="inlineStr">
        <is>
          <t>Transcriber's notes</t>
        </is>
      </c>
    </row>
    <row r="20">
      <c r="A20" t="inlineStr">
        <is>
          <t>The 'Total — %' column is lost in the book's gutter: only the first one or two characters of each figure show (e.g. '60.', '0.', '3.', '14', '100'), so every cell in that column is left blank.</t>
        </is>
      </c>
    </row>
    <row r="21">
      <c r="A21" t="inlineStr">
        <is>
          <t>Stub letters damaged in print: 'Without Occupations' shows as 'Without Occupa- ti ns'; 'Total' shows only as '..al'. Written out in full.</t>
        </is>
      </c>
    </row>
    <row r="22">
      <c r="A22" t="inlineStr">
        <is>
          <t>Column totals: Manchoukuoan, Japanese, Chosenese, Others and Total counts all reconcile exactly (35,533,731; 418,300; 931,620; 66,321; 36,949,972). % columns: Manchoukuoan 100.0 and Japanese 100.0 reconcile; Chosenese % parts sum to 99.4 and Others % to 99.7 vs 100.0 printed (rounding/misprint, not corrected).</t>
        </is>
      </c>
    </row>
    <row r="23">
      <c r="A23" t="inlineStr">
        <is>
          <t>Row totals (sum of four groups = Total) reconcile for every row.</t>
        </is>
      </c>
    </row>
  </sheetData>
  <hyperlinks>
    <hyperlink xmlns:r="http://schemas.openxmlformats.org/officeDocument/2006/relationships" ref="A4"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Manchoukuoans Classified by Races</t>
        </is>
      </c>
    </row>
    <row r="2">
      <c r="A2" t="inlineStr">
        <is>
          <t>Population and Races · printed pp. 120, 121</t>
        </is>
      </c>
    </row>
    <row r="3">
      <c r="A3" t="inlineStr">
        <is>
          <t>(Dec. 1939)</t>
        </is>
      </c>
    </row>
    <row r="4">
      <c r="A4" s="3" t="inlineStr">
        <is>
          <t>← Contents</t>
        </is>
      </c>
    </row>
    <row r="6">
      <c r="A6" s="2" t="inlineStr">
        <is>
          <t>[Manchoukuoans]</t>
        </is>
      </c>
    </row>
    <row r="7">
      <c r="A7" s="5" t="inlineStr">
        <is>
          <t>Province</t>
        </is>
      </c>
      <c r="B7" s="5" t="inlineStr">
        <is>
          <t>Manchus &amp; Hans</t>
        </is>
      </c>
      <c r="C7" s="5" t="inlineStr">
        <is>
          <t>Mongolians</t>
        </is>
      </c>
      <c r="D7" s="5" t="inlineStr">
        <is>
          <t>Mohammedans</t>
        </is>
      </c>
      <c r="E7" s="5" t="inlineStr">
        <is>
          <t>Total</t>
        </is>
      </c>
    </row>
    <row r="8">
      <c r="A8" t="inlineStr">
        <is>
          <t>Hsinking</t>
        </is>
      </c>
      <c r="B8" t="inlineStr">
        <is>
          <t>301 078</t>
        </is>
      </c>
      <c r="C8" s="9" t="n">
        <v>405</v>
      </c>
      <c r="D8" s="6" t="n">
        <v>4958</v>
      </c>
      <c r="E8" s="6" t="n">
        <v>306441</v>
      </c>
    </row>
    <row r="9">
      <c r="A9" t="inlineStr">
        <is>
          <t>Kirin</t>
        </is>
      </c>
      <c r="B9" s="6" t="n">
        <v>5156953</v>
      </c>
      <c r="C9" s="6" t="n">
        <v>22919</v>
      </c>
      <c r="D9" s="6" t="n">
        <v>29020</v>
      </c>
      <c r="E9" s="6" t="n">
        <v>5208892</v>
      </c>
    </row>
    <row r="10">
      <c r="A10" t="inlineStr">
        <is>
          <t>Lungkiang</t>
        </is>
      </c>
      <c r="B10" s="6" t="n">
        <v>1670714</v>
      </c>
      <c r="C10" s="6" t="n">
        <v>123152</v>
      </c>
      <c r="D10" s="6" t="n">
        <v>6241</v>
      </c>
      <c r="E10" s="6" t="n">
        <v>1800807</v>
      </c>
    </row>
    <row r="11">
      <c r="A11" t="inlineStr">
        <is>
          <t>Peian</t>
        </is>
      </c>
      <c r="B11" s="6" t="n">
        <v>2025016</v>
      </c>
      <c r="C11" s="6" t="n">
        <v>1885</v>
      </c>
      <c r="D11" s="6" t="n">
        <v>3585</v>
      </c>
      <c r="E11" s="6" t="n">
        <v>2030486</v>
      </c>
    </row>
    <row r="12">
      <c r="A12" t="inlineStr">
        <is>
          <t>Heiho</t>
        </is>
      </c>
      <c r="B12" s="6" t="n">
        <v>76218</v>
      </c>
      <c r="C12" s="9" t="n">
        <v>18</v>
      </c>
      <c r="D12" s="9" t="n">
        <v>760</v>
      </c>
      <c r="E12" s="6" t="n">
        <v>76996</v>
      </c>
    </row>
    <row r="13">
      <c r="A13" t="inlineStr">
        <is>
          <t>Sankiang</t>
        </is>
      </c>
      <c r="B13" s="6" t="n">
        <v>1159108</v>
      </c>
      <c r="C13" t="inlineStr">
        <is>
          <t>—</t>
        </is>
      </c>
      <c r="D13" s="6" t="n">
        <v>2946</v>
      </c>
      <c r="E13" s="6" t="n">
        <v>1162054</v>
      </c>
    </row>
    <row r="14">
      <c r="A14" t="inlineStr">
        <is>
          <t>Tungan</t>
        </is>
      </c>
      <c r="B14" s="6" t="n">
        <v>294370</v>
      </c>
      <c r="C14" t="inlineStr">
        <is>
          <t>—</t>
        </is>
      </c>
      <c r="D14" s="9" t="n">
        <v>178</v>
      </c>
      <c r="E14" s="6" t="n">
        <v>294548</v>
      </c>
    </row>
    <row r="15">
      <c r="A15" t="inlineStr">
        <is>
          <t>Mutankiang</t>
        </is>
      </c>
      <c r="B15" s="6" t="n">
        <v>336103</v>
      </c>
      <c r="C15" s="9" t="n">
        <v>13</v>
      </c>
      <c r="D15" s="6" t="n">
        <v>1719</v>
      </c>
      <c r="E15" s="6" t="n">
        <v>337835</v>
      </c>
    </row>
    <row r="16">
      <c r="A16" t="inlineStr">
        <is>
          <t>Pinkiang</t>
        </is>
      </c>
      <c r="B16" s="6" t="n">
        <v>3685784</v>
      </c>
      <c r="C16" s="6" t="n">
        <v>10942</v>
      </c>
      <c r="D16" s="6" t="n">
        <v>10280</v>
      </c>
      <c r="E16" s="6" t="n">
        <v>3707006</v>
      </c>
    </row>
    <row r="17">
      <c r="A17" t="inlineStr">
        <is>
          <t>Chientao</t>
        </is>
      </c>
      <c r="B17" s="6" t="n">
        <v>172936</v>
      </c>
      <c r="C17" t="inlineStr">
        <is>
          <t>—</t>
        </is>
      </c>
      <c r="D17" s="9" t="n">
        <v>606</v>
      </c>
      <c r="E17" s="6" t="n">
        <v>173542</v>
      </c>
    </row>
    <row r="18">
      <c r="A18" t="inlineStr">
        <is>
          <t>Tunghua</t>
        </is>
      </c>
      <c r="B18" s="6" t="n">
        <v>757606</v>
      </c>
      <c r="C18" s="9" t="n">
        <v>3</v>
      </c>
      <c r="D18" s="6" t="n">
        <v>3428</v>
      </c>
      <c r="E18" s="6" t="n">
        <v>761037</v>
      </c>
    </row>
    <row r="19">
      <c r="A19" t="inlineStr">
        <is>
          <t>Antung</t>
        </is>
      </c>
      <c r="B19" s="6" t="n">
        <v>2128962</v>
      </c>
      <c r="C19" s="9" t="n">
        <v>4</v>
      </c>
      <c r="D19" s="6" t="n">
        <v>9131</v>
      </c>
      <c r="E19" s="6" t="n">
        <v>2138097</v>
      </c>
    </row>
    <row r="20">
      <c r="A20" t="inlineStr">
        <is>
          <t>Fengtien</t>
        </is>
      </c>
      <c r="B20" s="6" t="n">
        <v>9349317</v>
      </c>
      <c r="C20" s="6" t="n">
        <v>6909</v>
      </c>
      <c r="D20" s="6" t="n">
        <v>52532</v>
      </c>
      <c r="E20" s="6" t="n">
        <v>9408758</v>
      </c>
    </row>
    <row r="21">
      <c r="A21" t="inlineStr">
        <is>
          <t>Chinchow</t>
        </is>
      </c>
      <c r="B21" s="6" t="n">
        <v>4045238</v>
      </c>
      <c r="C21" s="6" t="n">
        <v>146163</v>
      </c>
      <c r="D21" s="6" t="n">
        <v>15709</v>
      </c>
      <c r="E21" s="6" t="n">
        <v>4207110</v>
      </c>
    </row>
    <row r="22">
      <c r="A22" t="inlineStr">
        <is>
          <t>Jehol</t>
        </is>
      </c>
      <c r="B22" s="6" t="n">
        <v>4043431</v>
      </c>
      <c r="C22" s="6" t="n">
        <v>138371</v>
      </c>
      <c r="D22" s="6" t="n">
        <v>24771</v>
      </c>
      <c r="E22" s="6" t="n">
        <v>4206573</v>
      </c>
    </row>
    <row r="23">
      <c r="A23" t="inlineStr">
        <is>
          <t>Hsingan W.</t>
        </is>
      </c>
      <c r="B23" s="6" t="n">
        <v>518930</v>
      </c>
      <c r="C23" s="6" t="n">
        <v>134422</v>
      </c>
      <c r="D23" s="6" t="n">
        <v>3601</v>
      </c>
      <c r="E23" s="6" t="n">
        <v>656953</v>
      </c>
    </row>
    <row r="24">
      <c r="A24" t="inlineStr">
        <is>
          <t>Hsingan S.</t>
        </is>
      </c>
      <c r="B24" s="6" t="n">
        <v>502296</v>
      </c>
      <c r="C24" s="6" t="n">
        <v>397577</v>
      </c>
      <c r="D24" s="6" t="n">
        <v>2482</v>
      </c>
      <c r="E24" s="6" t="n">
        <v>902355</v>
      </c>
    </row>
    <row r="25">
      <c r="A25" t="inlineStr">
        <is>
          <t>Hsingan E.</t>
        </is>
      </c>
      <c r="B25" s="6" t="n">
        <v>110673</v>
      </c>
      <c r="C25" s="6" t="n">
        <v>20622</v>
      </c>
      <c r="D25" s="9" t="n">
        <v>54</v>
      </c>
      <c r="E25" s="6" t="n">
        <v>131349</v>
      </c>
    </row>
    <row r="26">
      <c r="A26" t="inlineStr">
        <is>
          <t>Hsingan N.</t>
        </is>
      </c>
      <c r="B26" s="6" t="n">
        <v>38681</v>
      </c>
      <c r="C26" s="6" t="n">
        <v>31420</v>
      </c>
      <c r="D26" s="9" t="n">
        <v>893</v>
      </c>
      <c r="E26" s="6" t="n">
        <v>70994</v>
      </c>
    </row>
    <row r="27">
      <c r="A27" t="inlineStr">
        <is>
          <t>Total</t>
        </is>
      </c>
      <c r="B27" s="6" t="n">
        <v>36373414</v>
      </c>
      <c r="C27" s="6" t="n">
        <v>1035525</v>
      </c>
      <c r="D27" s="6" t="n">
        <v>172894</v>
      </c>
      <c r="E27" s="6" t="n">
        <v>37581833</v>
      </c>
    </row>
    <row r="29">
      <c r="A29" s="2" t="inlineStr">
        <is>
          <t>[Japanese, other nationalities and grand total]</t>
        </is>
      </c>
    </row>
    <row r="30">
      <c r="A30" s="5" t="inlineStr">
        <is>
          <t>Province</t>
        </is>
      </c>
      <c r="B30" s="5" t="inlineStr">
        <is>
          <t>Japanese — Proper</t>
        </is>
      </c>
      <c r="C30" s="5" t="inlineStr">
        <is>
          <t>Japanese — Chosenese</t>
        </is>
      </c>
      <c r="D30" s="5" t="inlineStr">
        <is>
          <t>Others Nationalities</t>
        </is>
      </c>
      <c r="E30" s="5" t="inlineStr">
        <is>
          <t>Grand Total</t>
        </is>
      </c>
    </row>
    <row r="31">
      <c r="A31" t="inlineStr">
        <is>
          <t>Hsinking</t>
        </is>
      </c>
      <c r="B31" s="6" t="n">
        <v>95593</v>
      </c>
      <c r="C31" s="6" t="n">
        <v>12468</v>
      </c>
      <c r="D31" s="9" t="n">
        <v>971</v>
      </c>
      <c r="E31" s="6" t="n">
        <v>415473</v>
      </c>
    </row>
    <row r="32">
      <c r="A32" t="inlineStr">
        <is>
          <t>Kirin</t>
        </is>
      </c>
      <c r="B32" s="6" t="n">
        <v>33127</v>
      </c>
      <c r="C32" s="6" t="n">
        <v>119908</v>
      </c>
      <c r="D32" s="9" t="n">
        <v>544</v>
      </c>
      <c r="E32" s="6" t="n">
        <v>5362471</v>
      </c>
    </row>
    <row r="33">
      <c r="A33" t="inlineStr">
        <is>
          <t>Lungkiang</t>
        </is>
      </c>
      <c r="B33" s="6" t="n">
        <v>18248</v>
      </c>
      <c r="C33" s="6" t="n">
        <v>4850</v>
      </c>
      <c r="D33" s="9" t="n">
        <v>667</v>
      </c>
      <c r="E33" s="6" t="n">
        <v>1824572</v>
      </c>
    </row>
    <row r="34">
      <c r="A34" t="inlineStr">
        <is>
          <t>Peian</t>
        </is>
      </c>
      <c r="B34" s="6" t="n">
        <v>20585</v>
      </c>
      <c r="C34" s="6" t="n">
        <v>14736</v>
      </c>
      <c r="D34" s="9" t="n">
        <v>239</v>
      </c>
      <c r="E34" s="6" t="n">
        <v>2066217</v>
      </c>
    </row>
    <row r="35">
      <c r="A35" t="inlineStr">
        <is>
          <t>Heiho</t>
        </is>
      </c>
      <c r="B35" s="6" t="n">
        <v>6067</v>
      </c>
      <c r="C35" s="6" t="n">
        <v>1075</v>
      </c>
      <c r="D35" s="9" t="n">
        <v>195</v>
      </c>
      <c r="E35" s="6" t="n">
        <v>85064</v>
      </c>
    </row>
    <row r="36">
      <c r="A36" t="inlineStr">
        <is>
          <t>Sankiang</t>
        </is>
      </c>
      <c r="B36" s="6" t="n">
        <v>24937</v>
      </c>
      <c r="C36" s="6" t="n">
        <v>23524</v>
      </c>
      <c r="D36" s="9" t="n">
        <v>335</v>
      </c>
      <c r="E36" s="6" t="n">
        <v>1210945</v>
      </c>
    </row>
    <row r="37">
      <c r="A37" t="inlineStr">
        <is>
          <t>Tungan</t>
        </is>
      </c>
      <c r="B37" s="6" t="n">
        <v>14635</v>
      </c>
      <c r="C37" s="6" t="n">
        <v>27312</v>
      </c>
      <c r="D37" s="9" t="n">
        <v>151</v>
      </c>
      <c r="E37" s="6" t="n">
        <v>336812</v>
      </c>
    </row>
    <row r="38">
      <c r="A38" t="inlineStr">
        <is>
          <t>Mutankiang</t>
        </is>
      </c>
      <c r="B38" s="6" t="n">
        <v>29902</v>
      </c>
      <c r="C38" s="6" t="n">
        <v>76115</v>
      </c>
      <c r="D38" s="6" t="n">
        <v>2065</v>
      </c>
      <c r="E38" s="6" t="n">
        <v>445385</v>
      </c>
    </row>
    <row r="39">
      <c r="A39" t="inlineStr">
        <is>
          <t>Pinkiang</t>
        </is>
      </c>
      <c r="B39" s="6" t="n">
        <v>49738</v>
      </c>
      <c r="C39" s="6" t="n">
        <v>42171</v>
      </c>
      <c r="D39" s="6" t="n">
        <v>17447</v>
      </c>
      <c r="E39" s="6" t="n">
        <v>3835652</v>
      </c>
    </row>
    <row r="40">
      <c r="A40" t="inlineStr">
        <is>
          <t>Chientao</t>
        </is>
      </c>
      <c r="B40" s="6" t="n">
        <v>15857</v>
      </c>
      <c r="C40" s="6" t="n">
        <v>548717</v>
      </c>
      <c r="D40" s="9" t="n">
        <v>104</v>
      </c>
      <c r="E40" s="6" t="n">
        <v>738294</v>
      </c>
    </row>
    <row r="41">
      <c r="A41" t="inlineStr">
        <is>
          <t>Tunghua</t>
        </is>
      </c>
      <c r="B41" s="6" t="n">
        <v>6362</v>
      </c>
      <c r="C41" s="6" t="n">
        <v>82155</v>
      </c>
      <c r="D41" s="9" t="n">
        <v>115</v>
      </c>
      <c r="E41" s="6" t="n">
        <v>849690</v>
      </c>
    </row>
    <row r="42">
      <c r="A42" t="inlineStr">
        <is>
          <t>Antung</t>
        </is>
      </c>
      <c r="B42" s="6" t="n">
        <v>23106</v>
      </c>
      <c r="C42" s="6" t="n">
        <v>54486</v>
      </c>
      <c r="D42" s="9" t="n">
        <v>32</v>
      </c>
      <c r="E42" s="6" t="n">
        <v>2215779</v>
      </c>
    </row>
    <row r="43">
      <c r="A43" t="inlineStr">
        <is>
          <t>Fengtien</t>
        </is>
      </c>
      <c r="B43" s="6" t="n">
        <v>257265</v>
      </c>
      <c r="C43" s="6" t="n">
        <v>127664</v>
      </c>
      <c r="D43" s="9" t="n">
        <v>813</v>
      </c>
      <c r="E43" s="6" t="n">
        <v>9795138</v>
      </c>
    </row>
    <row r="44">
      <c r="A44" t="inlineStr">
        <is>
          <t>Chinchow</t>
        </is>
      </c>
      <c r="B44" s="6" t="n">
        <v>28991</v>
      </c>
      <c r="C44" s="6" t="n">
        <v>18787</v>
      </c>
      <c r="D44" s="9" t="n">
        <v>65</v>
      </c>
      <c r="E44" s="6" t="n">
        <v>4254983</v>
      </c>
    </row>
    <row r="45">
      <c r="A45" t="inlineStr">
        <is>
          <t>Jehol</t>
        </is>
      </c>
      <c r="B45" s="6" t="n">
        <v>7706</v>
      </c>
      <c r="C45" s="9" t="n">
        <v>969</v>
      </c>
      <c r="D45" s="9" t="n">
        <v>53</v>
      </c>
      <c r="E45" s="6" t="n">
        <v>4215325</v>
      </c>
    </row>
    <row r="46">
      <c r="A46" t="inlineStr">
        <is>
          <t>Hsingan W.</t>
        </is>
      </c>
      <c r="B46" s="9" t="n">
        <v>816</v>
      </c>
      <c r="C46" s="9" t="n">
        <v>971</v>
      </c>
      <c r="D46" s="9" t="n">
        <v>17</v>
      </c>
      <c r="E46" s="6" t="n">
        <v>658763</v>
      </c>
    </row>
    <row r="47">
      <c r="A47" t="inlineStr">
        <is>
          <t>Hsingan S.</t>
        </is>
      </c>
      <c r="B47" s="6" t="n">
        <v>2424</v>
      </c>
      <c r="C47" s="6" t="n">
        <v>4485</v>
      </c>
      <c r="D47" s="9" t="n">
        <v>7</v>
      </c>
      <c r="E47" s="6" t="n">
        <v>909276</v>
      </c>
    </row>
    <row r="48">
      <c r="A48" t="inlineStr">
        <is>
          <t>Hsingan E.</t>
        </is>
      </c>
      <c r="B48" s="6" t="n">
        <v>2440</v>
      </c>
      <c r="C48" s="6" t="n">
        <v>1304</v>
      </c>
      <c r="D48" s="6" t="n">
        <v>1535</v>
      </c>
      <c r="E48" s="6" t="n">
        <v>137572</v>
      </c>
    </row>
    <row r="49">
      <c r="A49" t="inlineStr">
        <is>
          <t>Hsingan N.</t>
        </is>
      </c>
      <c r="B49" s="6" t="n">
        <v>6557</v>
      </c>
      <c r="C49" s="9" t="n">
        <v>430</v>
      </c>
      <c r="D49" s="6" t="n">
        <v>9590</v>
      </c>
      <c r="E49" s="6" t="n">
        <v>96615</v>
      </c>
    </row>
    <row r="50">
      <c r="A50" t="inlineStr">
        <is>
          <t>Total</t>
        </is>
      </c>
      <c r="B50" s="6" t="n">
        <v>642356</v>
      </c>
      <c r="C50" s="6" t="n">
        <v>1162127</v>
      </c>
      <c r="D50" s="6" t="n">
        <v>67710</v>
      </c>
      <c r="E50" s="6" t="n">
        <v>39454026</v>
      </c>
    </row>
    <row r="52">
      <c r="A52" s="2" t="inlineStr">
        <is>
          <t>Transcriber's notes</t>
        </is>
      </c>
    </row>
    <row r="53">
      <c r="A53" t="inlineStr">
        <is>
          <t>Begins at the foot of p.120 (Hsinking, Kirin, Lungkiang) and continues on p.121 with no repeated heading; the second block on p.121 (Japanese Proper / Chosenese / Others Nationalities / Grand Total) covers the same provinces and is given as part 2.</t>
        </is>
      </c>
    </row>
    <row r="54">
      <c r="A54" t="inlineStr">
        <is>
          <t>Hsinking Manchus &amp; Hans printed '301 078' with a space in place of the comma.</t>
        </is>
      </c>
    </row>
    <row r="55">
      <c r="A55" t="inlineStr">
        <is>
          <t>Part 1 column totals: Manchus &amp; Hans 36,373,414 reconciles; Mohammedans 172,894 reconciles; Total 37,581,833 reconciles; Mongolians parts sum to 1,034,825 vs printed 1,035,525 — does NOT reconcile (diff −700). Row check: Lungkiang 1,670,714+123,152+6,241 = 1,800,107 vs printed 1,800,807 (diff −700, the same amount; cell re-read at zoom, printed 123,152). All other rows reconcile.</t>
        </is>
      </c>
    </row>
    <row r="56">
      <c r="A56" t="inlineStr">
        <is>
          <t>Part 2 column totals: Chosenese 1,162,127 reconciles; Grand Total 39,454,026 reconciles; Japanese Proper parts sum to 644,356 vs printed 642,356 — does NOT reconcile (diff +2,000); Others Nationalities parts sum to 34,945 vs printed 67,710 — does NOT reconcile (diff −32,765).</t>
        </is>
      </c>
    </row>
    <row r="57">
      <c r="A57" t="inlineStr">
        <is>
          <t>Grand Total vs (part-1 Total + Proper + Chosenese + Others): reconciles for Hsinking, Kirin, Lungkiang; fails for the other 16 provinces, e.g. Pinkiang 3,816,362 vs 3,835,652 (−19,290), Hsingan N. 87,571 vs 96,615 (−9,044), Hsingan E. 136,628 vs 137,572 (−944), Heiho 84,333 vs 85,064 (−731), Mutankiang 445,917 vs 445,385 (+532); differences for the rest are between −5 and −638. The shortfall probably reflects categories that are not printed; left as printed.</t>
        </is>
      </c>
    </row>
  </sheetData>
  <hyperlinks>
    <hyperlink xmlns:r="http://schemas.openxmlformats.org/officeDocument/2006/relationships" ref="A4" r:id="rId1"/>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Population by Races in Manchoukuo</t>
        </is>
      </c>
    </row>
    <row r="2">
      <c r="A2" t="inlineStr">
        <is>
          <t>Population and Races · printed pp. 122</t>
        </is>
      </c>
    </row>
    <row r="3">
      <c r="A3" t="inlineStr">
        <is>
          <t>(1937)</t>
        </is>
      </c>
    </row>
    <row r="4">
      <c r="A4" s="3" t="inlineStr">
        <is>
          <t>← Contents</t>
        </is>
      </c>
    </row>
    <row r="6">
      <c r="A6" s="5" t="inlineStr">
        <is>
          <t>Race</t>
        </is>
      </c>
      <c r="B6" s="5" t="inlineStr">
        <is>
          <t>Men</t>
        </is>
      </c>
      <c r="C6" s="5" t="inlineStr">
        <is>
          <t>Women</t>
        </is>
      </c>
      <c r="D6" s="5" t="inlineStr">
        <is>
          <t>Total</t>
        </is>
      </c>
      <c r="E6" s="5" t="inlineStr">
        <is>
          <t>No. of Households</t>
        </is>
      </c>
    </row>
    <row r="7">
      <c r="A7" t="inlineStr">
        <is>
          <t>Manchoukuoans</t>
        </is>
      </c>
      <c r="B7" s="6" t="n">
        <v>18782004</v>
      </c>
      <c r="C7" s="6" t="n">
        <v>15571998</v>
      </c>
      <c r="D7" s="6" t="n">
        <v>35354002</v>
      </c>
      <c r="E7" s="6" t="n">
        <v>5540108</v>
      </c>
    </row>
    <row r="8">
      <c r="A8" t="inlineStr">
        <is>
          <t>Mongols</t>
        </is>
      </c>
      <c r="B8" s="6" t="n">
        <v>538352</v>
      </c>
      <c r="C8" s="6" t="n">
        <v>448128</v>
      </c>
      <c r="D8" s="6" t="n">
        <v>986480</v>
      </c>
      <c r="E8" s="6" t="n">
        <v>172913</v>
      </c>
    </row>
    <row r="9">
      <c r="A9" t="inlineStr">
        <is>
          <t>Mohammedans</t>
        </is>
      </c>
      <c r="B9" s="6" t="n">
        <v>104356</v>
      </c>
      <c r="C9" s="6" t="n">
        <v>81895</v>
      </c>
      <c r="D9" s="6" t="n">
        <v>186251</v>
      </c>
      <c r="E9" s="6" t="n">
        <v>36020</v>
      </c>
    </row>
    <row r="10">
      <c r="A10" t="inlineStr">
        <is>
          <t>Others</t>
        </is>
      </c>
      <c r="B10" s="6" t="n">
        <v>3703</v>
      </c>
      <c r="C10" s="6" t="n">
        <v>3295</v>
      </c>
      <c r="D10" s="6" t="n">
        <v>6998</v>
      </c>
      <c r="E10" s="6" t="n">
        <v>1725</v>
      </c>
    </row>
    <row r="11">
      <c r="A11" t="inlineStr">
        <is>
          <t>Japanese</t>
        </is>
      </c>
      <c r="B11" s="6" t="n">
        <v>232908</v>
      </c>
      <c r="C11" s="6" t="n">
        <v>185392</v>
      </c>
      <c r="D11" s="6" t="n">
        <v>418300</v>
      </c>
      <c r="E11" s="6" t="n">
        <v>112342</v>
      </c>
    </row>
    <row r="12">
      <c r="A12" t="inlineStr">
        <is>
          <t>Chosenese</t>
        </is>
      </c>
      <c r="B12" s="6" t="n">
        <v>502669</v>
      </c>
      <c r="C12" s="6" t="n">
        <v>428838</v>
      </c>
      <c r="D12" s="6" t="n">
        <v>931507</v>
      </c>
      <c r="E12" s="6" t="n">
        <v>176015</v>
      </c>
    </row>
    <row r="13">
      <c r="A13" t="inlineStr">
        <is>
          <t>Others</t>
        </is>
      </c>
      <c r="B13" s="9" t="n">
        <v>65</v>
      </c>
      <c r="C13" s="9" t="n">
        <v>48</v>
      </c>
      <c r="D13" s="9" t="n">
        <v>113</v>
      </c>
      <c r="E13" s="9" t="n">
        <v>27</v>
      </c>
    </row>
    <row r="14">
      <c r="A14" t="inlineStr">
        <is>
          <t>Soviet Russians</t>
        </is>
      </c>
      <c r="B14" s="6" t="n">
        <v>3552</v>
      </c>
      <c r="C14" s="6" t="n">
        <v>3717</v>
      </c>
      <c r="D14" s="6" t="n">
        <v>7239</v>
      </c>
      <c r="E14" s="6" t="n">
        <v>2622</v>
      </c>
    </row>
    <row r="15">
      <c r="A15" t="inlineStr">
        <is>
          <t>Poles</t>
        </is>
      </c>
      <c r="B15" s="9" t="n">
        <v>689</v>
      </c>
      <c r="C15" s="9" t="n">
        <v>633</v>
      </c>
      <c r="D15" s="6" t="n">
        <v>1322</v>
      </c>
      <c r="E15" s="9" t="n">
        <v>483</v>
      </c>
    </row>
    <row r="16">
      <c r="A16" t="inlineStr">
        <is>
          <t>British</t>
        </is>
      </c>
      <c r="B16" s="9" t="n">
        <v>191</v>
      </c>
      <c r="C16" s="9" t="n">
        <v>202</v>
      </c>
      <c r="D16" s="9" t="n">
        <v>393</v>
      </c>
      <c r="E16" s="9" t="n">
        <v>167</v>
      </c>
    </row>
    <row r="17">
      <c r="A17" t="inlineStr">
        <is>
          <t>Americans</t>
        </is>
      </c>
      <c r="B17" s="9" t="n">
        <v>102</v>
      </c>
      <c r="C17" s="9" t="n">
        <v>83</v>
      </c>
      <c r="D17" s="9" t="n">
        <v>185</v>
      </c>
      <c r="E17" s="9" t="n">
        <v>82</v>
      </c>
    </row>
    <row r="18">
      <c r="A18" t="inlineStr">
        <is>
          <t>Germans</t>
        </is>
      </c>
      <c r="B18" s="9" t="n">
        <v>199</v>
      </c>
      <c r="C18" s="9" t="n">
        <v>134</v>
      </c>
      <c r="D18" s="9" t="n">
        <v>333</v>
      </c>
      <c r="E18" s="9" t="n">
        <v>138</v>
      </c>
    </row>
    <row r="19">
      <c r="A19" t="inlineStr">
        <is>
          <t>French</t>
        </is>
      </c>
      <c r="B19" s="9" t="n">
        <v>80</v>
      </c>
      <c r="C19" s="9" t="n">
        <v>242</v>
      </c>
      <c r="D19" s="9" t="n">
        <v>322</v>
      </c>
      <c r="E19" s="9" t="n">
        <v>72</v>
      </c>
    </row>
    <row r="20">
      <c r="A20" t="inlineStr">
        <is>
          <t>Italians</t>
        </is>
      </c>
      <c r="B20" s="9" t="n">
        <v>19</v>
      </c>
      <c r="C20" s="9" t="n">
        <v>11</v>
      </c>
      <c r="D20" s="9" t="n">
        <v>30</v>
      </c>
      <c r="E20" s="9" t="n">
        <v>17</v>
      </c>
    </row>
    <row r="21">
      <c r="A21" t="inlineStr">
        <is>
          <t>Others</t>
        </is>
      </c>
      <c r="B21" s="6" t="n">
        <v>1040</v>
      </c>
      <c r="C21" s="9" t="n">
        <v>820</v>
      </c>
      <c r="D21" s="6" t="n">
        <v>1842</v>
      </c>
      <c r="E21" s="9" t="n">
        <v>799</v>
      </c>
    </row>
    <row r="23">
      <c r="A23" s="2" t="inlineStr">
        <is>
          <t>Transcriber's notes</t>
        </is>
      </c>
    </row>
    <row r="24">
      <c r="A24" t="inlineStr">
        <is>
          <t>No page number is printed on this page; it is p.122 by sequence (the facing page is 123).</t>
        </is>
      </c>
    </row>
    <row r="25">
      <c r="A25" t="inlineStr">
        <is>
          <t>The indented 'Others' rows are printed that way: the first follows the Manchoukuoan groups (Manchoukuoans, Mongols, Mohammedans), the second follows Japanese and Chosenese, and the last follows the foreign nationalities.</t>
        </is>
      </c>
    </row>
    <row r="26">
      <c r="A26" t="inlineStr">
        <is>
          <t>No total row is printed. Row check Men + Women = Total: Manchoukuoans 34,354,002 vs printed 35,354,002 — does NOT reconcile (diff 1,000,000); Soviet Russians 7,269 vs printed 7,239 — does NOT reconcile (diff 30); last 'Others' 1,860 vs printed 1,842 — does NOT reconcile (diff 18). Cells re-read. All other rows reconcile.</t>
        </is>
      </c>
    </row>
  </sheetData>
  <hyperlinks>
    <hyperlink xmlns:r="http://schemas.openxmlformats.org/officeDocument/2006/relationships" ref="A4" r:id="rId1"/>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No. of Decorations Granted Classified</t>
        </is>
      </c>
    </row>
    <row r="2">
      <c r="A2" t="inlineStr">
        <is>
          <t>State Administration · printed pp. 147, 148</t>
        </is>
      </c>
    </row>
    <row r="3">
      <c r="A3" t="inlineStr">
        <is>
          <t>(May, 1934–July 1940)</t>
        </is>
      </c>
    </row>
    <row r="4">
      <c r="A4" s="3" t="inlineStr">
        <is>
          <t>← Contents</t>
        </is>
      </c>
    </row>
    <row r="6">
      <c r="A6" s="5" t="inlineStr">
        <is>
          <t>Decoration</t>
        </is>
      </c>
      <c r="B6" s="5" t="inlineStr">
        <is>
          <t>Manchoukuoans</t>
        </is>
      </c>
      <c r="C6" s="5" t="inlineStr">
        <is>
          <t>Japanese</t>
        </is>
      </c>
      <c r="D6" s="5" t="inlineStr">
        <is>
          <t>Italians</t>
        </is>
      </c>
      <c r="E6" s="5" t="inlineStr">
        <is>
          <t>Germans</t>
        </is>
      </c>
      <c r="F6" s="5" t="inlineStr">
        <is>
          <t>Representatives of Holy See</t>
        </is>
      </c>
      <c r="G6" s="5" t="inlineStr">
        <is>
          <t>Total incl. Others</t>
        </is>
      </c>
    </row>
    <row r="7">
      <c r="A7" t="inlineStr">
        <is>
          <t>Collar of Lanhua</t>
        </is>
      </c>
      <c r="B7" t="inlineStr">
        <is>
          <t>—</t>
        </is>
      </c>
      <c r="C7" t="inlineStr">
        <is>
          <t>—</t>
        </is>
      </c>
      <c r="D7" t="inlineStr">
        <is>
          <t>—</t>
        </is>
      </c>
      <c r="E7" t="inlineStr">
        <is>
          <t>—</t>
        </is>
      </c>
      <c r="F7" t="inlineStr">
        <is>
          <t>—</t>
        </is>
      </c>
      <c r="G7" t="inlineStr">
        <is>
          <t>—</t>
        </is>
      </c>
    </row>
    <row r="8">
      <c r="A8" t="inlineStr">
        <is>
          <t>Lanhua</t>
        </is>
      </c>
      <c r="B8" s="9" t="n">
        <v>1</v>
      </c>
      <c r="C8" s="9" t="n">
        <v>1</v>
      </c>
      <c r="D8" s="9" t="n">
        <v>1</v>
      </c>
      <c r="E8" t="inlineStr">
        <is>
          <t>—</t>
        </is>
      </c>
      <c r="F8" t="inlineStr">
        <is>
          <t>—</t>
        </is>
      </c>
      <c r="G8" s="9" t="n">
        <v>3</v>
      </c>
    </row>
    <row r="9">
      <c r="A9" t="inlineStr">
        <is>
          <t>1st Order of Merit:</t>
        </is>
      </c>
      <c r="B9" t="inlineStr"/>
      <c r="C9" t="inlineStr"/>
      <c r="D9" t="inlineStr"/>
      <c r="E9" t="inlineStr"/>
      <c r="F9" t="inlineStr"/>
      <c r="G9" t="inlineStr"/>
    </row>
    <row r="10">
      <c r="A10" t="inlineStr">
        <is>
          <t>Lungkuang</t>
        </is>
      </c>
      <c r="B10" s="9" t="n">
        <v>8</v>
      </c>
      <c r="C10" s="9" t="n">
        <v>24</v>
      </c>
      <c r="D10" t="inlineStr">
        <is>
          <t>—</t>
        </is>
      </c>
      <c r="E10" t="inlineStr">
        <is>
          <t>—</t>
        </is>
      </c>
      <c r="F10" t="inlineStr">
        <is>
          <t>—</t>
        </is>
      </c>
      <c r="G10" s="9" t="n">
        <v>33</v>
      </c>
    </row>
    <row r="11">
      <c r="A11" t="inlineStr">
        <is>
          <t>Chingyun-chang</t>
        </is>
      </c>
      <c r="B11" s="9" t="n">
        <v>80</v>
      </c>
      <c r="C11" s="9" t="n">
        <v>23</v>
      </c>
      <c r="D11" s="9" t="n">
        <v>4</v>
      </c>
      <c r="E11" t="inlineStr">
        <is>
          <t>—</t>
        </is>
      </c>
      <c r="F11" s="9" t="n">
        <v>3</v>
      </c>
      <c r="G11" s="9" t="n">
        <v>110</v>
      </c>
    </row>
    <row r="12">
      <c r="A12" t="inlineStr">
        <is>
          <t>Chukuo-chang</t>
        </is>
      </c>
      <c r="B12" s="9" t="n">
        <v>30</v>
      </c>
      <c r="C12" s="9" t="n">
        <v>10</v>
      </c>
      <c r="D12" s="9" t="n">
        <v>6</v>
      </c>
      <c r="E12" t="inlineStr">
        <is>
          <t>—</t>
        </is>
      </c>
      <c r="F12" t="inlineStr">
        <is>
          <t>—</t>
        </is>
      </c>
      <c r="G12" s="9" t="n">
        <v>47</v>
      </c>
    </row>
    <row r="13">
      <c r="A13" t="inlineStr">
        <is>
          <t>2nd Order of Merit:</t>
        </is>
      </c>
      <c r="B13" t="inlineStr"/>
      <c r="C13" t="inlineStr"/>
      <c r="D13" t="inlineStr"/>
      <c r="E13" t="inlineStr"/>
      <c r="F13" t="inlineStr"/>
      <c r="G13" t="inlineStr"/>
    </row>
    <row r="14">
      <c r="A14" t="inlineStr">
        <is>
          <t>Chingyun-chang</t>
        </is>
      </c>
      <c r="B14" s="9" t="n">
        <v>144</v>
      </c>
      <c r="C14" s="9" t="n">
        <v>42</v>
      </c>
      <c r="D14" t="inlineStr">
        <is>
          <t>—</t>
        </is>
      </c>
      <c r="E14" t="inlineStr">
        <is>
          <t>—</t>
        </is>
      </c>
      <c r="F14" s="9" t="n">
        <v>1</v>
      </c>
      <c r="G14" s="9" t="n">
        <v>187</v>
      </c>
    </row>
    <row r="15">
      <c r="A15" t="inlineStr">
        <is>
          <t>Chukuo-chang</t>
        </is>
      </c>
      <c r="B15" s="9" t="n">
        <v>60</v>
      </c>
      <c r="C15" s="9" t="n">
        <v>23</v>
      </c>
      <c r="D15" s="9" t="n">
        <v>10</v>
      </c>
      <c r="E15" s="9" t="n">
        <v>1</v>
      </c>
      <c r="F15" s="9" t="n">
        <v>2</v>
      </c>
      <c r="G15" s="9" t="n">
        <v>97</v>
      </c>
    </row>
    <row r="16">
      <c r="A16" t="inlineStr">
        <is>
          <t>3rd Order of Merit:</t>
        </is>
      </c>
      <c r="B16" t="inlineStr"/>
      <c r="C16" t="inlineStr"/>
      <c r="D16" t="inlineStr"/>
      <c r="E16" t="inlineStr"/>
      <c r="F16" t="inlineStr"/>
      <c r="G16" t="inlineStr"/>
    </row>
    <row r="17">
      <c r="A17" t="inlineStr">
        <is>
          <t>Chingyun-chang</t>
        </is>
      </c>
      <c r="B17" s="9" t="n">
        <v>196</v>
      </c>
      <c r="C17" s="9" t="n">
        <v>503</v>
      </c>
      <c r="D17" s="9" t="n">
        <v>2</v>
      </c>
      <c r="E17" t="inlineStr">
        <is>
          <t>—</t>
        </is>
      </c>
      <c r="F17" t="inlineStr">
        <is>
          <t>—</t>
        </is>
      </c>
      <c r="G17" s="9" t="n">
        <v>701</v>
      </c>
    </row>
    <row r="18">
      <c r="A18" t="inlineStr">
        <is>
          <t>Chukuo-chang</t>
        </is>
      </c>
      <c r="B18" s="9" t="n">
        <v>188</v>
      </c>
      <c r="C18" s="9" t="n">
        <v>63</v>
      </c>
      <c r="D18" s="9" t="n">
        <v>7</v>
      </c>
      <c r="E18" s="9" t="n">
        <v>1</v>
      </c>
      <c r="F18" t="inlineStr">
        <is>
          <t>—</t>
        </is>
      </c>
      <c r="G18" s="9" t="n">
        <v>260</v>
      </c>
    </row>
    <row r="19">
      <c r="A19" t="inlineStr">
        <is>
          <t>4th Order of Merit:</t>
        </is>
      </c>
      <c r="B19" t="inlineStr"/>
      <c r="C19" t="inlineStr"/>
      <c r="D19" t="inlineStr"/>
      <c r="E19" t="inlineStr"/>
      <c r="F19" t="inlineStr"/>
      <c r="G19" t="inlineStr"/>
    </row>
    <row r="20">
      <c r="A20" t="inlineStr">
        <is>
          <t>Chingyun-chang</t>
        </is>
      </c>
      <c r="B20" s="9" t="n">
        <v>636</v>
      </c>
      <c r="C20" s="6" t="n">
        <v>1179</v>
      </c>
      <c r="D20" s="9" t="n">
        <v>5</v>
      </c>
      <c r="E20" t="inlineStr">
        <is>
          <t>—</t>
        </is>
      </c>
      <c r="F20" t="inlineStr">
        <is>
          <t>—</t>
        </is>
      </c>
      <c r="G20" s="6" t="n">
        <v>1820</v>
      </c>
    </row>
    <row r="21">
      <c r="A21" t="inlineStr">
        <is>
          <t>Chukuo-chang</t>
        </is>
      </c>
      <c r="B21" s="9" t="n">
        <v>577</v>
      </c>
      <c r="C21" s="9" t="n">
        <v>75</v>
      </c>
      <c r="D21" s="9" t="n">
        <v>5</v>
      </c>
      <c r="E21" t="inlineStr">
        <is>
          <t>—</t>
        </is>
      </c>
      <c r="F21" t="inlineStr">
        <is>
          <t>—</t>
        </is>
      </c>
      <c r="G21" s="9" t="n">
        <v>657</v>
      </c>
    </row>
    <row r="22">
      <c r="A22" t="inlineStr">
        <is>
          <t>5th Order of Merit:</t>
        </is>
      </c>
      <c r="B22" t="inlineStr"/>
      <c r="C22" t="inlineStr"/>
      <c r="D22" t="inlineStr"/>
      <c r="E22" t="inlineStr"/>
      <c r="F22" t="inlineStr"/>
      <c r="G22" t="inlineStr"/>
    </row>
    <row r="23">
      <c r="A23" t="inlineStr">
        <is>
          <t>Chingyun-chang</t>
        </is>
      </c>
      <c r="B23" s="6" t="n">
        <v>2328</v>
      </c>
      <c r="C23" s="6" t="n">
        <v>1118</v>
      </c>
      <c r="D23" s="9" t="n">
        <v>1</v>
      </c>
      <c r="E23" t="inlineStr">
        <is>
          <t>—</t>
        </is>
      </c>
      <c r="F23" t="inlineStr">
        <is>
          <t>—</t>
        </is>
      </c>
      <c r="G23" s="6" t="n">
        <v>3447</v>
      </c>
    </row>
    <row r="24">
      <c r="A24" t="inlineStr">
        <is>
          <t>Chukuo-chang</t>
        </is>
      </c>
      <c r="B24" s="6" t="n">
        <v>1731</v>
      </c>
      <c r="C24" s="9" t="n">
        <v>42</v>
      </c>
      <c r="D24" s="9" t="n">
        <v>4</v>
      </c>
      <c r="E24" t="inlineStr">
        <is>
          <t>—</t>
        </is>
      </c>
      <c r="F24" t="inlineStr">
        <is>
          <t>—</t>
        </is>
      </c>
      <c r="G24" s="6" t="n">
        <v>1777</v>
      </c>
    </row>
    <row r="25">
      <c r="A25" t="inlineStr">
        <is>
          <t>6th Order of Merit:</t>
        </is>
      </c>
      <c r="B25" t="inlineStr"/>
      <c r="C25" t="inlineStr"/>
      <c r="D25" t="inlineStr"/>
      <c r="E25" t="inlineStr"/>
      <c r="F25" t="inlineStr"/>
      <c r="G25" t="inlineStr"/>
    </row>
    <row r="26">
      <c r="A26" t="inlineStr">
        <is>
          <t>Chingyun-chang</t>
        </is>
      </c>
      <c r="B26" s="6" t="n">
        <v>5255</v>
      </c>
      <c r="C26" s="6" t="n">
        <v>1001</v>
      </c>
      <c r="D26" s="9" t="n">
        <v>1</v>
      </c>
      <c r="E26" t="inlineStr">
        <is>
          <t>—</t>
        </is>
      </c>
      <c r="F26" t="inlineStr">
        <is>
          <t>—</t>
        </is>
      </c>
      <c r="G26" s="6" t="n">
        <v>6257</v>
      </c>
    </row>
    <row r="27">
      <c r="A27" t="inlineStr">
        <is>
          <t>Chukuo-chang</t>
        </is>
      </c>
      <c r="B27" s="6" t="n">
        <v>2711</v>
      </c>
      <c r="C27" s="9" t="n">
        <v>17</v>
      </c>
      <c r="D27" t="inlineStr">
        <is>
          <t>—</t>
        </is>
      </c>
      <c r="E27" t="inlineStr">
        <is>
          <t>—</t>
        </is>
      </c>
      <c r="F27" t="inlineStr">
        <is>
          <t>—</t>
        </is>
      </c>
      <c r="G27" s="6" t="n">
        <v>2728</v>
      </c>
    </row>
    <row r="28">
      <c r="A28" t="inlineStr">
        <is>
          <t>7th Order of Merit:</t>
        </is>
      </c>
      <c r="B28" t="inlineStr"/>
      <c r="C28" t="inlineStr"/>
      <c r="D28" t="inlineStr"/>
      <c r="E28" t="inlineStr"/>
      <c r="F28" t="inlineStr"/>
      <c r="G28" t="inlineStr"/>
    </row>
    <row r="29">
      <c r="A29" t="inlineStr">
        <is>
          <t>Chingyun-chang</t>
        </is>
      </c>
      <c r="B29" s="6" t="n">
        <v>5865</v>
      </c>
      <c r="C29" s="6" t="n">
        <v>2464</v>
      </c>
      <c r="D29" t="inlineStr">
        <is>
          <t>—</t>
        </is>
      </c>
      <c r="E29" t="inlineStr">
        <is>
          <t>—</t>
        </is>
      </c>
      <c r="F29" t="inlineStr">
        <is>
          <t>—</t>
        </is>
      </c>
      <c r="G29" s="6" t="n">
        <v>8329</v>
      </c>
    </row>
    <row r="30">
      <c r="A30" t="inlineStr">
        <is>
          <t>Chukuo-chang</t>
        </is>
      </c>
      <c r="B30" s="6" t="n">
        <v>9505</v>
      </c>
      <c r="C30" s="9" t="n">
        <v>19</v>
      </c>
      <c r="D30" t="inlineStr">
        <is>
          <t>—</t>
        </is>
      </c>
      <c r="E30" t="inlineStr">
        <is>
          <t>—</t>
        </is>
      </c>
      <c r="F30" t="inlineStr">
        <is>
          <t>—</t>
        </is>
      </c>
      <c r="G30" s="6" t="n">
        <v>9524</v>
      </c>
    </row>
    <row r="31">
      <c r="A31" t="inlineStr">
        <is>
          <t>8th Order of Merit:</t>
        </is>
      </c>
      <c r="B31" t="inlineStr"/>
      <c r="C31" t="inlineStr"/>
      <c r="D31" t="inlineStr"/>
      <c r="E31" t="inlineStr"/>
      <c r="F31" t="inlineStr"/>
      <c r="G31" t="inlineStr"/>
    </row>
    <row r="32">
      <c r="A32" t="inlineStr">
        <is>
          <t>Chingyun-chang</t>
        </is>
      </c>
      <c r="B32" s="6" t="n">
        <v>28717</v>
      </c>
      <c r="C32" s="6" t="n">
        <v>4989</v>
      </c>
      <c r="D32" t="inlineStr">
        <is>
          <t>—</t>
        </is>
      </c>
      <c r="E32" t="inlineStr">
        <is>
          <t>—</t>
        </is>
      </c>
      <c r="F32" t="inlineStr">
        <is>
          <t>—</t>
        </is>
      </c>
      <c r="G32" s="6" t="n">
        <v>33706</v>
      </c>
    </row>
    <row r="33">
      <c r="A33" t="inlineStr">
        <is>
          <t>Chukuo-chang</t>
        </is>
      </c>
      <c r="B33" s="6" t="n">
        <v>24464</v>
      </c>
      <c r="C33" t="inlineStr">
        <is>
          <t>—</t>
        </is>
      </c>
      <c r="D33" t="inlineStr">
        <is>
          <t>—</t>
        </is>
      </c>
      <c r="E33" t="inlineStr">
        <is>
          <t>—</t>
        </is>
      </c>
      <c r="F33" t="inlineStr">
        <is>
          <t>—</t>
        </is>
      </c>
      <c r="G33" s="6" t="n">
        <v>24464</v>
      </c>
    </row>
    <row r="34">
      <c r="A34" t="inlineStr">
        <is>
          <t>Total</t>
        </is>
      </c>
      <c r="B34" s="6" t="n">
        <v>82496</v>
      </c>
      <c r="C34" s="6" t="n">
        <v>11593</v>
      </c>
      <c r="D34" s="9" t="n">
        <v>46</v>
      </c>
      <c r="E34" s="9" t="n">
        <v>2</v>
      </c>
      <c r="F34" s="9" t="n">
        <v>6</v>
      </c>
      <c r="G34" s="6" t="n">
        <v>94147</v>
      </c>
    </row>
    <row r="36">
      <c r="A36" s="2" t="inlineStr">
        <is>
          <t>Transcriber's notes</t>
        </is>
      </c>
    </row>
    <row r="37">
      <c r="A37" t="inlineStr">
        <is>
          <t>Continues from p.147 to p.148, which is headed '(Continued)' and repeats the column heads; merged here.</t>
        </is>
      </c>
    </row>
    <row r="38">
      <c r="A38" t="inlineStr">
        <is>
          <t>Column totals all reconcile: Manchoukuoans 82,496; Japanese 11,593; Italians 46; Germans 2; Holy See 6; Total 94,147.</t>
        </is>
      </c>
    </row>
    <row r="39">
      <c r="A39" t="inlineStr">
        <is>
          <t>Row totals: the Total column is 'incl. Others', which are not shown separately, so it can exceed the sum of the five shown columns. It exceeds by 1 for 1st Order Lungkuang (32 vs 33), 1st Order Chukuo-chang (46 vs 47), 2nd Order Chukuo-chang (96 vs 97) and 3rd Order Chukuo-chang (259 vs 260). All other rows equal the sum of the shown columns. Total row: 94,143 + 4 others = 94,147, consistent.</t>
        </is>
      </c>
    </row>
    <row r="40">
      <c r="A40" t="inlineStr">
        <is>
          <t>Germans for 2nd Order Chingyun-chang is printed as a broken dash.</t>
        </is>
      </c>
    </row>
  </sheetData>
  <hyperlinks>
    <hyperlink xmlns:r="http://schemas.openxmlformats.org/officeDocument/2006/relationships" ref="A4" r:id="rId1"/>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Scale of Salary of Civil Officials</t>
        </is>
      </c>
    </row>
    <row r="2">
      <c r="A2" t="inlineStr">
        <is>
          <t>State Administration · printed pp. 148</t>
        </is>
      </c>
    </row>
    <row r="3">
      <c r="A3" t="inlineStr">
        <is>
          <t>(Unit: Yuan); second part headed '(As revised in Nov. 1940)'</t>
        </is>
      </c>
    </row>
    <row r="4">
      <c r="A4" s="3" t="inlineStr">
        <is>
          <t>← Contents</t>
        </is>
      </c>
    </row>
    <row r="6">
      <c r="A6" s="2" t="inlineStr">
        <is>
          <t>Te-jen</t>
        </is>
      </c>
    </row>
    <row r="7">
      <c r="A7" s="5" t="inlineStr">
        <is>
          <t>Post</t>
        </is>
      </c>
      <c r="B7" s="5" t="inlineStr">
        <is>
          <t>Salary</t>
        </is>
      </c>
    </row>
    <row r="8">
      <c r="A8" t="inlineStr">
        <is>
          <t>Prime Minister</t>
        </is>
      </c>
      <c r="B8" s="6" t="n">
        <v>1800</v>
      </c>
    </row>
    <row r="9">
      <c r="A9" t="inlineStr">
        <is>
          <t>Chairman, Privy Council</t>
        </is>
      </c>
      <c r="B9" s="6" t="n">
        <v>1500</v>
      </c>
    </row>
    <row r="10">
      <c r="A10" t="inlineStr">
        <is>
          <t>Privy Councillor</t>
        </is>
      </c>
      <c r="B10" s="6" t="n">
        <v>1300</v>
      </c>
    </row>
    <row r="11">
      <c r="A11" t="inlineStr">
        <is>
          <t>State Minister</t>
        </is>
      </c>
      <c r="B11" s="6" t="n">
        <v>1300</v>
      </c>
    </row>
    <row r="12">
      <c r="A12" t="inlineStr">
        <is>
          <t>Dir.-Gen., General Affairs Board</t>
        </is>
      </c>
      <c r="B12" s="6" t="n">
        <v>1300</v>
      </c>
    </row>
    <row r="13">
      <c r="A13" t="inlineStr">
        <is>
          <t>President, Bureau of Foreign Affairs</t>
        </is>
      </c>
      <c r="B13" s="6" t="n">
        <v>1300</v>
      </c>
    </row>
    <row r="14">
      <c r="A14" t="inlineStr">
        <is>
          <t>Ambassador—Extraordinary &amp; Plenipotentiary</t>
        </is>
      </c>
      <c r="B14" s="6" t="n">
        <v>1300</v>
      </c>
    </row>
    <row r="15">
      <c r="A15" t="inlineStr">
        <is>
          <t>President, Hsingan Bureau</t>
        </is>
      </c>
      <c r="B15" s="6" t="n">
        <v>1300</v>
      </c>
    </row>
    <row r="16">
      <c r="A16" t="inlineStr">
        <is>
          <t>President, National University</t>
        </is>
      </c>
      <c r="B16" s="6" t="n">
        <v>1300</v>
      </c>
    </row>
    <row r="17">
      <c r="A17" t="inlineStr">
        <is>
          <t>President, Tatung Academy</t>
        </is>
      </c>
      <c r="B17" s="6" t="n">
        <v>1100</v>
      </c>
    </row>
    <row r="18">
      <c r="A18" t="inlineStr">
        <is>
          <t>Supreme Court Chief</t>
        </is>
      </c>
      <c r="B18" s="6" t="n">
        <v>1100</v>
      </c>
    </row>
    <row r="19">
      <c r="A19" t="inlineStr">
        <is>
          <t>Procurator, Chief</t>
        </is>
      </c>
      <c r="B19" s="6" t="n">
        <v>1100</v>
      </c>
    </row>
    <row r="20">
      <c r="A20" t="inlineStr">
        <is>
          <t>Provincial Chief</t>
        </is>
      </c>
      <c r="B20" s="6" t="n">
        <v>1100</v>
      </c>
    </row>
    <row r="21">
      <c r="A21" t="inlineStr">
        <is>
          <t>Vice-Pres. National University</t>
        </is>
      </c>
      <c r="B21" s="6" t="n">
        <v>1100</v>
      </c>
    </row>
    <row r="22">
      <c r="A22" t="inlineStr">
        <is>
          <t>Pres. Continental Scientific Research</t>
        </is>
      </c>
      <c r="B22" s="6" t="n">
        <v>1100</v>
      </c>
    </row>
    <row r="24">
      <c r="A24" s="2" t="inlineStr">
        <is>
          <t>*Chien-jen (As revised in Nov. 1940)</t>
        </is>
      </c>
    </row>
    <row r="25">
      <c r="A25" s="5" t="inlineStr">
        <is>
          <t>Class</t>
        </is>
      </c>
      <c r="B25" s="5" t="inlineStr">
        <is>
          <t>Salary</t>
        </is>
      </c>
    </row>
    <row r="26">
      <c r="A26" t="inlineStr">
        <is>
          <t>1st class</t>
        </is>
      </c>
      <c r="B26" s="9" t="n">
        <v>800</v>
      </c>
    </row>
    <row r="27">
      <c r="A27" t="inlineStr">
        <is>
          <t>2nd class</t>
        </is>
      </c>
      <c r="B27" s="9" t="n">
        <v>750</v>
      </c>
    </row>
    <row r="28">
      <c r="A28" t="inlineStr">
        <is>
          <t>3rd class</t>
        </is>
      </c>
      <c r="B28" s="9" t="n">
        <v>700</v>
      </c>
    </row>
    <row r="29">
      <c r="A29" t="inlineStr">
        <is>
          <t>4th class</t>
        </is>
      </c>
      <c r="B29" s="9" t="n">
        <v>650</v>
      </c>
    </row>
    <row r="30">
      <c r="A30" t="inlineStr">
        <is>
          <t>5th class</t>
        </is>
      </c>
      <c r="B30" s="9" t="n">
        <v>600</v>
      </c>
    </row>
    <row r="31">
      <c r="A31" t="inlineStr">
        <is>
          <t>6th class</t>
        </is>
      </c>
      <c r="B31" s="9" t="n">
        <v>550</v>
      </c>
    </row>
    <row r="32">
      <c r="A32" t="inlineStr">
        <is>
          <t>7th class</t>
        </is>
      </c>
      <c r="B32" s="9" t="n">
        <v>500</v>
      </c>
    </row>
    <row r="34">
      <c r="A34" s="2" t="inlineStr">
        <is>
          <t>Chien-jen (As revised in Nov. 1940)</t>
        </is>
      </c>
    </row>
    <row r="35">
      <c r="A35" s="5" t="inlineStr">
        <is>
          <t>Class</t>
        </is>
      </c>
      <c r="B35" s="5" t="inlineStr">
        <is>
          <t>Salary</t>
        </is>
      </c>
    </row>
    <row r="36">
      <c r="A36" t="inlineStr">
        <is>
          <t>1–20 class</t>
        </is>
      </c>
      <c r="B36" t="inlineStr">
        <is>
          <t>520–115</t>
        </is>
      </c>
    </row>
    <row r="38">
      <c r="A38" s="2" t="inlineStr">
        <is>
          <t>Wei-jen (As revised in Nov. 1940)</t>
        </is>
      </c>
    </row>
    <row r="39">
      <c r="A39" s="5" t="inlineStr">
        <is>
          <t>Class</t>
        </is>
      </c>
      <c r="B39" s="5" t="inlineStr">
        <is>
          <t>Salary</t>
        </is>
      </c>
    </row>
    <row r="40">
      <c r="A40" t="inlineStr">
        <is>
          <t>A. 1–35 class</t>
        </is>
      </c>
      <c r="B40" t="inlineStr">
        <is>
          <t>250– 32</t>
        </is>
      </c>
    </row>
    <row r="41">
      <c r="A41" t="inlineStr">
        <is>
          <t>B. 1–32 class</t>
        </is>
      </c>
      <c r="B41" t="inlineStr">
        <is>
          <t>95– 13</t>
        </is>
      </c>
    </row>
    <row r="43">
      <c r="A43" s="2" t="inlineStr">
        <is>
          <t>Footnotes</t>
        </is>
      </c>
    </row>
    <row r="44">
      <c r="A44" t="inlineStr">
        <is>
          <t>Note: * Though pronounced alike as the rank which it follows, the characters which identify them are different.</t>
        </is>
      </c>
    </row>
    <row r="46">
      <c r="A46" s="2" t="inlineStr">
        <is>
          <t>Transcriber's notes</t>
        </is>
      </c>
    </row>
    <row r="47">
      <c r="A47" t="inlineStr">
        <is>
          <t>Te-jen: a brace groups Privy Councillor through President, National University against one salary, 1,300, and President, Tatung Academy through Pres. Continental Scientific Research against 1,100. The bracketed figure has been repeated on each row.</t>
        </is>
      </c>
    </row>
    <row r="48">
      <c r="A48" t="inlineStr">
        <is>
          <t>*Chien-jen 2nd–7th classes are printed with ditto marks (”) for 'class'; written out in full. Wei-jen B '1–32 „' likewise.</t>
        </is>
      </c>
    </row>
    <row r="49">
      <c r="A49" t="inlineStr">
        <is>
          <t>The *Chien-jen and Chien-jen/Wei-jen blocks are printed side by side, divided by a vertical rule.</t>
        </is>
      </c>
    </row>
    <row r="50">
      <c r="A50" t="inlineStr">
        <is>
          <t>No totals printed.</t>
        </is>
      </c>
    </row>
  </sheetData>
  <hyperlinks>
    <hyperlink xmlns:r="http://schemas.openxmlformats.org/officeDocument/2006/relationships" ref="A4" r:id="rId1"/>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No. of Civil Officials</t>
        </is>
      </c>
    </row>
    <row r="2">
      <c r="A2" t="inlineStr">
        <is>
          <t>State Administration · printed pp. 149</t>
        </is>
      </c>
    </row>
    <row r="3">
      <c r="A3" t="inlineStr">
        <is>
          <t>(as in January 1940)</t>
        </is>
      </c>
    </row>
    <row r="4">
      <c r="A4" s="3" t="inlineStr">
        <is>
          <t>← Contents</t>
        </is>
      </c>
    </row>
    <row r="6">
      <c r="A6" s="5" t="inlineStr">
        <is>
          <t>Rank</t>
        </is>
      </c>
      <c r="B6" s="5" t="inlineStr">
        <is>
          <t>Number</t>
        </is>
      </c>
    </row>
    <row r="7">
      <c r="A7" t="inlineStr">
        <is>
          <t>Te-jen</t>
        </is>
      </c>
      <c r="B7" s="9" t="n">
        <v>16</v>
      </c>
    </row>
    <row r="8">
      <c r="A8" t="inlineStr">
        <is>
          <t>*Chien-jen</t>
        </is>
      </c>
      <c r="B8" s="9" t="n">
        <v>335</v>
      </c>
    </row>
    <row r="9">
      <c r="A9" t="inlineStr">
        <is>
          <t>Chien-jen</t>
        </is>
      </c>
      <c r="B9" s="6" t="n">
        <v>5668</v>
      </c>
    </row>
    <row r="10">
      <c r="A10" t="inlineStr">
        <is>
          <t>Wei-jen</t>
        </is>
      </c>
      <c r="B10" s="10" t="n">
        <v>169.403</v>
      </c>
    </row>
    <row r="12">
      <c r="A12" s="2" t="inlineStr">
        <is>
          <t>Transcriber's notes</t>
        </is>
      </c>
    </row>
    <row r="13">
      <c r="A13" t="inlineStr">
        <is>
          <t>Printed in two side-by-side pairs (Te-jen, *Chien-jen | Chien-jen, Wei-jen); merged in reading order.</t>
        </is>
      </c>
    </row>
    <row r="14">
      <c r="A14" t="inlineStr">
        <is>
          <t>Wei-jen printed '169.403' with a point rather than a comma; kept as printed.</t>
        </is>
      </c>
    </row>
    <row r="15">
      <c r="A15" t="inlineStr">
        <is>
          <t>The asterisk refers to the note under Table 2 (p.148). No total printed.</t>
        </is>
      </c>
    </row>
  </sheetData>
  <hyperlinks>
    <hyperlink xmlns:r="http://schemas.openxmlformats.org/officeDocument/2006/relationships" ref="A4" r:id="rId1"/>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5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List of Provinces, Cities, Prefectures and Banners</t>
        </is>
      </c>
    </row>
    <row r="2">
      <c r="A2" t="inlineStr">
        <is>
          <t>State Administration · printed pp. 153, 154, 155, 156</t>
        </is>
      </c>
    </row>
    <row r="3">
      <c r="A3" t="inlineStr">
        <is>
          <t>(1940)</t>
        </is>
      </c>
    </row>
    <row r="4">
      <c r="A4" s="3" t="inlineStr">
        <is>
          <t>← Contents</t>
        </is>
      </c>
    </row>
    <row r="6">
      <c r="A6" s="5" t="inlineStr">
        <is>
          <t>Province / city / prefecture / banner</t>
        </is>
      </c>
      <c r="B6" s="5" t="inlineStr">
        <is>
          <t>Chinese characters</t>
        </is>
      </c>
    </row>
    <row r="7">
      <c r="A7" t="inlineStr">
        <is>
          <t>Hsinking Special Municipality</t>
        </is>
      </c>
      <c r="B7" t="inlineStr">
        <is>
          <t>新京特別市</t>
        </is>
      </c>
    </row>
    <row r="8">
      <c r="A8" t="inlineStr">
        <is>
          <t>Fengtien Province</t>
        </is>
      </c>
      <c r="B8" t="inlineStr">
        <is>
          <t>奉天省</t>
        </is>
      </c>
    </row>
    <row r="9">
      <c r="A9" t="inlineStr">
        <is>
          <t>Mukden City*</t>
        </is>
      </c>
      <c r="B9" t="inlineStr">
        <is>
          <t>奉天市</t>
        </is>
      </c>
    </row>
    <row r="10">
      <c r="A10" t="inlineStr">
        <is>
          <t>Fushun City</t>
        </is>
      </c>
      <c r="B10" t="inlineStr">
        <is>
          <t>撫順市</t>
        </is>
      </c>
    </row>
    <row r="11">
      <c r="A11" t="inlineStr">
        <is>
          <t>Yingkow City</t>
        </is>
      </c>
      <c r="B11" t="inlineStr">
        <is>
          <t>營口市</t>
        </is>
      </c>
    </row>
    <row r="12">
      <c r="A12" t="inlineStr">
        <is>
          <t>Anshan City</t>
        </is>
      </c>
      <c r="B12" t="inlineStr">
        <is>
          <t>鞍山市</t>
        </is>
      </c>
    </row>
    <row r="13">
      <c r="A13" t="inlineStr">
        <is>
          <t>Liao-yang City</t>
        </is>
      </c>
      <c r="B13" t="inlineStr">
        <is>
          <t>遼陽市</t>
        </is>
      </c>
    </row>
    <row r="14">
      <c r="A14" t="inlineStr">
        <is>
          <t>Ssupingkai City</t>
        </is>
      </c>
      <c r="B14" t="inlineStr">
        <is>
          <t>四平街市</t>
        </is>
      </c>
    </row>
    <row r="15">
      <c r="A15" t="inlineStr">
        <is>
          <t>Tieh-ling City</t>
        </is>
      </c>
      <c r="B15" t="inlineStr">
        <is>
          <t>鐵嶺市</t>
        </is>
      </c>
    </row>
    <row r="16">
      <c r="A16" t="inlineStr">
        <is>
          <t>Liao-yang (pref.)</t>
        </is>
      </c>
      <c r="B16" t="inlineStr">
        <is>
          <t>遼陽</t>
        </is>
      </c>
    </row>
    <row r="17">
      <c r="A17" t="inlineStr">
        <is>
          <t>Liao-Chung (pref.)</t>
        </is>
      </c>
      <c r="B17" t="inlineStr">
        <is>
          <t>遼中</t>
        </is>
      </c>
    </row>
    <row r="18">
      <c r="A18" t="inlineStr">
        <is>
          <t>Pen-Hsi (pref.)</t>
        </is>
      </c>
      <c r="B18" t="inlineStr">
        <is>
          <t>本溪</t>
        </is>
      </c>
    </row>
    <row r="19">
      <c r="A19" t="inlineStr">
        <is>
          <t>Fushun (pref.)</t>
        </is>
      </c>
      <c r="B19" t="inlineStr">
        <is>
          <t>撫順</t>
        </is>
      </c>
    </row>
    <row r="20">
      <c r="A20" t="inlineStr">
        <is>
          <t>Shen-yang (pref.)</t>
        </is>
      </c>
      <c r="B20" t="inlineStr">
        <is>
          <t>瀋陽</t>
        </is>
      </c>
    </row>
    <row r="21">
      <c r="A21" t="inlineStr">
        <is>
          <t>Tieh Ling (pref.)</t>
        </is>
      </c>
      <c r="B21" t="inlineStr">
        <is>
          <t>鐵嶺</t>
        </is>
      </c>
    </row>
    <row r="22">
      <c r="A22" t="inlineStr">
        <is>
          <t>Kai-Yuan (pref.)</t>
        </is>
      </c>
      <c r="B22" t="inlineStr">
        <is>
          <t>開原</t>
        </is>
      </c>
    </row>
    <row r="23">
      <c r="A23" t="inlineStr">
        <is>
          <t>Hsin-Min (pref.)</t>
        </is>
      </c>
      <c r="B23" t="inlineStr">
        <is>
          <t>新民</t>
        </is>
      </c>
    </row>
    <row r="24">
      <c r="A24" t="inlineStr">
        <is>
          <t>Fa Ku (pref.)</t>
        </is>
      </c>
      <c r="B24" t="inlineStr">
        <is>
          <t>法庫</t>
        </is>
      </c>
    </row>
    <row r="25">
      <c r="A25" t="inlineStr">
        <is>
          <t>Kang-Ping (pref.)</t>
        </is>
      </c>
      <c r="B25" t="inlineStr">
        <is>
          <t>康平</t>
        </is>
      </c>
    </row>
    <row r="26">
      <c r="A26" t="inlineStr">
        <is>
          <t>Hai-cheng (pref.)</t>
        </is>
      </c>
      <c r="B26" t="inlineStr">
        <is>
          <t>海城</t>
        </is>
      </c>
    </row>
    <row r="27">
      <c r="A27" t="inlineStr">
        <is>
          <t>Kaiping (pref.)</t>
        </is>
      </c>
      <c r="B27" t="inlineStr">
        <is>
          <t>蓋平</t>
        </is>
      </c>
    </row>
    <row r="28">
      <c r="A28" t="inlineStr">
        <is>
          <t>Fu-hsien (pref.)</t>
        </is>
      </c>
      <c r="B28" t="inlineStr">
        <is>
          <t>復</t>
        </is>
      </c>
    </row>
    <row r="29">
      <c r="A29" t="inlineStr">
        <is>
          <t>Hsinching (pref.)</t>
        </is>
      </c>
      <c r="B29" t="inlineStr">
        <is>
          <t>興京</t>
        </is>
      </c>
    </row>
    <row r="30">
      <c r="A30" t="inlineStr">
        <is>
          <t>Ching-yuan (pref.)</t>
        </is>
      </c>
      <c r="B30" t="inlineStr">
        <is>
          <t>淸原</t>
        </is>
      </c>
    </row>
    <row r="31">
      <c r="A31" t="inlineStr">
        <is>
          <t>Hsi-feng (pref.)</t>
        </is>
      </c>
      <c r="B31" t="inlineStr">
        <is>
          <t>西豊</t>
        </is>
      </c>
    </row>
    <row r="32">
      <c r="A32" t="inlineStr">
        <is>
          <t>Chang-tu (pref.)</t>
        </is>
      </c>
      <c r="B32" t="inlineStr">
        <is>
          <t>昌圖</t>
        </is>
      </c>
    </row>
    <row r="33">
      <c r="A33" t="inlineStr">
        <is>
          <t>Li-shu (pref.)</t>
        </is>
      </c>
      <c r="B33" t="inlineStr">
        <is>
          <t>梨樹</t>
        </is>
      </c>
    </row>
    <row r="34">
      <c r="A34" t="inlineStr">
        <is>
          <t>Shwangshan (pref.)</t>
        </is>
      </c>
      <c r="B34" t="inlineStr">
        <is>
          <t>雙山</t>
        </is>
      </c>
    </row>
    <row r="35">
      <c r="A35" t="inlineStr">
        <is>
          <t>Liao-yuan (pref.)</t>
        </is>
      </c>
      <c r="B35" t="inlineStr">
        <is>
          <t>遼源</t>
        </is>
      </c>
    </row>
    <row r="36">
      <c r="A36" t="inlineStr">
        <is>
          <t>Hai-lung (pref.)</t>
        </is>
      </c>
      <c r="B36" t="inlineStr">
        <is>
          <t>海龍</t>
        </is>
      </c>
    </row>
    <row r="37">
      <c r="A37" t="inlineStr">
        <is>
          <t>Tung-feng (pref.)</t>
        </is>
      </c>
      <c r="B37" t="inlineStr">
        <is>
          <t>東豊</t>
        </is>
      </c>
    </row>
    <row r="38">
      <c r="A38" t="inlineStr">
        <is>
          <t>Sian (pref.)</t>
        </is>
      </c>
      <c r="B38" t="inlineStr">
        <is>
          <t>西安</t>
        </is>
      </c>
    </row>
    <row r="39">
      <c r="A39" t="inlineStr">
        <is>
          <t>Kirin Province</t>
        </is>
      </c>
      <c r="B39" t="inlineStr">
        <is>
          <t>吉林省</t>
        </is>
      </c>
    </row>
    <row r="40">
      <c r="A40" t="inlineStr">
        <is>
          <t>Kirin City*</t>
        </is>
      </c>
      <c r="B40" t="inlineStr">
        <is>
          <t>吉林市</t>
        </is>
      </c>
    </row>
    <row r="41">
      <c r="A41" t="inlineStr">
        <is>
          <t>Changchun (pref.)</t>
        </is>
      </c>
      <c r="B41" t="inlineStr">
        <is>
          <t>長春</t>
        </is>
      </c>
    </row>
    <row r="42">
      <c r="A42" t="inlineStr">
        <is>
          <t>Shwang-yang (pref.)</t>
        </is>
      </c>
      <c r="B42" t="inlineStr">
        <is>
          <t>雙陽</t>
        </is>
      </c>
    </row>
    <row r="43">
      <c r="A43" t="inlineStr">
        <is>
          <t>I-Tung (pref.)</t>
        </is>
      </c>
      <c r="B43" t="inlineStr">
        <is>
          <t>伊通</t>
        </is>
      </c>
    </row>
    <row r="44">
      <c r="A44" t="inlineStr">
        <is>
          <t>Teh-Hui (pref.)</t>
        </is>
      </c>
      <c r="B44" t="inlineStr">
        <is>
          <t>德惠</t>
        </is>
      </c>
    </row>
    <row r="45">
      <c r="A45" t="inlineStr">
        <is>
          <t>Kiu-Tai (pref.)</t>
        </is>
      </c>
      <c r="B45" t="inlineStr">
        <is>
          <t>九臺</t>
        </is>
      </c>
    </row>
    <row r="46">
      <c r="A46" t="inlineStr">
        <is>
          <t>Nen-An (pref.)</t>
        </is>
      </c>
      <c r="B46" t="inlineStr">
        <is>
          <t>農安</t>
        </is>
      </c>
    </row>
    <row r="47">
      <c r="A47" t="inlineStr">
        <is>
          <t>Chang-ling (pref.)</t>
        </is>
      </c>
      <c r="B47" t="inlineStr">
        <is>
          <t>長嶺</t>
        </is>
      </c>
    </row>
    <row r="48">
      <c r="A48" t="inlineStr">
        <is>
          <t>Chien-An (pref.)</t>
        </is>
      </c>
      <c r="B48" t="inlineStr">
        <is>
          <t>乾安</t>
        </is>
      </c>
    </row>
    <row r="49">
      <c r="A49" t="inlineStr">
        <is>
          <t>Fu-yu (pref.)</t>
        </is>
      </c>
      <c r="B49" t="inlineStr">
        <is>
          <t>扶餘</t>
        </is>
      </c>
    </row>
    <row r="50">
      <c r="A50" t="inlineStr">
        <is>
          <t>Yung-Ki (pref.)</t>
        </is>
      </c>
      <c r="B50" t="inlineStr">
        <is>
          <t>永吉</t>
        </is>
      </c>
    </row>
    <row r="51">
      <c r="A51" t="inlineStr">
        <is>
          <t>Su-Lan (pref.)</t>
        </is>
      </c>
      <c r="B51" t="inlineStr">
        <is>
          <t>舒蘭</t>
        </is>
      </c>
    </row>
    <row r="52">
      <c r="A52" t="inlineStr">
        <is>
          <t>Ke-Mu (pref.)</t>
        </is>
      </c>
      <c r="B52" t="inlineStr">
        <is>
          <t>額穆</t>
        </is>
      </c>
    </row>
    <row r="53">
      <c r="A53" t="inlineStr">
        <is>
          <t>Tun-hwa (pref.)</t>
        </is>
      </c>
      <c r="B53" t="inlineStr">
        <is>
          <t>敦化</t>
        </is>
      </c>
    </row>
    <row r="54">
      <c r="A54" t="inlineStr">
        <is>
          <t>Hwa-tien (pref.)</t>
        </is>
      </c>
      <c r="B54" t="inlineStr">
        <is>
          <t>樺甸</t>
        </is>
      </c>
    </row>
    <row r="55">
      <c r="A55" t="inlineStr">
        <is>
          <t>Pan-Shih (pref.)</t>
        </is>
      </c>
      <c r="B55" t="inlineStr">
        <is>
          <t>磐石</t>
        </is>
      </c>
    </row>
    <row r="56">
      <c r="A56" t="inlineStr">
        <is>
          <t>Yu-Shu (pref.)</t>
        </is>
      </c>
      <c r="B56" t="inlineStr">
        <is>
          <t>楡樹</t>
        </is>
      </c>
    </row>
    <row r="57">
      <c r="A57" t="inlineStr">
        <is>
          <t>Huai-Teh (pref.)</t>
        </is>
      </c>
      <c r="B57" t="inlineStr">
        <is>
          <t>懷德</t>
        </is>
      </c>
    </row>
    <row r="58">
      <c r="A58" t="inlineStr">
        <is>
          <t>Koerlos front banner</t>
        </is>
      </c>
      <c r="B58" t="inlineStr">
        <is>
          <t>郭爾羅斯前旗</t>
        </is>
      </c>
    </row>
    <row r="59">
      <c r="A59" t="inlineStr">
        <is>
          <t>Lungkiang Province</t>
        </is>
      </c>
      <c r="B59" t="inlineStr">
        <is>
          <t>龍江省</t>
        </is>
      </c>
    </row>
    <row r="60">
      <c r="A60" t="inlineStr">
        <is>
          <t>Tsitsihar City*</t>
        </is>
      </c>
      <c r="B60" t="inlineStr">
        <is>
          <t>齊々哈爾市</t>
        </is>
      </c>
    </row>
    <row r="61">
      <c r="A61" t="inlineStr">
        <is>
          <t>Lungkiang (pref.)</t>
        </is>
      </c>
      <c r="B61" t="inlineStr">
        <is>
          <t>龍江</t>
        </is>
      </c>
    </row>
    <row r="62">
      <c r="A62" t="inlineStr">
        <is>
          <t>Tailai (pref.)</t>
        </is>
      </c>
      <c r="B62" t="inlineStr">
        <is>
          <t>泰來</t>
        </is>
      </c>
    </row>
    <row r="63">
      <c r="A63" t="inlineStr">
        <is>
          <t>Taikang (pref.)</t>
        </is>
      </c>
      <c r="B63" t="inlineStr">
        <is>
          <t>泰康</t>
        </is>
      </c>
    </row>
    <row r="64">
      <c r="A64" t="inlineStr">
        <is>
          <t>Chingshin (pref.)</t>
        </is>
      </c>
      <c r="B64" t="inlineStr">
        <is>
          <t>景星</t>
        </is>
      </c>
    </row>
    <row r="65">
      <c r="A65" t="inlineStr">
        <is>
          <t>Kan-nan (pref.)</t>
        </is>
      </c>
      <c r="B65" t="inlineStr">
        <is>
          <t>甘南</t>
        </is>
      </c>
    </row>
    <row r="66">
      <c r="A66" t="inlineStr">
        <is>
          <t>Fu-yu (pref.)</t>
        </is>
      </c>
      <c r="B66" t="inlineStr">
        <is>
          <t>富裕</t>
        </is>
      </c>
    </row>
    <row r="67">
      <c r="A67" t="inlineStr">
        <is>
          <t>Lientien (pref.)</t>
        </is>
      </c>
      <c r="B67" t="inlineStr"/>
    </row>
    <row r="68">
      <c r="A68" t="inlineStr">
        <is>
          <t>Noho (pref.)</t>
        </is>
      </c>
      <c r="B68" t="inlineStr">
        <is>
          <t>訥河</t>
        </is>
      </c>
    </row>
    <row r="69">
      <c r="A69" t="inlineStr">
        <is>
          <t>Talai (pref.)</t>
        </is>
      </c>
      <c r="B69" t="inlineStr">
        <is>
          <t>大賚</t>
        </is>
      </c>
    </row>
    <row r="70">
      <c r="A70" t="inlineStr">
        <is>
          <t>Feng-chuan (pref.)</t>
        </is>
      </c>
      <c r="B70" t="inlineStr"/>
    </row>
    <row r="71">
      <c r="A71" t="inlineStr">
        <is>
          <t>An-Kwang (pref.)</t>
        </is>
      </c>
      <c r="B71" t="inlineStr">
        <is>
          <t>安廣</t>
        </is>
      </c>
    </row>
    <row r="72">
      <c r="A72" t="inlineStr">
        <is>
          <t>Cheng-Tung (pref.)</t>
        </is>
      </c>
      <c r="B72" t="inlineStr">
        <is>
          <t>鎭東</t>
        </is>
      </c>
    </row>
    <row r="73">
      <c r="A73" t="inlineStr">
        <is>
          <t>Kai-Tung (pref.)</t>
        </is>
      </c>
      <c r="B73" t="inlineStr">
        <is>
          <t>開通</t>
        </is>
      </c>
    </row>
    <row r="74">
      <c r="A74" t="inlineStr">
        <is>
          <t>Yen-Yu (pref.)</t>
        </is>
      </c>
      <c r="B74" t="inlineStr">
        <is>
          <t>瞻楡</t>
        </is>
      </c>
    </row>
    <row r="75">
      <c r="A75" t="inlineStr">
        <is>
          <t>Taonan (pref.)</t>
        </is>
      </c>
      <c r="B75" t="inlineStr">
        <is>
          <t>洮南</t>
        </is>
      </c>
    </row>
    <row r="76">
      <c r="A76" t="inlineStr">
        <is>
          <t>Paichen (pref.)</t>
        </is>
      </c>
      <c r="B76" t="inlineStr">
        <is>
          <t>白城</t>
        </is>
      </c>
    </row>
    <row r="77">
      <c r="A77" t="inlineStr">
        <is>
          <t>Toerpater banner</t>
        </is>
      </c>
      <c r="B77" t="inlineStr">
        <is>
          <t>杜爾伯特旗</t>
        </is>
      </c>
    </row>
    <row r="78">
      <c r="A78" t="inlineStr">
        <is>
          <t>Weiko banner</t>
        </is>
      </c>
      <c r="B78" t="inlineStr">
        <is>
          <t>位克</t>
        </is>
      </c>
    </row>
    <row r="79">
      <c r="A79" t="inlineStr">
        <is>
          <t>Ming-an banner</t>
        </is>
      </c>
      <c r="B79" t="inlineStr">
        <is>
          <t>明安旗</t>
        </is>
      </c>
    </row>
    <row r="80">
      <c r="A80" t="inlineStr">
        <is>
          <t>Jehol Province</t>
        </is>
      </c>
      <c r="B80" t="inlineStr"/>
    </row>
    <row r="81">
      <c r="A81" t="inlineStr">
        <is>
          <t>Chengteh-kai*</t>
        </is>
      </c>
      <c r="B81" t="inlineStr">
        <is>
          <t>承德街</t>
        </is>
      </c>
    </row>
    <row r="82">
      <c r="A82" t="inlineStr">
        <is>
          <t>Chengteh (pref.)</t>
        </is>
      </c>
      <c r="B82" t="inlineStr">
        <is>
          <t>承德</t>
        </is>
      </c>
    </row>
    <row r="83">
      <c r="A83" t="inlineStr">
        <is>
          <t>Hsin-lung (pref.)</t>
        </is>
      </c>
      <c r="B83" t="inlineStr">
        <is>
          <t>興隆</t>
        </is>
      </c>
    </row>
    <row r="84">
      <c r="A84" t="inlineStr">
        <is>
          <t>Lan-Ping (pref.)</t>
        </is>
      </c>
      <c r="B84" t="inlineStr">
        <is>
          <t>灤平</t>
        </is>
      </c>
    </row>
    <row r="85">
      <c r="A85" t="inlineStr">
        <is>
          <t>Feng-Ning (pref.)</t>
        </is>
      </c>
      <c r="B85" t="inlineStr">
        <is>
          <t>豐寧</t>
        </is>
      </c>
    </row>
    <row r="86">
      <c r="A86" t="inlineStr">
        <is>
          <t>Lung-Hwa (pref.)</t>
        </is>
      </c>
      <c r="B86" t="inlineStr">
        <is>
          <t>隆化</t>
        </is>
      </c>
    </row>
    <row r="87">
      <c r="A87" t="inlineStr">
        <is>
          <t>Chien-Chang (pref.)</t>
        </is>
      </c>
      <c r="B87" t="inlineStr">
        <is>
          <t>建昌（喀喇沁左旗）</t>
        </is>
      </c>
    </row>
    <row r="88">
      <c r="A88" t="inlineStr">
        <is>
          <t>Ching-Lung (pref.)</t>
        </is>
      </c>
      <c r="B88" t="inlineStr">
        <is>
          <t>青龍</t>
        </is>
      </c>
    </row>
    <row r="89">
      <c r="A89" t="inlineStr">
        <is>
          <t>Ning-Cheng (pref.)</t>
        </is>
      </c>
      <c r="B89" t="inlineStr">
        <is>
          <t>寧城（喀喇沁中旗）</t>
        </is>
      </c>
    </row>
    <row r="90">
      <c r="A90" t="inlineStr">
        <is>
          <t>Chifeng (pref.)</t>
        </is>
      </c>
      <c r="B90" t="inlineStr">
        <is>
          <t>赤峰 翁牛特右旗）</t>
        </is>
      </c>
    </row>
    <row r="91">
      <c r="A91" t="inlineStr">
        <is>
          <t>Weichang (pref.)</t>
        </is>
      </c>
      <c r="B91" t="inlineStr">
        <is>
          <t>圍場</t>
        </is>
      </c>
    </row>
    <row r="92">
      <c r="A92" t="inlineStr">
        <is>
          <t>Chien-ping (pref.)</t>
        </is>
      </c>
      <c r="B92" t="inlineStr">
        <is>
          <t>建平（喀喇沁右旗）</t>
        </is>
      </c>
    </row>
    <row r="93">
      <c r="A93" t="inlineStr">
        <is>
          <t>Hsin-hui (pref.)</t>
        </is>
      </c>
      <c r="B93" t="inlineStr">
        <is>
          <t>新惠（敖漢旗）</t>
        </is>
      </c>
    </row>
    <row r="94">
      <c r="A94" t="inlineStr">
        <is>
          <t>Wutan (pref.)</t>
        </is>
      </c>
      <c r="B94" t="inlineStr">
        <is>
          <t>烏丹（翁牛特左旗）</t>
        </is>
      </c>
    </row>
    <row r="95">
      <c r="A95" t="inlineStr">
        <is>
          <t>Pinkiang Province</t>
        </is>
      </c>
      <c r="B95" t="inlineStr">
        <is>
          <t>濱江省</t>
        </is>
      </c>
    </row>
    <row r="96">
      <c r="A96" t="inlineStr">
        <is>
          <t>Harbin City*</t>
        </is>
      </c>
      <c r="B96" t="inlineStr">
        <is>
          <t>哈爾濱市</t>
        </is>
      </c>
    </row>
    <row r="97">
      <c r="A97" t="inlineStr">
        <is>
          <t>Acheng (pref.)</t>
        </is>
      </c>
      <c r="B97" t="inlineStr">
        <is>
          <t>阿城</t>
        </is>
      </c>
    </row>
    <row r="98">
      <c r="A98" t="inlineStr">
        <is>
          <t>Ping-hsien (pref.)</t>
        </is>
      </c>
      <c r="B98" t="inlineStr">
        <is>
          <t>賓</t>
        </is>
      </c>
    </row>
    <row r="99">
      <c r="A99" t="inlineStr">
        <is>
          <t>Shwangcheng (pref.)</t>
        </is>
      </c>
      <c r="B99" t="inlineStr">
        <is>
          <t>雙城</t>
        </is>
      </c>
    </row>
    <row r="100">
      <c r="A100" t="inlineStr">
        <is>
          <t>Wuchang (pref.)</t>
        </is>
      </c>
      <c r="B100" t="inlineStr">
        <is>
          <t>五常</t>
        </is>
      </c>
    </row>
    <row r="101">
      <c r="A101" t="inlineStr">
        <is>
          <t>Chuho (pref.)</t>
        </is>
      </c>
      <c r="B101" t="inlineStr">
        <is>
          <t>珠河</t>
        </is>
      </c>
    </row>
    <row r="102">
      <c r="A102" t="inlineStr">
        <is>
          <t>Weiho (pref.)</t>
        </is>
      </c>
      <c r="B102" t="inlineStr">
        <is>
          <t>葦河</t>
        </is>
      </c>
    </row>
    <row r="103">
      <c r="A103" t="inlineStr">
        <is>
          <t>Yenshou (pref.)</t>
        </is>
      </c>
      <c r="B103" t="inlineStr">
        <is>
          <t>延壽</t>
        </is>
      </c>
    </row>
    <row r="104">
      <c r="A104" t="inlineStr">
        <is>
          <t>Hulan (pref.)</t>
        </is>
      </c>
      <c r="B104" t="inlineStr">
        <is>
          <t>呼蘭</t>
        </is>
      </c>
    </row>
    <row r="105">
      <c r="A105" t="inlineStr">
        <is>
          <t>Payen (pref.)</t>
        </is>
      </c>
      <c r="B105" t="inlineStr">
        <is>
          <t>巴彥</t>
        </is>
      </c>
    </row>
    <row r="106">
      <c r="A106" t="inlineStr">
        <is>
          <t>Mulan (pref.)</t>
        </is>
      </c>
      <c r="B106" t="inlineStr">
        <is>
          <t>木蘭</t>
        </is>
      </c>
    </row>
    <row r="107">
      <c r="A107" t="inlineStr">
        <is>
          <t>Chaotung (pref.)</t>
        </is>
      </c>
      <c r="B107" t="inlineStr">
        <is>
          <t>肇東</t>
        </is>
      </c>
    </row>
    <row r="108">
      <c r="A108" t="inlineStr">
        <is>
          <t>Chaochow (pref.)</t>
        </is>
      </c>
      <c r="B108" t="inlineStr">
        <is>
          <t>肇州</t>
        </is>
      </c>
    </row>
    <row r="109">
      <c r="A109" t="inlineStr">
        <is>
          <t>Lansi (pref.)</t>
        </is>
      </c>
      <c r="B109" t="inlineStr">
        <is>
          <t>蘭西</t>
        </is>
      </c>
    </row>
    <row r="110">
      <c r="A110" t="inlineStr">
        <is>
          <t>Tunghsing (pref.)</t>
        </is>
      </c>
      <c r="B110" t="inlineStr">
        <is>
          <t>東興</t>
        </is>
      </c>
    </row>
    <row r="111">
      <c r="A111" t="inlineStr">
        <is>
          <t>Anta (pref.)</t>
        </is>
      </c>
      <c r="B111" t="inlineStr">
        <is>
          <t>安達</t>
        </is>
      </c>
    </row>
    <row r="112">
      <c r="A112" t="inlineStr">
        <is>
          <t>Chingkang (pref.)</t>
        </is>
      </c>
      <c r="B112" t="inlineStr">
        <is>
          <t>青岡</t>
        </is>
      </c>
    </row>
    <row r="113">
      <c r="A113" t="inlineStr">
        <is>
          <t>Kuerlos rear banner</t>
        </is>
      </c>
      <c r="B113" t="inlineStr">
        <is>
          <t>郭爾羅斯後旗</t>
        </is>
      </c>
    </row>
    <row r="114">
      <c r="A114" t="inlineStr">
        <is>
          <t>Chinchow Province</t>
        </is>
      </c>
      <c r="B114" t="inlineStr">
        <is>
          <t>錦州省</t>
        </is>
      </c>
    </row>
    <row r="115">
      <c r="A115" t="inlineStr">
        <is>
          <t>Chinchow City*</t>
        </is>
      </c>
      <c r="B115" t="inlineStr">
        <is>
          <t>錦州市</t>
        </is>
      </c>
    </row>
    <row r="116">
      <c r="A116" t="inlineStr">
        <is>
          <t>Chin-hsien (pref.)</t>
        </is>
      </c>
      <c r="B116" t="inlineStr">
        <is>
          <t>錦</t>
        </is>
      </c>
    </row>
    <row r="117">
      <c r="A117" t="inlineStr">
        <is>
          <t>Chinsi (pref.)</t>
        </is>
      </c>
      <c r="B117" t="inlineStr">
        <is>
          <t>錦西</t>
        </is>
      </c>
    </row>
    <row r="118">
      <c r="A118" t="inlineStr">
        <is>
          <t>Hsincheng (pref.)</t>
        </is>
      </c>
      <c r="B118" t="inlineStr">
        <is>
          <t>興城</t>
        </is>
      </c>
    </row>
    <row r="119">
      <c r="A119" t="inlineStr">
        <is>
          <t>Suichung (pref.)</t>
        </is>
      </c>
      <c r="B119" t="inlineStr">
        <is>
          <t>綏中</t>
        </is>
      </c>
    </row>
    <row r="120">
      <c r="A120" t="inlineStr">
        <is>
          <t>I-hsien (pref.)</t>
        </is>
      </c>
      <c r="B120" t="inlineStr">
        <is>
          <t>義</t>
        </is>
      </c>
    </row>
    <row r="121">
      <c r="A121" t="inlineStr">
        <is>
          <t>Peichen (pref.)</t>
        </is>
      </c>
      <c r="B121" t="inlineStr">
        <is>
          <t>北鎭</t>
        </is>
      </c>
    </row>
    <row r="122">
      <c r="A122" t="inlineStr">
        <is>
          <t>Panshan (pref.)</t>
        </is>
      </c>
      <c r="B122" t="inlineStr">
        <is>
          <t>盤山</t>
        </is>
      </c>
    </row>
    <row r="123">
      <c r="A123" t="inlineStr">
        <is>
          <t>Taian (pref.)</t>
        </is>
      </c>
      <c r="B123" t="inlineStr">
        <is>
          <t>臺安</t>
        </is>
      </c>
    </row>
    <row r="124">
      <c r="A124" t="inlineStr">
        <is>
          <t>Heishan (pref.)</t>
        </is>
      </c>
      <c r="B124" t="inlineStr">
        <is>
          <t>黑山</t>
        </is>
      </c>
    </row>
    <row r="125">
      <c r="A125" t="inlineStr">
        <is>
          <t>Changwu (pref.)</t>
        </is>
      </c>
      <c r="B125" t="inlineStr">
        <is>
          <t>彰武</t>
        </is>
      </c>
    </row>
    <row r="126">
      <c r="A126" t="inlineStr">
        <is>
          <t>Chaoyang (pref.)</t>
        </is>
      </c>
      <c r="B126" t="inlineStr">
        <is>
          <t>朝陽（吐默特右旗）</t>
        </is>
      </c>
    </row>
    <row r="127">
      <c r="A127" t="inlineStr">
        <is>
          <t>Fuhsin (pref.)</t>
        </is>
      </c>
      <c r="B127" t="inlineStr">
        <is>
          <t>（阜新）吐默特左旗</t>
        </is>
      </c>
    </row>
    <row r="128">
      <c r="A128" t="inlineStr">
        <is>
          <t>Antung Province</t>
        </is>
      </c>
      <c r="B128" t="inlineStr">
        <is>
          <t>安東省</t>
        </is>
      </c>
    </row>
    <row r="129">
      <c r="A129" t="inlineStr">
        <is>
          <t>Antung City*</t>
        </is>
      </c>
      <c r="B129" t="inlineStr">
        <is>
          <t>安東市</t>
        </is>
      </c>
    </row>
    <row r="130">
      <c r="A130" t="inlineStr">
        <is>
          <t>Antung (pref.)</t>
        </is>
      </c>
      <c r="B130" t="inlineStr">
        <is>
          <t>安東</t>
        </is>
      </c>
    </row>
    <row r="131">
      <c r="A131" t="inlineStr">
        <is>
          <t>Fengcheng (pref.)</t>
        </is>
      </c>
      <c r="B131" t="inlineStr">
        <is>
          <t>鳳城</t>
        </is>
      </c>
    </row>
    <row r="132">
      <c r="A132" t="inlineStr">
        <is>
          <t>Shiuyen (pref.)</t>
        </is>
      </c>
      <c r="B132" t="inlineStr">
        <is>
          <t>岫巖</t>
        </is>
      </c>
    </row>
    <row r="133">
      <c r="A133" t="inlineStr">
        <is>
          <t>Chwangho (pref.)</t>
        </is>
      </c>
      <c r="B133" t="inlineStr">
        <is>
          <t>莊河</t>
        </is>
      </c>
    </row>
    <row r="134">
      <c r="A134" t="inlineStr">
        <is>
          <t>Kuantien (pref.)</t>
        </is>
      </c>
      <c r="B134" t="inlineStr">
        <is>
          <t>寬甸</t>
        </is>
      </c>
    </row>
    <row r="135">
      <c r="A135" t="inlineStr">
        <is>
          <t>Kuanen (pref.)</t>
        </is>
      </c>
      <c r="B135" t="inlineStr">
        <is>
          <t>桓仁</t>
        </is>
      </c>
    </row>
    <row r="136">
      <c r="A136" t="inlineStr">
        <is>
          <t>Chientao Province</t>
        </is>
      </c>
      <c r="B136" t="inlineStr">
        <is>
          <t>間島省</t>
        </is>
      </c>
    </row>
    <row r="137">
      <c r="A137" t="inlineStr">
        <is>
          <t>Yenki-kai*</t>
        </is>
      </c>
      <c r="B137" t="inlineStr">
        <is>
          <t>延吉街</t>
        </is>
      </c>
    </row>
    <row r="138">
      <c r="A138" t="inlineStr">
        <is>
          <t>Yenki (pref.)</t>
        </is>
      </c>
      <c r="B138" t="inlineStr">
        <is>
          <t>延吉</t>
        </is>
      </c>
    </row>
    <row r="139">
      <c r="A139" t="inlineStr">
        <is>
          <t>Wangching (pref.)</t>
        </is>
      </c>
      <c r="B139" t="inlineStr">
        <is>
          <t>汪淸</t>
        </is>
      </c>
    </row>
    <row r="140">
      <c r="A140" t="inlineStr">
        <is>
          <t>Holung (pref.)</t>
        </is>
      </c>
      <c r="B140" t="inlineStr">
        <is>
          <t>和龍</t>
        </is>
      </c>
    </row>
    <row r="141">
      <c r="A141" t="inlineStr">
        <is>
          <t>Hunchun (pref.)</t>
        </is>
      </c>
      <c r="B141" t="inlineStr">
        <is>
          <t>琿春</t>
        </is>
      </c>
    </row>
    <row r="142">
      <c r="A142" t="inlineStr">
        <is>
          <t>Antu (pref.)</t>
        </is>
      </c>
      <c r="B142" t="inlineStr">
        <is>
          <t>安圖</t>
        </is>
      </c>
    </row>
    <row r="143">
      <c r="A143" t="inlineStr">
        <is>
          <t>Sankiang Province</t>
        </is>
      </c>
      <c r="B143" t="inlineStr">
        <is>
          <t>三江省</t>
        </is>
      </c>
    </row>
    <row r="144">
      <c r="A144" t="inlineStr">
        <is>
          <t>Chiamussu City*</t>
        </is>
      </c>
      <c r="B144" t="inlineStr">
        <is>
          <t>佳木斯市</t>
        </is>
      </c>
    </row>
    <row r="145">
      <c r="A145" t="inlineStr">
        <is>
          <t>Fangcheng (pref.)</t>
        </is>
      </c>
      <c r="B145" t="inlineStr">
        <is>
          <t>方正</t>
        </is>
      </c>
    </row>
    <row r="146">
      <c r="A146" t="inlineStr">
        <is>
          <t>I-lan (pref.)</t>
        </is>
      </c>
      <c r="B146" t="inlineStr">
        <is>
          <t>依蘭</t>
        </is>
      </c>
    </row>
    <row r="147">
      <c r="A147" t="inlineStr">
        <is>
          <t>Poli (pref.)</t>
        </is>
      </c>
      <c r="B147" t="inlineStr">
        <is>
          <t>勃利</t>
        </is>
      </c>
    </row>
    <row r="148">
      <c r="A148" t="inlineStr">
        <is>
          <t>Fu-yuan (pref.)</t>
        </is>
      </c>
      <c r="B148" t="inlineStr">
        <is>
          <t>撫遠</t>
        </is>
      </c>
    </row>
    <row r="149">
      <c r="A149" t="inlineStr">
        <is>
          <t>Tungchiang (pref.)</t>
        </is>
      </c>
      <c r="B149" t="inlineStr">
        <is>
          <t>同江</t>
        </is>
      </c>
    </row>
    <row r="150">
      <c r="A150" t="inlineStr">
        <is>
          <t>Fuchin (pref.)</t>
        </is>
      </c>
      <c r="B150" t="inlineStr">
        <is>
          <t>富錦</t>
        </is>
      </c>
    </row>
    <row r="151">
      <c r="A151" t="inlineStr">
        <is>
          <t>Hwachuan (pref.)</t>
        </is>
      </c>
      <c r="B151" t="inlineStr">
        <is>
          <t>樺川</t>
        </is>
      </c>
    </row>
    <row r="152">
      <c r="A152" t="inlineStr">
        <is>
          <t>Tungho (pref.)</t>
        </is>
      </c>
      <c r="B152" t="inlineStr">
        <is>
          <t>通河</t>
        </is>
      </c>
    </row>
    <row r="153">
      <c r="A153" t="inlineStr">
        <is>
          <t>Tangyuan (pref.)</t>
        </is>
      </c>
      <c r="B153" t="inlineStr">
        <is>
          <t>湯原</t>
        </is>
      </c>
    </row>
    <row r="154">
      <c r="A154" t="inlineStr">
        <is>
          <t>Lopei (pref.)</t>
        </is>
      </c>
      <c r="B154" t="inlineStr">
        <is>
          <t>蘿北</t>
        </is>
      </c>
    </row>
    <row r="155">
      <c r="A155" t="inlineStr">
        <is>
          <t>Suiping (pref.)</t>
        </is>
      </c>
      <c r="B155" t="inlineStr">
        <is>
          <t>綏濱</t>
        </is>
      </c>
    </row>
    <row r="156">
      <c r="A156" t="inlineStr">
        <is>
          <t>Holi (pref.)</t>
        </is>
      </c>
      <c r="B156" t="inlineStr">
        <is>
          <t>鶴立</t>
        </is>
      </c>
    </row>
    <row r="157">
      <c r="A157" t="inlineStr">
        <is>
          <t>Tunghua Province</t>
        </is>
      </c>
      <c r="B157" t="inlineStr">
        <is>
          <t>通化省</t>
        </is>
      </c>
    </row>
    <row r="158">
      <c r="A158" t="inlineStr">
        <is>
          <t>Tunghua-kai*</t>
        </is>
      </c>
      <c r="B158" t="inlineStr">
        <is>
          <t>通化街</t>
        </is>
      </c>
    </row>
    <row r="159">
      <c r="A159" t="inlineStr">
        <is>
          <t>Tunghua (pref.)</t>
        </is>
      </c>
      <c r="B159" t="inlineStr">
        <is>
          <t>通化</t>
        </is>
      </c>
    </row>
    <row r="160">
      <c r="A160" t="inlineStr">
        <is>
          <t>Lenkiang (pref.)</t>
        </is>
      </c>
      <c r="B160" t="inlineStr">
        <is>
          <t>臨江</t>
        </is>
      </c>
    </row>
    <row r="161">
      <c r="A161" t="inlineStr">
        <is>
          <t>Changpai (pref.)</t>
        </is>
      </c>
      <c r="B161" t="inlineStr">
        <is>
          <t>長白</t>
        </is>
      </c>
    </row>
    <row r="162">
      <c r="A162" t="inlineStr">
        <is>
          <t>Fushun (pref.)</t>
        </is>
      </c>
      <c r="B162" t="inlineStr">
        <is>
          <t>撫松</t>
        </is>
      </c>
    </row>
    <row r="163">
      <c r="A163" t="inlineStr">
        <is>
          <t>Hui-nan (pref.)</t>
        </is>
      </c>
      <c r="B163" t="inlineStr">
        <is>
          <t>輝南</t>
        </is>
      </c>
    </row>
    <row r="164">
      <c r="A164" t="inlineStr">
        <is>
          <t>Chingchuan (pref.)</t>
        </is>
      </c>
      <c r="B164" t="inlineStr">
        <is>
          <t>金川</t>
        </is>
      </c>
    </row>
    <row r="165">
      <c r="A165" t="inlineStr">
        <is>
          <t>Liuho (pref.)</t>
        </is>
      </c>
      <c r="B165" t="inlineStr">
        <is>
          <t>柳河</t>
        </is>
      </c>
    </row>
    <row r="166">
      <c r="A166" t="inlineStr">
        <is>
          <t>Mengkiang (pref.)</t>
        </is>
      </c>
      <c r="B166" t="inlineStr">
        <is>
          <t>濛江</t>
        </is>
      </c>
    </row>
    <row r="167">
      <c r="A167" t="inlineStr">
        <is>
          <t>Chinan (pref.)</t>
        </is>
      </c>
      <c r="B167" t="inlineStr">
        <is>
          <t>輯安</t>
        </is>
      </c>
    </row>
    <row r="168">
      <c r="A168" t="inlineStr">
        <is>
          <t>Mutankiang Province</t>
        </is>
      </c>
      <c r="B168" t="inlineStr">
        <is>
          <t>牡丹江省</t>
        </is>
      </c>
    </row>
    <row r="169">
      <c r="A169" t="inlineStr">
        <is>
          <t>Mutankiang City*</t>
        </is>
      </c>
      <c r="B169" t="inlineStr">
        <is>
          <t>牡丹江市</t>
        </is>
      </c>
    </row>
    <row r="170">
      <c r="A170" t="inlineStr">
        <is>
          <t>Ningan (pref.)</t>
        </is>
      </c>
      <c r="B170" t="inlineStr">
        <is>
          <t>寧安</t>
        </is>
      </c>
    </row>
    <row r="171">
      <c r="A171" t="inlineStr">
        <is>
          <t>Tungnin (pref.)</t>
        </is>
      </c>
      <c r="B171" t="inlineStr">
        <is>
          <t>東寧</t>
        </is>
      </c>
    </row>
    <row r="172">
      <c r="A172" t="inlineStr">
        <is>
          <t>Mulin (pref.)</t>
        </is>
      </c>
      <c r="B172" t="inlineStr">
        <is>
          <t>穆稜</t>
        </is>
      </c>
    </row>
    <row r="173">
      <c r="A173" t="inlineStr">
        <is>
          <t>Suiyang (pref.)</t>
        </is>
      </c>
      <c r="B173" t="inlineStr">
        <is>
          <t>綏陽</t>
        </is>
      </c>
    </row>
    <row r="174">
      <c r="A174" t="inlineStr">
        <is>
          <t>Tungan Province</t>
        </is>
      </c>
      <c r="B174" t="inlineStr">
        <is>
          <t>東安省</t>
        </is>
      </c>
    </row>
    <row r="175">
      <c r="A175" t="inlineStr">
        <is>
          <t>Tungan-kai*</t>
        </is>
      </c>
      <c r="B175" t="inlineStr">
        <is>
          <t>東安街</t>
        </is>
      </c>
    </row>
    <row r="176">
      <c r="A176" t="inlineStr">
        <is>
          <t>Hulin (pref.)</t>
        </is>
      </c>
      <c r="B176" t="inlineStr">
        <is>
          <t>虎林</t>
        </is>
      </c>
    </row>
    <row r="177">
      <c r="A177" t="inlineStr">
        <is>
          <t>Yoho (pref.)</t>
        </is>
      </c>
      <c r="B177" t="inlineStr">
        <is>
          <t>饒河</t>
        </is>
      </c>
    </row>
    <row r="178">
      <c r="A178" t="inlineStr">
        <is>
          <t>Paoching (pref.)</t>
        </is>
      </c>
      <c r="B178" t="inlineStr">
        <is>
          <t>寶淸</t>
        </is>
      </c>
    </row>
    <row r="179">
      <c r="A179" t="inlineStr">
        <is>
          <t>Linkou (pref.)</t>
        </is>
      </c>
      <c r="B179" t="inlineStr">
        <is>
          <t>林口</t>
        </is>
      </c>
    </row>
    <row r="180">
      <c r="A180" t="inlineStr">
        <is>
          <t>Mishan (pref.)</t>
        </is>
      </c>
      <c r="B180" t="inlineStr">
        <is>
          <t>密山</t>
        </is>
      </c>
    </row>
    <row r="181">
      <c r="A181" t="inlineStr">
        <is>
          <t>Peian Province</t>
        </is>
      </c>
      <c r="B181" t="inlineStr">
        <is>
          <t>北安省</t>
        </is>
      </c>
    </row>
    <row r="182">
      <c r="A182" t="inlineStr">
        <is>
          <t>Peian-kai*</t>
        </is>
      </c>
      <c r="B182" t="inlineStr">
        <is>
          <t>北安街</t>
        </is>
      </c>
    </row>
    <row r="183">
      <c r="A183" t="inlineStr">
        <is>
          <t>Suiling (pref.)</t>
        </is>
      </c>
      <c r="B183" t="inlineStr">
        <is>
          <t>綏稜</t>
        </is>
      </c>
    </row>
    <row r="184">
      <c r="A184" t="inlineStr">
        <is>
          <t>Tiehli (pref.)</t>
        </is>
      </c>
      <c r="B184" t="inlineStr">
        <is>
          <t>鐵驪</t>
        </is>
      </c>
    </row>
    <row r="185">
      <c r="A185" t="inlineStr">
        <is>
          <t>Chingcheng (pref.)</t>
        </is>
      </c>
      <c r="B185" t="inlineStr">
        <is>
          <t>慶城</t>
        </is>
      </c>
    </row>
    <row r="186">
      <c r="A186" t="inlineStr">
        <is>
          <t>Suihua (pref.)</t>
        </is>
      </c>
      <c r="B186" t="inlineStr">
        <is>
          <t>綏化</t>
        </is>
      </c>
    </row>
    <row r="187">
      <c r="A187" t="inlineStr">
        <is>
          <t>Hailun (pref.)</t>
        </is>
      </c>
      <c r="B187" t="inlineStr">
        <is>
          <t>海倫</t>
        </is>
      </c>
    </row>
    <row r="188">
      <c r="A188" t="inlineStr">
        <is>
          <t>Wangkwei (pref.)</t>
        </is>
      </c>
      <c r="B188" t="inlineStr">
        <is>
          <t>望奎</t>
        </is>
      </c>
    </row>
    <row r="189">
      <c r="A189" t="inlineStr">
        <is>
          <t>I-an (pref.)</t>
        </is>
      </c>
      <c r="B189" t="inlineStr">
        <is>
          <t>依安</t>
        </is>
      </c>
    </row>
    <row r="190">
      <c r="A190" t="inlineStr">
        <is>
          <t>Peian (pref.)</t>
        </is>
      </c>
      <c r="B190" t="inlineStr">
        <is>
          <t>北安</t>
        </is>
      </c>
    </row>
    <row r="191">
      <c r="A191" t="inlineStr">
        <is>
          <t>Tehyu (pref.)</t>
        </is>
      </c>
      <c r="B191" t="inlineStr">
        <is>
          <t>德都</t>
        </is>
      </c>
    </row>
    <row r="192">
      <c r="A192" t="inlineStr">
        <is>
          <t>Koshan (pref.)</t>
        </is>
      </c>
      <c r="B192" t="inlineStr">
        <is>
          <t>克山</t>
        </is>
      </c>
    </row>
    <row r="193">
      <c r="A193" t="inlineStr">
        <is>
          <t>Kotung (pref.)</t>
        </is>
      </c>
      <c r="B193" t="inlineStr">
        <is>
          <t>克東</t>
        </is>
      </c>
    </row>
    <row r="194">
      <c r="A194" t="inlineStr">
        <is>
          <t>Paichuan (pref.)</t>
        </is>
      </c>
      <c r="B194" t="inlineStr">
        <is>
          <t>拜泉</t>
        </is>
      </c>
    </row>
    <row r="195">
      <c r="A195" t="inlineStr">
        <is>
          <t>Mingshui (pref.)</t>
        </is>
      </c>
      <c r="B195" t="inlineStr">
        <is>
          <t>明水</t>
        </is>
      </c>
    </row>
    <row r="196">
      <c r="A196" t="inlineStr">
        <is>
          <t>Tungpei (pref.)</t>
        </is>
      </c>
      <c r="B196" t="inlineStr">
        <is>
          <t>通北</t>
        </is>
      </c>
    </row>
    <row r="197">
      <c r="A197" t="inlineStr">
        <is>
          <t>Nenkiang (pref.)</t>
        </is>
      </c>
      <c r="B197" t="inlineStr">
        <is>
          <t>嫩江</t>
        </is>
      </c>
    </row>
    <row r="198">
      <c r="A198" t="inlineStr">
        <is>
          <t>Heiho Province</t>
        </is>
      </c>
      <c r="B198" t="inlineStr">
        <is>
          <t>黑河省</t>
        </is>
      </c>
    </row>
    <row r="199">
      <c r="A199" t="inlineStr">
        <is>
          <t>Heiho-kai*</t>
        </is>
      </c>
      <c r="B199" t="inlineStr">
        <is>
          <t>黑河街</t>
        </is>
      </c>
    </row>
    <row r="200">
      <c r="A200" t="inlineStr">
        <is>
          <t>Moho (pref.)</t>
        </is>
      </c>
      <c r="B200" t="inlineStr">
        <is>
          <t>漠河</t>
        </is>
      </c>
    </row>
    <row r="201">
      <c r="A201" t="inlineStr">
        <is>
          <t>O-pu (pref.)</t>
        </is>
      </c>
      <c r="B201" t="inlineStr">
        <is>
          <t>鷗浦</t>
        </is>
      </c>
    </row>
    <row r="202">
      <c r="A202" t="inlineStr">
        <is>
          <t>Huma (pref.)</t>
        </is>
      </c>
      <c r="B202" t="inlineStr">
        <is>
          <t>呼瑪</t>
        </is>
      </c>
    </row>
    <row r="203">
      <c r="A203" t="inlineStr">
        <is>
          <t>Aigun (pref.)</t>
        </is>
      </c>
      <c r="B203" t="inlineStr">
        <is>
          <t>璦琿</t>
        </is>
      </c>
    </row>
    <row r="204">
      <c r="A204" t="inlineStr">
        <is>
          <t>Chiko (pref.)</t>
        </is>
      </c>
      <c r="B204" t="inlineStr">
        <is>
          <t>奇克</t>
        </is>
      </c>
    </row>
    <row r="205">
      <c r="A205" t="inlineStr">
        <is>
          <t>Shunho (pref.)</t>
        </is>
      </c>
      <c r="B205" t="inlineStr">
        <is>
          <t>遜河</t>
        </is>
      </c>
    </row>
    <row r="206">
      <c r="A206" t="inlineStr">
        <is>
          <t>Wuyuen (pref.)</t>
        </is>
      </c>
      <c r="B206" t="inlineStr">
        <is>
          <t>烏雲</t>
        </is>
      </c>
    </row>
    <row r="207">
      <c r="A207" t="inlineStr">
        <is>
          <t>Foshan (pref.)</t>
        </is>
      </c>
      <c r="B207" t="inlineStr">
        <is>
          <t>佛山</t>
        </is>
      </c>
    </row>
    <row r="208">
      <c r="A208" t="inlineStr">
        <is>
          <t>Sunwu (pref.)</t>
        </is>
      </c>
      <c r="B208" t="inlineStr">
        <is>
          <t>孫吳</t>
        </is>
      </c>
    </row>
    <row r="209">
      <c r="A209" t="inlineStr">
        <is>
          <t>East Hsingan Province</t>
        </is>
      </c>
      <c r="B209" t="inlineStr">
        <is>
          <t>興安東省</t>
        </is>
      </c>
    </row>
    <row r="210">
      <c r="A210" t="inlineStr">
        <is>
          <t>Chalan-tun*</t>
        </is>
      </c>
      <c r="B210" t="inlineStr">
        <is>
          <t>札蘭屯</t>
        </is>
      </c>
    </row>
    <row r="211">
      <c r="A211" t="inlineStr">
        <is>
          <t>Payen banner</t>
        </is>
      </c>
      <c r="B211" t="inlineStr">
        <is>
          <t>巴彥旗</t>
        </is>
      </c>
    </row>
    <row r="212">
      <c r="A212" t="inlineStr">
        <is>
          <t>Molitawa banner</t>
        </is>
      </c>
      <c r="B212" t="inlineStr">
        <is>
          <t>莫力達瓦旗</t>
        </is>
      </c>
    </row>
    <row r="213">
      <c r="A213" t="inlineStr">
        <is>
          <t>Aiyung banner</t>
        </is>
      </c>
      <c r="B213" t="inlineStr">
        <is>
          <t>阿榮旗</t>
        </is>
      </c>
    </row>
    <row r="214">
      <c r="A214" t="inlineStr">
        <is>
          <t>Chiterha banner</t>
        </is>
      </c>
      <c r="B214" t="inlineStr">
        <is>
          <t>布特哈旗</t>
        </is>
      </c>
    </row>
    <row r="215">
      <c r="A215" t="inlineStr">
        <is>
          <t>Shitacher banner</t>
        </is>
      </c>
      <c r="B215" t="inlineStr"/>
    </row>
    <row r="216">
      <c r="A216" t="inlineStr">
        <is>
          <t>South Hsingan Province</t>
        </is>
      </c>
      <c r="B216" t="inlineStr"/>
    </row>
    <row r="217">
      <c r="A217" t="inlineStr">
        <is>
          <t>Wangyemiao*</t>
        </is>
      </c>
      <c r="B217" t="inlineStr"/>
    </row>
    <row r="218">
      <c r="A218" t="inlineStr">
        <is>
          <t>Chalaiter banner</t>
        </is>
      </c>
      <c r="B218" t="inlineStr">
        <is>
          <t>扎賚特旗</t>
        </is>
      </c>
    </row>
    <row r="219">
      <c r="A219" t="inlineStr">
        <is>
          <t>Koershin right wing front banner</t>
        </is>
      </c>
      <c r="B219" t="inlineStr">
        <is>
          <t>科爾沁右翼前旗</t>
        </is>
      </c>
    </row>
    <row r="220">
      <c r="A220" t="inlineStr">
        <is>
          <t>Koershin right wing rear banner</t>
        </is>
      </c>
      <c r="B220" t="inlineStr">
        <is>
          <t>科爾沁右翼後旗</t>
        </is>
      </c>
    </row>
    <row r="221">
      <c r="A221" t="inlineStr">
        <is>
          <t>Koershin right wing central banner</t>
        </is>
      </c>
      <c r="B221" t="inlineStr">
        <is>
          <t>科爾沁右翼中旗</t>
        </is>
      </c>
    </row>
    <row r="222">
      <c r="A222" t="inlineStr">
        <is>
          <t>Koershin left wing central banner</t>
        </is>
      </c>
      <c r="B222" t="inlineStr">
        <is>
          <t>科爾沁左翼中旗</t>
        </is>
      </c>
    </row>
    <row r="223">
      <c r="A223" t="inlineStr">
        <is>
          <t>Tungliao (pref.)</t>
        </is>
      </c>
      <c r="B223" t="inlineStr">
        <is>
          <t>通遼縣</t>
        </is>
      </c>
    </row>
    <row r="224">
      <c r="A224" t="inlineStr">
        <is>
          <t>Koershin left wing rear banner</t>
        </is>
      </c>
      <c r="B224" t="inlineStr">
        <is>
          <t>科爾沁左翼後旗</t>
        </is>
      </c>
    </row>
    <row r="225">
      <c r="A225" t="inlineStr">
        <is>
          <t>Koershin left wing front banner</t>
        </is>
      </c>
      <c r="B225" t="inlineStr">
        <is>
          <t>科爾沁左翼前旗</t>
        </is>
      </c>
    </row>
    <row r="226">
      <c r="A226" t="inlineStr">
        <is>
          <t>Hulunbair banner</t>
        </is>
      </c>
      <c r="B226" t="inlineStr">
        <is>
          <t>庫倫旗</t>
        </is>
      </c>
    </row>
    <row r="227">
      <c r="A227" t="inlineStr">
        <is>
          <t>West Hsingan Province</t>
        </is>
      </c>
      <c r="B227" t="inlineStr">
        <is>
          <t>興安西省</t>
        </is>
      </c>
    </row>
    <row r="228">
      <c r="A228" t="inlineStr">
        <is>
          <t>Kailu*</t>
        </is>
      </c>
      <c r="B228" t="inlineStr">
        <is>
          <t>開魯</t>
        </is>
      </c>
    </row>
    <row r="229">
      <c r="A229" t="inlineStr">
        <is>
          <t>Chaluter banner</t>
        </is>
      </c>
      <c r="B229" t="inlineStr">
        <is>
          <t>扎魯特旗</t>
        </is>
      </c>
    </row>
    <row r="230">
      <c r="A230" t="inlineStr">
        <is>
          <t>Arlukershin banner</t>
        </is>
      </c>
      <c r="B230" t="inlineStr">
        <is>
          <t>阿魯科爾沁旗</t>
        </is>
      </c>
    </row>
    <row r="231">
      <c r="A231" t="inlineStr">
        <is>
          <t>Palin left wing banner</t>
        </is>
      </c>
      <c r="B231" t="inlineStr">
        <is>
          <t>巴林左翼旗</t>
        </is>
      </c>
    </row>
    <row r="232">
      <c r="A232" t="inlineStr">
        <is>
          <t>Palin right wing banner</t>
        </is>
      </c>
      <c r="B232" t="inlineStr">
        <is>
          <t>巴林右翼旗</t>
        </is>
      </c>
    </row>
    <row r="233">
      <c r="A233" t="inlineStr">
        <is>
          <t>Linsi (pref.)</t>
        </is>
      </c>
      <c r="B233" t="inlineStr">
        <is>
          <t>林西縣</t>
        </is>
      </c>
    </row>
    <row r="234">
      <c r="A234" t="inlineStr">
        <is>
          <t>Koshihkoter banner</t>
        </is>
      </c>
      <c r="B234" t="inlineStr">
        <is>
          <t>克什克騰旗</t>
        </is>
      </c>
    </row>
    <row r="235">
      <c r="A235" t="inlineStr">
        <is>
          <t>Kailu (pref.)</t>
        </is>
      </c>
      <c r="B235" t="inlineStr">
        <is>
          <t>開魯縣</t>
        </is>
      </c>
    </row>
    <row r="236">
      <c r="A236" t="inlineStr">
        <is>
          <t>Aiman banner</t>
        </is>
      </c>
      <c r="B236" t="inlineStr">
        <is>
          <t>奈曼旗</t>
        </is>
      </c>
    </row>
    <row r="237">
      <c r="A237" t="inlineStr">
        <is>
          <t>North Hsingan Province</t>
        </is>
      </c>
      <c r="B237" t="inlineStr">
        <is>
          <t>興安北省</t>
        </is>
      </c>
    </row>
    <row r="238">
      <c r="A238" t="inlineStr">
        <is>
          <t>Hailar*</t>
        </is>
      </c>
      <c r="B238" t="inlineStr">
        <is>
          <t>海拉爾</t>
        </is>
      </c>
    </row>
    <row r="239">
      <c r="A239" t="inlineStr">
        <is>
          <t>Noerkona right wing banner</t>
        </is>
      </c>
      <c r="B239" t="inlineStr">
        <is>
          <t>額爾克納右翼旗</t>
        </is>
      </c>
    </row>
    <row r="240">
      <c r="A240" t="inlineStr">
        <is>
          <t>Noerkona left wing banner</t>
        </is>
      </c>
      <c r="B240" t="inlineStr">
        <is>
          <t>額爾克納左翼旗</t>
        </is>
      </c>
    </row>
    <row r="241">
      <c r="A241" t="inlineStr">
        <is>
          <t>Chenpaerhu banner</t>
        </is>
      </c>
      <c r="B241" t="inlineStr">
        <is>
          <t>陳巴爾 旗</t>
        </is>
      </c>
    </row>
    <row r="242">
      <c r="A242" t="inlineStr">
        <is>
          <t>Solung banner</t>
        </is>
      </c>
      <c r="B242" t="inlineStr">
        <is>
          <t>索倫旗</t>
        </is>
      </c>
    </row>
    <row r="243">
      <c r="A243" t="inlineStr">
        <is>
          <t>Hsinpaerhu right wing banner</t>
        </is>
      </c>
      <c r="B243" t="inlineStr">
        <is>
          <t>新巴爾虎右翼旗</t>
        </is>
      </c>
    </row>
    <row r="244">
      <c r="A244" t="inlineStr">
        <is>
          <t>Hsinpaerhu left wing banner</t>
        </is>
      </c>
      <c r="B244" t="inlineStr">
        <is>
          <t>新巴爾虎左翼旗</t>
        </is>
      </c>
    </row>
    <row r="246">
      <c r="A246" s="2" t="inlineStr">
        <is>
          <t>Footnotes</t>
        </is>
      </c>
    </row>
    <row r="247">
      <c r="A247" t="inlineStr">
        <is>
          <t>* Location of provincial office.</t>
        </is>
      </c>
    </row>
    <row r="249">
      <c r="A249" s="2" t="inlineStr">
        <is>
          <t>Transcriber's notes</t>
        </is>
      </c>
    </row>
    <row r="250">
      <c r="A250" t="inlineStr">
        <is>
          <t>Printed in two columns per page, each headed 'Province'; merged in reading order (down the left column, then the right), p.153 right page through p.156. Province-level entries (bold in print, set flush left) are: Hsinking Special Municipality, Fengtien Province, Kirin Province, Lungkiang Province, Jehol Province, Pinkiang Province, Chinchow Province, Antung Province, Chientao Province, Sankiang Province, Tunghua Province, Mutankiang Province, Tungan Province, Peian Province, Heiho Province, East Hsingan Province, South Hsingan Province, West Hsingan Province, North Hsingan Province. The rows under each province are its cities, 'kai' (towns), prefectures (hsien, '(pref.)') and banners. Leader dots are omitted.</t>
        </is>
      </c>
    </row>
    <row r="251">
      <c r="A251" t="inlineStr">
        <is>
          <t>Chinese characters transcribed as printed, including printed variants and misprints, e.g. Nen-An 農安; Hulunbair banner 庫倫旗; Aiman banner 奈曼旗; Chaoyang/Fuhsin '吐默特' banners. Single characters are kept where only one is printed: Fu-hsien 復, Chin-hsien 錦, I-hsien 義, Ping-hsien 賓. Weiko banner is printed '位克' with no 旗.</t>
        </is>
      </c>
    </row>
    <row r="252">
      <c r="A252" t="inlineStr">
        <is>
          <t>Chifeng (pref.): printed '赤峰 翁牛特右旗）' with no opening parenthesis; kept as printed. Chaoyang, Fuhsin, Hsin-hui and Wutan put the banner name in parentheses on the same line. Chien-Chang, Ning-Cheng and Chien-ping have their parenthesised banner name on a separate line below; it has been joined to the prefecture row.</t>
        </is>
      </c>
    </row>
    <row r="253">
      <c r="A253" t="inlineStr">
        <is>
          <t>Chenpaerhu banner: printed '陳巴爾 旗' with a blank or broken space where 虎 would be; kept with the space.</t>
        </is>
      </c>
    </row>
    <row r="254">
      <c r="A254" t="inlineStr">
        <is>
          <t>Multi-line English entries (e.g. 'Koershin right wing front / banner', 'Hsinpaerhu right wing ban-/ner') have been joined. 'Koershin left wing central banner' is split across the column break on p.156.</t>
        </is>
      </c>
    </row>
    <row r="255">
      <c r="A255" t="inlineStr">
        <is>
          <t>Chinese cells left blank because characters are damaged or unclear: Lientien (pref.) (p.154; first char looks like 林, second is badly formed); Feng-chuan (pref.) (p.154; first char unclear, second 泉); Jehol Province (p.154; first char broken, then 河省); Shitacher banner (p.156; reads 喜扎?爾旗, third char broken); South Hsingan Province (p.156; first char broken, then 安南省); Wangyemiao* (p.156; all three chars faint and broken).</t>
        </is>
      </c>
    </row>
    <row r="256">
      <c r="A256" t="inlineStr">
        <is>
          <t>Characters read with lower confidence (printing weak) but entered: Pan-Shih 磐石, Chingshin 景星, Kan-nan 甘南, Suiping 綏濱, Yenshou 延壽, Chaotung 肇東, Kailu* 開魯, Hsinpaerhu left wing 新巴爾虎左翼旗 (虎 broken), Chinchow Province 錦州省 (州 partly broken). The 淸/青 and 鎭 forms follow the print as far as can be seen.</t>
        </is>
      </c>
    </row>
    <row r="257">
      <c r="A257" t="inlineStr">
        <is>
          <t>Hand annotation on p.154 (circle around 興 of Hsin-lung, underlining) is ignored.</t>
        </is>
      </c>
    </row>
    <row r="258">
      <c r="A258" t="inlineStr">
        <is>
          <t>No figures, so no totals to check. The text (p.153) gives 29 banners; this list has 30 entries with 'banner' in the name (some prefectures also carry banner names in parentheses).</t>
        </is>
      </c>
    </row>
  </sheetData>
  <hyperlinks>
    <hyperlink xmlns:r="http://schemas.openxmlformats.org/officeDocument/2006/relationships" ref="A4" r:id="rId1"/>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Occupants of Leading Manchoukuo Government Posts</t>
        </is>
      </c>
    </row>
    <row r="2">
      <c r="A2" t="inlineStr">
        <is>
          <t>State Administration · printed pp. 163, 164</t>
        </is>
      </c>
    </row>
    <row r="3">
      <c r="A3" t="inlineStr">
        <is>
          <t>(Nov. 1941)</t>
        </is>
      </c>
    </row>
    <row r="4">
      <c r="A4" s="3" t="inlineStr">
        <is>
          <t>← Contents</t>
        </is>
      </c>
    </row>
    <row r="6">
      <c r="A6" s="2" t="inlineStr">
        <is>
          <t>[Imperial Household, Privy Council, Board of Rituals]</t>
        </is>
      </c>
    </row>
    <row r="7">
      <c r="A7" s="5" t="inlineStr">
        <is>
          <t>Post</t>
        </is>
      </c>
      <c r="B7" s="5" t="inlineStr">
        <is>
          <t>Occupant</t>
        </is>
      </c>
    </row>
    <row r="8">
      <c r="A8" t="inlineStr">
        <is>
          <t>Minister of the Imperial Household</t>
        </is>
      </c>
      <c r="B8" t="inlineStr">
        <is>
          <t>Hsi Chia</t>
        </is>
      </c>
    </row>
    <row r="9">
      <c r="A9" t="inlineStr">
        <is>
          <t>Vice-Minister of the Imperial Household</t>
        </is>
      </c>
      <c r="B9" t="inlineStr">
        <is>
          <t>Torao Kagoshima</t>
        </is>
      </c>
    </row>
    <row r="10">
      <c r="A10" t="inlineStr">
        <is>
          <t>Lord Keeper of Privy Seal</t>
        </is>
      </c>
      <c r="B10" t="inlineStr">
        <is>
          <t>Yuan Chin-kai</t>
        </is>
      </c>
    </row>
    <row r="11">
      <c r="A11" t="inlineStr">
        <is>
          <t>Chief Aide-de-Camp</t>
        </is>
      </c>
      <c r="B11" t="inlineStr">
        <is>
          <t>General Chi Hsing</t>
        </is>
      </c>
    </row>
    <row r="12">
      <c r="A12" t="inlineStr">
        <is>
          <t>President of Privy Council</t>
        </is>
      </c>
      <c r="B12" t="inlineStr">
        <is>
          <t>Tsuang Shih-i</t>
        </is>
      </c>
    </row>
    <row r="13">
      <c r="A13" t="inlineStr">
        <is>
          <t>Vice-President of Privy Council</t>
        </is>
      </c>
      <c r="B13" t="inlineStr">
        <is>
          <t>Toranosuke Hashimoto</t>
        </is>
      </c>
    </row>
    <row r="14">
      <c r="A14" t="inlineStr">
        <is>
          <t>President of Board of Rituals</t>
        </is>
      </c>
      <c r="B14" t="inlineStr">
        <is>
          <t>Toranosuke Hashimoto</t>
        </is>
      </c>
    </row>
    <row r="16">
      <c r="A16" s="2" t="inlineStr">
        <is>
          <t>State Council</t>
        </is>
      </c>
    </row>
    <row r="17">
      <c r="A17" s="5" t="inlineStr">
        <is>
          <t>Post</t>
        </is>
      </c>
      <c r="B17" s="5" t="inlineStr">
        <is>
          <t>Occupant</t>
        </is>
      </c>
    </row>
    <row r="18">
      <c r="A18" t="inlineStr">
        <is>
          <t>Prime Minister</t>
        </is>
      </c>
      <c r="B18" t="inlineStr">
        <is>
          <t>General Chang Ching-hui</t>
        </is>
      </c>
    </row>
    <row r="19">
      <c r="A19" t="inlineStr">
        <is>
          <t>Minister, Dept. of Public Peace</t>
        </is>
      </c>
      <c r="B19" t="inlineStr">
        <is>
          <t>General Yu Cheng-cheng</t>
        </is>
      </c>
    </row>
    <row r="20">
      <c r="A20" t="inlineStr">
        <is>
          <t>Vice-Minister, Dept. of Public Peace</t>
        </is>
      </c>
      <c r="B20" t="inlineStr">
        <is>
          <t>Saburo Shibuya</t>
        </is>
      </c>
    </row>
    <row r="21">
      <c r="A21" t="inlineStr">
        <is>
          <t>Minister, Dept. of People's Welfare</t>
        </is>
      </c>
      <c r="B21" t="inlineStr">
        <is>
          <t>Ku Tsu-heng</t>
        </is>
      </c>
    </row>
    <row r="22">
      <c r="A22" t="inlineStr">
        <is>
          <t>Vice-Minister, Dept. of People's Welfare</t>
        </is>
      </c>
      <c r="B22" t="inlineStr">
        <is>
          <t>Matsuzo Genda</t>
        </is>
      </c>
    </row>
    <row r="23">
      <c r="A23" t="inlineStr">
        <is>
          <t>Minister, Dept. for Agricultural Development</t>
        </is>
      </c>
      <c r="B23" t="inlineStr">
        <is>
          <t>Yu Ching-yuan</t>
        </is>
      </c>
    </row>
    <row r="24">
      <c r="A24" t="inlineStr">
        <is>
          <t>Vice-Minister, Dept. for Agricultural Development</t>
        </is>
      </c>
      <c r="B24" t="inlineStr">
        <is>
          <t>Hayao Inagaki</t>
        </is>
      </c>
    </row>
    <row r="25">
      <c r="A25" t="inlineStr">
        <is>
          <t>Minister, Dept. of Finance &amp; Commerce</t>
        </is>
      </c>
      <c r="B25" t="inlineStr">
        <is>
          <t>Tsai Yun-sheng</t>
        </is>
      </c>
    </row>
    <row r="26">
      <c r="A26" t="inlineStr">
        <is>
          <t>Vice-Minister, Dept. of Finance &amp; Commerce</t>
        </is>
      </c>
      <c r="B26" t="inlineStr">
        <is>
          <t>Minoru Aoki</t>
        </is>
      </c>
    </row>
    <row r="27">
      <c r="A27" t="inlineStr">
        <is>
          <t>Minister, Dept. of Communications</t>
        </is>
      </c>
      <c r="B27" t="inlineStr">
        <is>
          <t>Yuan Chien-tuo</t>
        </is>
      </c>
    </row>
    <row r="28">
      <c r="A28" t="inlineStr">
        <is>
          <t>Vice-Minister, Dept. of Communications</t>
        </is>
      </c>
      <c r="B28" t="inlineStr">
        <is>
          <t>Takeo Iino</t>
        </is>
      </c>
    </row>
    <row r="29">
      <c r="A29" t="inlineStr">
        <is>
          <t>Minister, Dept. of Justice</t>
        </is>
      </c>
      <c r="B29" t="inlineStr">
        <is>
          <t>Chang Huan-hsiang</t>
        </is>
      </c>
    </row>
    <row r="30">
      <c r="A30" t="inlineStr">
        <is>
          <t>Vice-Minister, Dept. of Justice</t>
        </is>
      </c>
      <c r="B30" t="inlineStr">
        <is>
          <t>Shigeru Maeno</t>
        </is>
      </c>
    </row>
    <row r="31">
      <c r="A31" t="inlineStr">
        <is>
          <t>President, Supreme Court</t>
        </is>
      </c>
      <c r="B31" t="inlineStr">
        <is>
          <t>Eiichi Ino</t>
        </is>
      </c>
    </row>
    <row r="32">
      <c r="A32" t="inlineStr">
        <is>
          <t>President, Supreme Procurator's Office</t>
        </is>
      </c>
      <c r="B32" t="inlineStr">
        <is>
          <t>Hsu Wei Hsin</t>
        </is>
      </c>
    </row>
    <row r="33">
      <c r="A33" t="inlineStr">
        <is>
          <t>Director-General, General Affairs Board</t>
        </is>
      </c>
      <c r="B33" t="inlineStr">
        <is>
          <t>Rokuzo Takebe</t>
        </is>
      </c>
    </row>
    <row r="34">
      <c r="A34" t="inlineStr">
        <is>
          <t>Vice-Dir.-Gen., General Affairs Board</t>
        </is>
      </c>
      <c r="B34" t="inlineStr">
        <is>
          <t>Tamotsu Matsuki</t>
        </is>
      </c>
    </row>
    <row r="35">
      <c r="A35" t="inlineStr">
        <is>
          <t>Vice-Dir.-Gen., General Affairs Board</t>
        </is>
      </c>
      <c r="B35" t="inlineStr">
        <is>
          <t>Wang Yun-chin</t>
        </is>
      </c>
    </row>
    <row r="36">
      <c r="A36" t="inlineStr">
        <is>
          <t>Vice-Dir.-Gen., General Affairs Board</t>
        </is>
      </c>
      <c r="B36" t="inlineStr">
        <is>
          <t>Tadayuki Furumi</t>
        </is>
      </c>
    </row>
    <row r="37">
      <c r="A37" t="inlineStr">
        <is>
          <t>Director-General, Foreign Office</t>
        </is>
      </c>
      <c r="B37" t="inlineStr">
        <is>
          <t>Wei Huan-chang</t>
        </is>
      </c>
    </row>
    <row r="38">
      <c r="A38" t="inlineStr">
        <is>
          <t>Director-General, Hsingan Office</t>
        </is>
      </c>
      <c r="B38" t="inlineStr">
        <is>
          <t>Pa-ta-ma-la-pu-tan</t>
        </is>
      </c>
    </row>
    <row r="39">
      <c r="A39" t="inlineStr">
        <is>
          <t>Director-General, Cadastre Adjustment Gen. Office</t>
        </is>
      </c>
      <c r="B39" t="inlineStr">
        <is>
          <t>Tsiao Cheng-tsung</t>
        </is>
      </c>
    </row>
    <row r="40">
      <c r="A40" t="inlineStr">
        <is>
          <t>Director-General, Bureau of Supplies</t>
        </is>
      </c>
      <c r="B40" t="inlineStr">
        <is>
          <t>Toshiro Mukai</t>
        </is>
      </c>
    </row>
    <row r="41">
      <c r="A41" t="inlineStr">
        <is>
          <t>Director-General, Bureau of Architecture</t>
        </is>
      </c>
      <c r="B41" t="inlineStr">
        <is>
          <t>Toshio Kasahara</t>
        </is>
      </c>
    </row>
    <row r="42">
      <c r="A42" t="inlineStr">
        <is>
          <t>Director-General, Board of Audit</t>
        </is>
      </c>
      <c r="B42" t="inlineStr">
        <is>
          <t>Shizuo Arai</t>
        </is>
      </c>
    </row>
    <row r="43">
      <c r="A43" t="inlineStr">
        <is>
          <t>Supt.-General, Metropolitan Police Board</t>
        </is>
      </c>
      <c r="B43" t="inlineStr">
        <is>
          <t>Tsi Chin-cheng</t>
        </is>
      </c>
    </row>
    <row r="44">
      <c r="A44" t="inlineStr">
        <is>
          <t>President, Tatung Acadamy</t>
        </is>
      </c>
      <c r="B44" t="inlineStr">
        <is>
          <t>Tadaya Inouye</t>
        </is>
      </c>
    </row>
    <row r="45">
      <c r="A45" t="inlineStr">
        <is>
          <t>President, Chienkuo University</t>
        </is>
      </c>
      <c r="B45" t="inlineStr">
        <is>
          <t>General Chang Ching-hui</t>
        </is>
      </c>
    </row>
    <row r="46">
      <c r="A46" t="inlineStr">
        <is>
          <t>President, Institute of Continental Scientific Research</t>
        </is>
      </c>
      <c r="B46" t="inlineStr">
        <is>
          <t>Umetaro Suzuki</t>
        </is>
      </c>
    </row>
    <row r="48">
      <c r="A48" s="2" t="inlineStr">
        <is>
          <t>Provincial Governors</t>
        </is>
      </c>
    </row>
    <row r="49">
      <c r="A49" s="5" t="inlineStr">
        <is>
          <t>Province</t>
        </is>
      </c>
      <c r="B49" s="5" t="inlineStr">
        <is>
          <t>Governor</t>
        </is>
      </c>
    </row>
    <row r="50">
      <c r="A50" t="inlineStr">
        <is>
          <t>Kirin</t>
        </is>
      </c>
      <c r="B50" t="inlineStr">
        <is>
          <t>Yen Chuan-fu</t>
        </is>
      </c>
    </row>
    <row r="51">
      <c r="A51" t="inlineStr">
        <is>
          <t>Fengtien</t>
        </is>
      </c>
      <c r="B51" t="inlineStr">
        <is>
          <t>Chin Jung-kuei</t>
        </is>
      </c>
    </row>
    <row r="52">
      <c r="A52" t="inlineStr">
        <is>
          <t>Lungkiang</t>
        </is>
      </c>
      <c r="B52" t="inlineStr">
        <is>
          <t>Huan Fu-tsung</t>
        </is>
      </c>
    </row>
    <row r="53">
      <c r="A53" t="inlineStr">
        <is>
          <t>Jehol</t>
        </is>
      </c>
      <c r="B53" t="inlineStr">
        <is>
          <t>Chang Lien-wen</t>
        </is>
      </c>
    </row>
    <row r="54">
      <c r="A54" t="inlineStr">
        <is>
          <t>Pinkiang</t>
        </is>
      </c>
      <c r="B54" t="inlineStr">
        <is>
          <t>Yu Ching Tao</t>
        </is>
      </c>
    </row>
    <row r="55">
      <c r="A55" t="inlineStr">
        <is>
          <t>Chinchow</t>
        </is>
      </c>
      <c r="B55" t="inlineStr">
        <is>
          <t>Wang Shui-hua</t>
        </is>
      </c>
    </row>
    <row r="56">
      <c r="A56" t="inlineStr">
        <is>
          <t>Antung</t>
        </is>
      </c>
      <c r="B56" t="inlineStr">
        <is>
          <t>Ting Chao</t>
        </is>
      </c>
    </row>
    <row r="57">
      <c r="A57" t="inlineStr">
        <is>
          <t>Chientao</t>
        </is>
      </c>
      <c r="B57" t="inlineStr">
        <is>
          <t>Shoichi Kanki</t>
        </is>
      </c>
    </row>
    <row r="58">
      <c r="A58" t="inlineStr">
        <is>
          <t>Sankiang</t>
        </is>
      </c>
      <c r="B58" t="inlineStr">
        <is>
          <t>Lu Yuan-shan</t>
        </is>
      </c>
    </row>
    <row r="59">
      <c r="A59" t="inlineStr">
        <is>
          <t>Tunghua</t>
        </is>
      </c>
      <c r="B59" t="inlineStr">
        <is>
          <t>Chiang Chuang Wo</t>
        </is>
      </c>
    </row>
    <row r="60">
      <c r="A60" t="inlineStr">
        <is>
          <t>Mutankiang</t>
        </is>
      </c>
      <c r="B60" t="inlineStr">
        <is>
          <t>Kiyoshi Mitani</t>
        </is>
      </c>
    </row>
    <row r="61">
      <c r="A61" t="inlineStr">
        <is>
          <t>Tungan</t>
        </is>
      </c>
      <c r="B61" t="inlineStr">
        <is>
          <t>Yohei Kibe</t>
        </is>
      </c>
    </row>
    <row r="62">
      <c r="A62" t="inlineStr">
        <is>
          <t>Peian</t>
        </is>
      </c>
      <c r="B62" t="inlineStr">
        <is>
          <t>Shou Yu Peng</t>
        </is>
      </c>
    </row>
    <row r="63">
      <c r="A63" t="inlineStr">
        <is>
          <t>Heiho</t>
        </is>
      </c>
      <c r="B63" t="inlineStr">
        <is>
          <t>Keiichi Miura</t>
        </is>
      </c>
    </row>
    <row r="64">
      <c r="A64" t="inlineStr">
        <is>
          <t>Hsingan, East</t>
        </is>
      </c>
      <c r="B64" t="inlineStr">
        <is>
          <t>Po-yen-man-tu</t>
        </is>
      </c>
    </row>
    <row r="65">
      <c r="A65" t="inlineStr">
        <is>
          <t>Hsingan, South</t>
        </is>
      </c>
      <c r="B65" t="inlineStr">
        <is>
          <t>Shou Ming-A</t>
        </is>
      </c>
    </row>
    <row r="66">
      <c r="A66" t="inlineStr">
        <is>
          <t>Hsingan, West</t>
        </is>
      </c>
      <c r="B66" t="inlineStr">
        <is>
          <t>Ne-la-ko-erh-cha-pu</t>
        </is>
      </c>
    </row>
    <row r="67">
      <c r="A67" t="inlineStr">
        <is>
          <t>Hsingan, North</t>
        </is>
      </c>
      <c r="B67" t="inlineStr">
        <is>
          <t>Eh-lu-chin-pa-tuh</t>
        </is>
      </c>
    </row>
    <row r="68">
      <c r="A68" t="inlineStr">
        <is>
          <t>Ssuping</t>
        </is>
      </c>
      <c r="B68" t="inlineStr">
        <is>
          <t>Hsu Chia-huan</t>
        </is>
      </c>
    </row>
    <row r="70">
      <c r="A70" s="2" t="inlineStr">
        <is>
          <t>Kyowa-kai</t>
        </is>
      </c>
    </row>
    <row r="71">
      <c r="A71" s="5" t="inlineStr">
        <is>
          <t>Post</t>
        </is>
      </c>
      <c r="B71" s="5" t="inlineStr">
        <is>
          <t>Occupant</t>
        </is>
      </c>
    </row>
    <row r="72">
      <c r="A72" t="inlineStr">
        <is>
          <t>Chief, Central Headquarters</t>
        </is>
      </c>
      <c r="B72" t="inlineStr">
        <is>
          <t>Lt.-Gen. Koji Miyake</t>
        </is>
      </c>
    </row>
    <row r="73">
      <c r="A73" t="inlineStr">
        <is>
          <t>Vice-Chief, Central Headquarters</t>
        </is>
      </c>
      <c r="B73" t="inlineStr">
        <is>
          <t>Yuan Chien-tuo</t>
        </is>
      </c>
    </row>
    <row r="74">
      <c r="A74" t="inlineStr">
        <is>
          <t>Chief, Metropolitan Headquarters</t>
        </is>
      </c>
      <c r="B74" t="inlineStr">
        <is>
          <t>Yu Ching-yuan</t>
        </is>
      </c>
    </row>
    <row r="76">
      <c r="A76" s="2" t="inlineStr">
        <is>
          <t>Transcriber's notes</t>
        </is>
      </c>
    </row>
    <row r="77">
      <c r="A77" t="inlineStr">
        <is>
          <t>Begins at the foot of p.163 (first seven posts, printed without a sub-heading) and continues on p.164 under the sub-heads State Council, Provincial Governors and Kyowa-kai.</t>
        </is>
      </c>
    </row>
    <row r="78">
      <c r="A78" t="inlineStr">
        <is>
          <t>Ditto marks (”) in post names are written out in full, e.g. 'Vice-Minister, „ „' becomes 'Vice-Minister, Dept. of Public Peace'; '„ , Hsingan Office' under 'Director-General,' becomes 'Director-General, Hsingan Office'; '„ , Chienkuo University' under 'President, Tatung Acadamy' becomes 'President, Chienkuo University'.</t>
        </is>
      </c>
    </row>
    <row r="79">
      <c r="A79" t="inlineStr">
        <is>
          <t>Provincial Governors are printed in two side-by-side columns (Kirin–Tunghua | Mutankiang–Ssuping); merged in reading order.</t>
        </is>
      </c>
    </row>
    <row r="80">
      <c r="A80" t="inlineStr">
        <is>
          <t>Spellings as printed: 'Acadamy' (sic), 'Tsuang Shih-i', 'Hsu Wei Hsin'. The final letters of 'Ching-hui' (twice) and 'Ne-la-ko-erh-cha-pu' are smudged at the line ends but read as given.</t>
        </is>
      </c>
    </row>
    <row r="81">
      <c r="A81" t="inlineStr">
        <is>
          <t>No figures or totals.</t>
        </is>
      </c>
    </row>
  </sheetData>
  <hyperlinks>
    <hyperlink xmlns:r="http://schemas.openxmlformats.org/officeDocument/2006/relationships" ref="A4" r:id="rId1"/>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Estimated Capital Outlay for Original and Revised Five-Year Industrial Plan, 1937-1941</t>
        </is>
      </c>
    </row>
    <row r="2">
      <c r="A2" t="inlineStr">
        <is>
          <t>Basic Economic Policy · printed pp. 181</t>
        </is>
      </c>
    </row>
    <row r="3">
      <c r="A3" s="3" t="inlineStr">
        <is>
          <t>← Contents</t>
        </is>
      </c>
    </row>
    <row r="5">
      <c r="A5" s="5" t="inlineStr">
        <is>
          <t>Item</t>
        </is>
      </c>
      <c r="B5" s="5" t="inlineStr">
        <is>
          <t>Original Plan (million yen)</t>
        </is>
      </c>
      <c r="C5" s="5" t="inlineStr">
        <is>
          <t>Revised Plan (million yen)</t>
        </is>
      </c>
    </row>
    <row r="6">
      <c r="A6" t="inlineStr">
        <is>
          <t>Mining and Industry:</t>
        </is>
      </c>
      <c r="B6" t="inlineStr"/>
      <c r="C6" t="inlineStr"/>
    </row>
    <row r="7">
      <c r="A7" t="inlineStr">
        <is>
          <t>Iron and Steel</t>
        </is>
      </c>
      <c r="B7" s="9" t="n">
        <v>230</v>
      </c>
      <c r="C7" s="9" t="n">
        <v>700</v>
      </c>
    </row>
    <row r="8">
      <c r="A8" t="inlineStr">
        <is>
          <t>Coal</t>
        </is>
      </c>
      <c r="B8" s="9" t="n">
        <v>150</v>
      </c>
      <c r="C8" s="9" t="n">
        <v>300</v>
      </c>
    </row>
    <row r="9">
      <c r="A9" t="inlineStr">
        <is>
          <t>Electric Power</t>
        </is>
      </c>
      <c r="B9" s="9" t="n">
        <v>210</v>
      </c>
      <c r="C9" s="9" t="n">
        <v>500</v>
      </c>
    </row>
    <row r="10">
      <c r="A10" t="inlineStr">
        <is>
          <t>Coal liquefaction</t>
        </is>
      </c>
      <c r="B10" s="9" t="n">
        <v>320</v>
      </c>
      <c r="C10" s="6" t="n">
        <v>1000</v>
      </c>
    </row>
    <row r="11">
      <c r="A11" t="inlineStr">
        <is>
          <t>Mechanical, Chemical, etc.</t>
        </is>
      </c>
      <c r="B11" s="9" t="n">
        <v>310</v>
      </c>
      <c r="C11" s="6" t="n">
        <v>1300</v>
      </c>
    </row>
    <row r="12">
      <c r="A12" t="inlineStr">
        <is>
          <t>Total</t>
        </is>
      </c>
      <c r="B12" s="6" t="n">
        <v>1220</v>
      </c>
      <c r="C12" s="6" t="n">
        <v>3800</v>
      </c>
    </row>
    <row r="13">
      <c r="A13" t="inlineStr">
        <is>
          <t>Agriculture &amp; Stockbreeding</t>
        </is>
      </c>
      <c r="B13" s="9" t="n">
        <v>130</v>
      </c>
      <c r="C13" s="9" t="n">
        <v>140</v>
      </c>
    </row>
    <row r="14">
      <c r="A14" t="inlineStr">
        <is>
          <t>Transportation &amp; Communications</t>
        </is>
      </c>
      <c r="B14" s="6" t="n">
        <v>1000</v>
      </c>
      <c r="C14" s="9" t="n">
        <v>640</v>
      </c>
    </row>
    <row r="15">
      <c r="A15" t="inlineStr">
        <is>
          <t>Immigration</t>
        </is>
      </c>
      <c r="B15" t="inlineStr">
        <is>
          <t>—</t>
        </is>
      </c>
      <c r="C15" s="9" t="n">
        <v>220</v>
      </c>
    </row>
    <row r="16">
      <c r="A16" t="inlineStr">
        <is>
          <t>Grand Total</t>
        </is>
      </c>
      <c r="B16" s="6" t="n">
        <v>2350</v>
      </c>
      <c r="C16" s="6" t="n">
        <v>4800</v>
      </c>
    </row>
    <row r="18">
      <c r="A18" s="2" t="inlineStr">
        <is>
          <t>Transcriber's notes</t>
        </is>
      </c>
    </row>
    <row r="19">
      <c r="A19" t="inlineStr">
        <is>
          <t>Mining and Industry Total: Original parts sum to 1,220 — reconciles; Revised parts sum to 3,800 — reconciles</t>
        </is>
      </c>
    </row>
    <row r="20">
      <c r="A20" t="inlineStr">
        <is>
          <t>Grand Total: Original 1,220+130+1,000+— = 2,350 — reconciles; Revised 3,800+140+640+220 = 4,800 — reconciles</t>
        </is>
      </c>
    </row>
  </sheetData>
  <hyperlinks>
    <hyperlink xmlns:r="http://schemas.openxmlformats.org/officeDocument/2006/relationships" ref="A3" r:id="rId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Estimated Annual Production in Closing Year of Original and Revised 5-Year Industrial Plans, 1937-1941</t>
        </is>
      </c>
    </row>
    <row r="2">
      <c r="A2" t="inlineStr">
        <is>
          <t>Basic Economic Policy · printed pp. 182</t>
        </is>
      </c>
    </row>
    <row r="3">
      <c r="A3" s="3" t="inlineStr">
        <is>
          <t>← Contents</t>
        </is>
      </c>
    </row>
    <row r="5">
      <c r="A5" s="5" t="inlineStr">
        <is>
          <t>Item</t>
        </is>
      </c>
      <c r="B5" s="5" t="inlineStr">
        <is>
          <t>Original Plan (Unit: 1,000 metric tons)</t>
        </is>
      </c>
      <c r="C5" s="5" t="inlineStr">
        <is>
          <t>1st Revised Plan (Unit: 1,000 metric tons)</t>
        </is>
      </c>
      <c r="D5" s="5" t="inlineStr">
        <is>
          <t>2nd Revised Plan (Unit: 1,000 metric tons)</t>
        </is>
      </c>
    </row>
    <row r="6">
      <c r="A6" t="inlineStr">
        <is>
          <t>Pig Iron</t>
        </is>
      </c>
      <c r="B6" s="6" t="n">
        <v>2400</v>
      </c>
      <c r="C6" s="6" t="n">
        <v>5000</v>
      </c>
      <c r="D6" s="6" t="n">
        <v>5000</v>
      </c>
    </row>
    <row r="7">
      <c r="A7" t="inlineStr">
        <is>
          <t>Steel</t>
        </is>
      </c>
      <c r="B7" s="6" t="n">
        <v>2225</v>
      </c>
      <c r="C7" s="6" t="n">
        <v>3500</v>
      </c>
      <c r="D7" s="6" t="n">
        <v>5500</v>
      </c>
    </row>
    <row r="8">
      <c r="A8" t="inlineStr">
        <is>
          <t>Steel Materials</t>
        </is>
      </c>
      <c r="B8" t="inlineStr">
        <is>
          <t>—</t>
        </is>
      </c>
      <c r="C8" s="6" t="n">
        <v>2000</v>
      </c>
      <c r="D8" s="6" t="n">
        <v>2000</v>
      </c>
    </row>
    <row r="9">
      <c r="A9" t="inlineStr">
        <is>
          <t>Iron Ore</t>
        </is>
      </c>
      <c r="B9" s="6" t="n">
        <v>6600</v>
      </c>
      <c r="C9" s="6" t="n">
        <v>6600</v>
      </c>
      <c r="D9" s="6" t="n">
        <v>12000</v>
      </c>
    </row>
    <row r="10">
      <c r="A10" t="inlineStr">
        <is>
          <t>Coal</t>
        </is>
      </c>
      <c r="B10" s="6" t="n">
        <v>25500</v>
      </c>
      <c r="C10" s="6" t="n">
        <v>38000</v>
      </c>
      <c r="D10" s="6" t="n">
        <v>38000</v>
      </c>
    </row>
    <row r="11">
      <c r="A11" t="inlineStr">
        <is>
          <t>Electric Power:</t>
        </is>
      </c>
      <c r="B11" t="inlineStr"/>
      <c r="C11" t="inlineStr"/>
      <c r="D11" t="inlineStr"/>
    </row>
    <row r="12">
      <c r="A12" t="inlineStr">
        <is>
          <t>Thermal</t>
        </is>
      </c>
      <c r="B12" t="inlineStr">
        <is>
          <t>575 (a)</t>
        </is>
      </c>
      <c r="C12" t="inlineStr">
        <is>
          <t>1,260 (a)</t>
        </is>
      </c>
      <c r="D12" t="inlineStr">
        <is>
          <t>1,260 (a)</t>
        </is>
      </c>
    </row>
    <row r="13">
      <c r="A13" t="inlineStr">
        <is>
          <t>Hydro</t>
        </is>
      </c>
      <c r="B13" t="inlineStr">
        <is>
          <t>870 (a)</t>
        </is>
      </c>
      <c r="C13" t="inlineStr">
        <is>
          <t>1,340 (a)</t>
        </is>
      </c>
      <c r="D13" t="inlineStr">
        <is>
          <t>1,340 (a)</t>
        </is>
      </c>
    </row>
    <row r="14">
      <c r="A14" t="inlineStr">
        <is>
          <t>Liquid Fuel:</t>
        </is>
      </c>
      <c r="B14" t="inlineStr"/>
      <c r="C14" t="inlineStr"/>
      <c r="D14" t="inlineStr"/>
    </row>
    <row r="15">
      <c r="A15" t="inlineStr">
        <is>
          <t>Coal Liquefaction</t>
        </is>
      </c>
      <c r="B15" s="9" t="n">
        <v>500</v>
      </c>
      <c r="C15" s="9" t="n">
        <v>500</v>
      </c>
      <c r="D15" s="6" t="n">
        <v>1700</v>
      </c>
    </row>
    <row r="16">
      <c r="A16" t="inlineStr">
        <is>
          <t>Shale Oil</t>
        </is>
      </c>
      <c r="B16" s="9" t="n">
        <v>800</v>
      </c>
      <c r="C16" s="9" t="n">
        <v>650</v>
      </c>
      <c r="D16" s="9" t="n">
        <v>650</v>
      </c>
    </row>
    <row r="17">
      <c r="A17" t="inlineStr">
        <is>
          <t>Spirit</t>
        </is>
      </c>
      <c r="B17" s="9" t="n">
        <v>56</v>
      </c>
      <c r="C17" s="9" t="n">
        <v>56</v>
      </c>
      <c r="D17" s="9" t="n">
        <v>150</v>
      </c>
    </row>
    <row r="18">
      <c r="A18" t="inlineStr">
        <is>
          <t>Aluminium</t>
        </is>
      </c>
      <c r="B18" s="9" t="n">
        <v>20</v>
      </c>
      <c r="C18" t="inlineStr">
        <is>
          <t>—</t>
        </is>
      </c>
      <c r="D18" t="inlineStr">
        <is>
          <t>—</t>
        </is>
      </c>
    </row>
    <row r="19">
      <c r="A19" t="inlineStr">
        <is>
          <t>Magnesium</t>
        </is>
      </c>
      <c r="B19" s="9" t="n">
        <v>2</v>
      </c>
      <c r="C19" t="inlineStr">
        <is>
          <t>—</t>
        </is>
      </c>
      <c r="D19" t="inlineStr">
        <is>
          <t>—</t>
        </is>
      </c>
    </row>
    <row r="20">
      <c r="A20" t="inlineStr">
        <is>
          <t>Salt</t>
        </is>
      </c>
      <c r="B20" s="9" t="n">
        <v>870</v>
      </c>
      <c r="C20" s="6" t="n">
        <v>1000</v>
      </c>
      <c r="D20" s="6" t="n">
        <v>1000</v>
      </c>
    </row>
    <row r="21">
      <c r="A21" t="inlineStr">
        <is>
          <t>Soda Ash</t>
        </is>
      </c>
      <c r="B21" s="9" t="n">
        <v>72</v>
      </c>
      <c r="C21" t="inlineStr">
        <is>
          <t>—</t>
        </is>
      </c>
      <c r="D21" t="inlineStr">
        <is>
          <t>—</t>
        </is>
      </c>
    </row>
    <row r="22">
      <c r="A22" t="inlineStr">
        <is>
          <t>Pulp</t>
        </is>
      </c>
      <c r="B22" s="9" t="n">
        <v>120</v>
      </c>
      <c r="C22" s="9" t="n">
        <v>400</v>
      </c>
      <c r="D22" s="9" t="n">
        <v>400</v>
      </c>
    </row>
    <row r="23">
      <c r="A23" t="inlineStr">
        <is>
          <t>Asbestos</t>
        </is>
      </c>
      <c r="B23" s="9" t="n">
        <v>5</v>
      </c>
      <c r="C23" t="inlineStr">
        <is>
          <t>—</t>
        </is>
      </c>
      <c r="D23" t="inlineStr">
        <is>
          <t>—</t>
        </is>
      </c>
    </row>
    <row r="24">
      <c r="A24" t="inlineStr">
        <is>
          <t>Lead</t>
        </is>
      </c>
      <c r="B24" s="9" t="n">
        <v>124</v>
      </c>
      <c r="C24" t="inlineStr">
        <is>
          <t>—</t>
        </is>
      </c>
      <c r="D24" t="inlineStr">
        <is>
          <t>—</t>
        </is>
      </c>
    </row>
    <row r="25">
      <c r="A25" t="inlineStr">
        <is>
          <t>Gold (total amount for 5 years)</t>
        </is>
      </c>
      <c r="B25" t="inlineStr">
        <is>
          <t>200 (b)</t>
        </is>
      </c>
      <c r="C25" t="inlineStr">
        <is>
          <t>300 (b)</t>
        </is>
      </c>
      <c r="D25" t="inlineStr">
        <is>
          <t>300 (b)</t>
        </is>
      </c>
    </row>
    <row r="26">
      <c r="A26" t="inlineStr">
        <is>
          <t>Automobiles</t>
        </is>
      </c>
      <c r="B26" t="inlineStr">
        <is>
          <t>4,000 (c)</t>
        </is>
      </c>
      <c r="C26" t="inlineStr">
        <is>
          <t>—</t>
        </is>
      </c>
      <c r="D26" t="inlineStr">
        <is>
          <t>—</t>
        </is>
      </c>
    </row>
    <row r="27">
      <c r="A27" t="inlineStr">
        <is>
          <t>Aeroplanes</t>
        </is>
      </c>
      <c r="B27" t="inlineStr">
        <is>
          <t>240 (d)</t>
        </is>
      </c>
      <c r="C27" t="inlineStr">
        <is>
          <t>—</t>
        </is>
      </c>
      <c r="D27" t="inlineStr">
        <is>
          <t>—</t>
        </is>
      </c>
    </row>
    <row r="29">
      <c r="A29" s="2" t="inlineStr">
        <is>
          <t>Footnotes</t>
        </is>
      </c>
    </row>
    <row r="30">
      <c r="A30" t="inlineStr">
        <is>
          <t>Note: (a) In 1,000 kilowatts (b) In million yen. (c) Cars. (d) Aeroplanes.</t>
        </is>
      </c>
    </row>
    <row r="32">
      <c r="A32" s="2" t="inlineStr">
        <is>
          <t>Transcriber's notes</t>
        </is>
      </c>
    </row>
    <row r="33">
      <c r="A33" t="inlineStr">
        <is>
          <t>No totals printed.</t>
        </is>
      </c>
    </row>
  </sheetData>
  <hyperlinks>
    <hyperlink xmlns:r="http://schemas.openxmlformats.org/officeDocument/2006/relationships" ref="A3" r:id="rId1"/>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Yearly Comparison of State Finance</t>
        </is>
      </c>
    </row>
    <row r="2">
      <c r="A2" t="inlineStr">
        <is>
          <t>State Finance · printed pp. 205, 206</t>
        </is>
      </c>
    </row>
    <row r="3">
      <c r="A3" t="inlineStr">
        <is>
          <t>(Unit: ¥1,000)</t>
        </is>
      </c>
    </row>
    <row r="4">
      <c r="A4" s="3" t="inlineStr">
        <is>
          <t>← Contents</t>
        </is>
      </c>
    </row>
    <row r="6">
      <c r="A6" s="2" t="inlineStr">
        <is>
          <t>(A) Revenue</t>
        </is>
      </c>
    </row>
    <row r="7">
      <c r="A7" s="5" t="inlineStr">
        <is>
          <t>Year</t>
        </is>
      </c>
      <c r="B7" s="5" t="inlineStr">
        <is>
          <t>General Account</t>
        </is>
      </c>
      <c r="C7" s="5" t="inlineStr">
        <is>
          <t>Special Account</t>
        </is>
      </c>
      <c r="D7" s="5" t="inlineStr">
        <is>
          <t>Total</t>
        </is>
      </c>
      <c r="E7" s="5" t="inlineStr">
        <is>
          <t>Amount not Materialized</t>
        </is>
      </c>
      <c r="F7" s="5" t="inlineStr">
        <is>
          <t>Net Total</t>
        </is>
      </c>
      <c r="G7" s="5" t="inlineStr">
        <is>
          <t>Index</t>
        </is>
      </c>
    </row>
    <row r="8">
      <c r="A8" s="9" t="n">
        <v>1932</v>
      </c>
      <c r="B8" s="6" t="n">
        <v>137957</v>
      </c>
      <c r="C8" s="6" t="n">
        <v>41632</v>
      </c>
      <c r="D8" s="6" t="n">
        <v>179589</v>
      </c>
      <c r="E8" s="6" t="n">
        <v>29815</v>
      </c>
      <c r="F8" s="6" t="n">
        <v>149774</v>
      </c>
      <c r="G8" s="9" t="n">
        <v>100</v>
      </c>
    </row>
    <row r="9">
      <c r="A9" s="9" t="n">
        <v>1933</v>
      </c>
      <c r="B9" s="6" t="n">
        <v>170542</v>
      </c>
      <c r="C9" s="6" t="n">
        <v>113840</v>
      </c>
      <c r="D9" s="6" t="n">
        <v>284382</v>
      </c>
      <c r="E9" s="6" t="n">
        <v>69995</v>
      </c>
      <c r="F9" s="6" t="n">
        <v>214387</v>
      </c>
      <c r="G9" s="9" t="n">
        <v>142</v>
      </c>
    </row>
    <row r="10">
      <c r="A10" s="9" t="n">
        <v>1934</v>
      </c>
      <c r="B10" s="6" t="n">
        <v>199930</v>
      </c>
      <c r="C10" s="6" t="n">
        <v>220081</v>
      </c>
      <c r="D10" s="6" t="n">
        <v>420001</v>
      </c>
      <c r="E10" s="6" t="n">
        <v>80706</v>
      </c>
      <c r="F10" s="6" t="n">
        <v>339305</v>
      </c>
      <c r="G10" s="9" t="n">
        <v>225</v>
      </c>
    </row>
    <row r="11">
      <c r="A11" s="9" t="n">
        <v>1935</v>
      </c>
      <c r="B11" s="6" t="n">
        <v>106080</v>
      </c>
      <c r="C11" s="6" t="n">
        <v>131518</v>
      </c>
      <c r="D11" s="6" t="n">
        <v>237598</v>
      </c>
      <c r="E11" s="6" t="n">
        <v>54803</v>
      </c>
      <c r="F11" s="6" t="n">
        <v>182795</v>
      </c>
      <c r="G11" s="9" t="n">
        <v>121</v>
      </c>
    </row>
    <row r="12">
      <c r="A12" s="9" t="n">
        <v>1936</v>
      </c>
      <c r="B12" s="6" t="n">
        <v>220823</v>
      </c>
      <c r="C12" s="6" t="n">
        <v>247829</v>
      </c>
      <c r="D12" s="6" t="n">
        <v>468652</v>
      </c>
      <c r="E12" s="6" t="n">
        <v>98595</v>
      </c>
      <c r="F12" s="6" t="n">
        <v>370057</v>
      </c>
      <c r="G12" s="9" t="n">
        <v>246</v>
      </c>
    </row>
    <row r="13">
      <c r="A13" s="9" t="n">
        <v>1937</v>
      </c>
      <c r="B13" s="6" t="n">
        <v>283148</v>
      </c>
      <c r="C13" s="6" t="n">
        <v>691118</v>
      </c>
      <c r="D13" s="6" t="n">
        <v>974266</v>
      </c>
      <c r="E13" s="6" t="n">
        <v>342610</v>
      </c>
      <c r="F13" s="6" t="n">
        <v>631656</v>
      </c>
      <c r="G13" s="9" t="n">
        <v>420</v>
      </c>
    </row>
    <row r="14">
      <c r="A14" t="inlineStr">
        <is>
          <t>1938†</t>
        </is>
      </c>
      <c r="B14" s="6" t="n">
        <v>304555</v>
      </c>
      <c r="C14" s="6" t="n">
        <v>1128837</v>
      </c>
      <c r="D14" s="6" t="n">
        <v>1433482</v>
      </c>
      <c r="E14" s="6" t="n">
        <v>541433</v>
      </c>
      <c r="F14" s="6" t="n">
        <v>892059</v>
      </c>
      <c r="G14" s="9" t="n">
        <v>592</v>
      </c>
    </row>
    <row r="15">
      <c r="A15" t="inlineStr">
        <is>
          <t>1939†</t>
        </is>
      </c>
      <c r="B15" s="6" t="n">
        <v>403378</v>
      </c>
      <c r="C15" s="6" t="n">
        <v>1353957</v>
      </c>
      <c r="D15" s="6" t="n">
        <v>1757335</v>
      </c>
      <c r="E15" s="6" t="n">
        <v>726638</v>
      </c>
      <c r="F15" s="6" t="n">
        <v>1030697</v>
      </c>
      <c r="G15" s="9" t="n">
        <v>674</v>
      </c>
    </row>
    <row r="16">
      <c r="A16" t="inlineStr">
        <is>
          <t>1940†</t>
        </is>
      </c>
      <c r="B16" s="6" t="n">
        <v>573555</v>
      </c>
      <c r="C16" s="6" t="n">
        <v>2025228</v>
      </c>
      <c r="D16" s="6" t="n">
        <v>2598783</v>
      </c>
      <c r="E16" s="6" t="n">
        <v>946940</v>
      </c>
      <c r="F16" s="6" t="n">
        <v>1651842</v>
      </c>
      <c r="G16" s="6" t="n">
        <v>1100</v>
      </c>
    </row>
    <row r="17">
      <c r="A17" t="inlineStr">
        <is>
          <t>1941†</t>
        </is>
      </c>
      <c r="B17" s="6" t="n">
        <v>649220</v>
      </c>
      <c r="C17" s="6" t="n">
        <v>1849077</v>
      </c>
      <c r="D17" s="6" t="n">
        <v>2498297</v>
      </c>
      <c r="E17" s="6" t="n">
        <v>783769</v>
      </c>
      <c r="F17" s="6" t="n">
        <v>1714528</v>
      </c>
      <c r="G17" s="6" t="n">
        <v>1145</v>
      </c>
    </row>
    <row r="18">
      <c r="A18" t="inlineStr">
        <is>
          <t>1942†</t>
        </is>
      </c>
      <c r="B18" s="6" t="n">
        <v>823400</v>
      </c>
      <c r="C18" s="6" t="n">
        <v>1750000</v>
      </c>
      <c r="D18" s="6" t="n">
        <v>2573400</v>
      </c>
      <c r="E18" t="inlineStr">
        <is>
          <t>—</t>
        </is>
      </c>
      <c r="F18" t="inlineStr">
        <is>
          <t>—</t>
        </is>
      </c>
      <c r="G18" t="inlineStr">
        <is>
          <t>—</t>
        </is>
      </c>
    </row>
    <row r="20">
      <c r="A20" s="2" t="inlineStr">
        <is>
          <t>(B) Expenditure</t>
        </is>
      </c>
    </row>
    <row r="21">
      <c r="A21" s="5" t="inlineStr">
        <is>
          <t>Year</t>
        </is>
      </c>
      <c r="B21" s="5" t="inlineStr">
        <is>
          <t>General Account</t>
        </is>
      </c>
      <c r="C21" s="5" t="inlineStr">
        <is>
          <t>Special Account</t>
        </is>
      </c>
      <c r="D21" s="5" t="inlineStr">
        <is>
          <t>Total</t>
        </is>
      </c>
      <c r="E21" s="5" t="inlineStr">
        <is>
          <t>Amount not Materialized</t>
        </is>
      </c>
      <c r="F21" s="5" t="inlineStr">
        <is>
          <t>Net Total</t>
        </is>
      </c>
      <c r="G21" s="5" t="inlineStr">
        <is>
          <t>Index</t>
        </is>
      </c>
    </row>
    <row r="22">
      <c r="A22" s="9" t="n">
        <v>1932</v>
      </c>
      <c r="B22" s="6" t="n">
        <v>137957</v>
      </c>
      <c r="C22" s="6" t="n">
        <v>41632</v>
      </c>
      <c r="D22" s="6" t="n">
        <v>179589</v>
      </c>
      <c r="E22" s="6" t="n">
        <v>43302</v>
      </c>
      <c r="F22" s="6" t="n">
        <v>136287</v>
      </c>
      <c r="G22" s="9" t="n">
        <v>100</v>
      </c>
    </row>
    <row r="23">
      <c r="A23" s="9" t="n">
        <v>1933</v>
      </c>
      <c r="B23" s="6" t="n">
        <v>170542</v>
      </c>
      <c r="C23" s="6" t="n">
        <v>113840</v>
      </c>
      <c r="D23" s="6" t="n">
        <v>284382</v>
      </c>
      <c r="E23" s="6" t="n">
        <v>83211</v>
      </c>
      <c r="F23" s="6" t="n">
        <v>201171</v>
      </c>
      <c r="G23" s="9" t="n">
        <v>148</v>
      </c>
    </row>
    <row r="24">
      <c r="A24" s="9" t="n">
        <v>1934</v>
      </c>
      <c r="B24" s="6" t="n">
        <v>199930</v>
      </c>
      <c r="C24" s="6" t="n">
        <v>210063</v>
      </c>
      <c r="D24" s="6" t="n">
        <v>409993</v>
      </c>
      <c r="E24" s="6" t="n">
        <v>78106</v>
      </c>
      <c r="F24" s="6" t="n">
        <v>331887</v>
      </c>
      <c r="G24" s="9" t="n">
        <v>244</v>
      </c>
    </row>
    <row r="25">
      <c r="A25" s="9" t="n">
        <v>1935</v>
      </c>
      <c r="B25" s="6" t="n">
        <v>106080</v>
      </c>
      <c r="C25" s="6" t="n">
        <v>97991</v>
      </c>
      <c r="D25" s="6" t="n">
        <v>204071</v>
      </c>
      <c r="E25" s="6" t="n">
        <v>18609</v>
      </c>
      <c r="F25" s="6" t="n">
        <v>185462</v>
      </c>
      <c r="G25" s="9" t="n">
        <v>136</v>
      </c>
    </row>
    <row r="26">
      <c r="A26" s="9" t="n">
        <v>1936</v>
      </c>
      <c r="B26" s="6" t="n">
        <v>220823</v>
      </c>
      <c r="C26" s="6" t="n">
        <v>190163</v>
      </c>
      <c r="D26" s="6" t="n">
        <v>410986</v>
      </c>
      <c r="E26" s="6" t="n">
        <v>45609</v>
      </c>
      <c r="F26" s="6" t="n">
        <v>365377</v>
      </c>
      <c r="G26" s="9" t="n">
        <v>267</v>
      </c>
    </row>
    <row r="27">
      <c r="A27" s="9" t="n">
        <v>1937</v>
      </c>
      <c r="B27" s="6" t="n">
        <v>283148</v>
      </c>
      <c r="C27" s="6" t="n">
        <v>656223</v>
      </c>
      <c r="D27" s="6" t="n">
        <v>939371</v>
      </c>
      <c r="E27" s="6" t="n">
        <v>299291</v>
      </c>
      <c r="F27" s="6" t="n">
        <v>640080</v>
      </c>
      <c r="G27" s="9" t="n">
        <v>470</v>
      </c>
    </row>
    <row r="28">
      <c r="A28" t="inlineStr">
        <is>
          <t>1938†</t>
        </is>
      </c>
      <c r="B28" s="6" t="n">
        <v>304555</v>
      </c>
      <c r="C28" s="6" t="n">
        <v>1088572</v>
      </c>
      <c r="D28" s="6" t="n">
        <v>1393127</v>
      </c>
      <c r="E28" s="6" t="n">
        <v>503388</v>
      </c>
      <c r="F28" s="6" t="n">
        <v>889739</v>
      </c>
      <c r="G28" s="9" t="n">
        <v>650</v>
      </c>
    </row>
    <row r="29">
      <c r="A29" t="inlineStr">
        <is>
          <t>1939†</t>
        </is>
      </c>
      <c r="B29" s="6" t="n">
        <v>403378</v>
      </c>
      <c r="C29" s="6" t="n">
        <v>1288262</v>
      </c>
      <c r="D29" s="6" t="n">
        <v>1691639</v>
      </c>
      <c r="E29" s="6" t="n">
        <v>646525</v>
      </c>
      <c r="F29" s="6" t="n">
        <v>1044814</v>
      </c>
      <c r="G29" s="9" t="n">
        <v>770</v>
      </c>
    </row>
    <row r="30">
      <c r="A30" t="inlineStr">
        <is>
          <t>1940†</t>
        </is>
      </c>
      <c r="B30" s="6" t="n">
        <v>573555</v>
      </c>
      <c r="C30" s="6" t="n">
        <v>1927475</v>
      </c>
      <c r="D30" s="6" t="n">
        <v>2501030</v>
      </c>
      <c r="E30" s="6" t="n">
        <v>861168</v>
      </c>
      <c r="F30" s="6" t="n">
        <v>1639862</v>
      </c>
      <c r="G30" s="6" t="n">
        <v>1200</v>
      </c>
    </row>
    <row r="31">
      <c r="A31" t="inlineStr">
        <is>
          <t>1941†</t>
        </is>
      </c>
      <c r="B31" s="6" t="n">
        <v>649220</v>
      </c>
      <c r="C31" s="6" t="n">
        <v>1758175</v>
      </c>
      <c r="D31" s="6" t="n">
        <v>2407395</v>
      </c>
      <c r="E31" s="6" t="n">
        <v>706471</v>
      </c>
      <c r="F31" s="6" t="n">
        <v>1700925</v>
      </c>
      <c r="G31" s="6" t="n">
        <v>1248</v>
      </c>
    </row>
    <row r="32">
      <c r="A32" t="inlineStr">
        <is>
          <t>1942†</t>
        </is>
      </c>
      <c r="B32" s="6" t="n">
        <v>823400</v>
      </c>
      <c r="C32" s="6" t="n">
        <v>1657000</v>
      </c>
      <c r="D32" s="6" t="n">
        <v>2480400</v>
      </c>
      <c r="E32" t="inlineStr">
        <is>
          <t>—</t>
        </is>
      </c>
      <c r="F32" t="inlineStr">
        <is>
          <t>—</t>
        </is>
      </c>
      <c r="G32" t="inlineStr">
        <is>
          <t>—</t>
        </is>
      </c>
    </row>
    <row r="34">
      <c r="A34" s="2" t="inlineStr">
        <is>
          <t>Footnotes</t>
        </is>
      </c>
    </row>
    <row r="35">
      <c r="A35" t="inlineStr">
        <is>
          <t>Note: † Budgetary estimates excluding supplementary accounts.</t>
        </is>
      </c>
    </row>
    <row r="37">
      <c r="A37" s="2" t="inlineStr">
        <is>
          <t>Transcriber's notes</t>
        </is>
      </c>
    </row>
    <row r="38">
      <c r="A38" t="inlineStr">
        <is>
          <t>Rows 1932-1934 of (A) printed on p.205; rows 1935-1942 of (A) headed '(Continued)' and all of (B) on p.206.</t>
        </is>
      </c>
    </row>
    <row r="39">
      <c r="A39" t="inlineStr">
        <is>
          <t>Checked Total = General + Special and Net Total = Total - Amount not Materialized for every row. All reconcile except:</t>
        </is>
      </c>
    </row>
    <row r="40">
      <c r="A40" t="inlineStr">
        <is>
          <t>(A) 1934: 199,930+220,081 = 420,011 vs printed Total 420,001 — does NOT reconcile (diff 10); 420,001-80,706 = 339,295 vs printed Net 339,305 (diff 10) — Net is consistent with 420,011 (cells re-read)</t>
        </is>
      </c>
    </row>
    <row r="41">
      <c r="A41" t="inlineStr">
        <is>
          <t>(A) 1938: 304,555+1,128,837 = 1,433,392 vs printed Total 1,433,482 — does NOT reconcile (diff 90); 1,433,482-541,433 = 892,049 vs printed Net 892,059 (diff 10) (cells re-read)</t>
        </is>
      </c>
    </row>
    <row r="42">
      <c r="A42" t="inlineStr">
        <is>
          <t>(A) 1940: 2,598,783-946,940 = 1,651,843 vs printed Net 1,651,842 (diff 1)</t>
        </is>
      </c>
    </row>
    <row r="43">
      <c r="A43" t="inlineStr">
        <is>
          <t>(B) 1939: 403,378+1,288,262 = 1,691,640 vs printed Total 1,691,639 (diff 1); 1,691,639-646,525 = 1,045,114 vs printed Net 1,044,814 — does NOT reconcile (diff 300) (cells re-read)</t>
        </is>
      </c>
    </row>
    <row r="44">
      <c r="A44" t="inlineStr">
        <is>
          <t>(B) 1941: 2,407,395-706,471 = 1,700,924 vs printed Net 1,700,925 (diff 1)</t>
        </is>
      </c>
    </row>
    <row r="45">
      <c r="A45" t="inlineStr">
        <is>
          <t>Index column (Net Total, 1932=100) is only approximately consistent in (A): computed 143/227/122/247/422/596/688/1,103/1,145 vs printed 142/225/121/246/420/592/674/1,100/1,145; (B) computed 148/244/136/268/470/653/767/1,203/1,248 vs printed 148/244/136/267/470/650/770/1,200/1,248. Transcribed as printed.</t>
        </is>
      </c>
    </row>
  </sheetData>
  <hyperlinks>
    <hyperlink xmlns:r="http://schemas.openxmlformats.org/officeDocument/2006/relationships" ref="A4" r:id="rId1"/>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11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State Revenues Classified</t>
        </is>
      </c>
    </row>
    <row r="2">
      <c r="A2" t="inlineStr">
        <is>
          <t>State Finance · printed pp. 206, 207, 208</t>
        </is>
      </c>
    </row>
    <row r="3">
      <c r="A3" t="inlineStr">
        <is>
          <t>(M¥1,000)</t>
        </is>
      </c>
    </row>
    <row r="4">
      <c r="A4" s="3" t="inlineStr">
        <is>
          <t>← Contents</t>
        </is>
      </c>
    </row>
    <row r="6">
      <c r="A6" s="2" t="inlineStr">
        <is>
          <t>(A) General Account</t>
        </is>
      </c>
    </row>
    <row r="7">
      <c r="A7" s="5" t="inlineStr">
        <is>
          <t>Year</t>
        </is>
      </c>
      <c r="B7" s="5" t="inlineStr">
        <is>
          <t>1935†</t>
        </is>
      </c>
      <c r="C7" s="5" t="inlineStr">
        <is>
          <t>1936</t>
        </is>
      </c>
      <c r="D7" s="5" t="inlineStr">
        <is>
          <t>1937*</t>
        </is>
      </c>
      <c r="E7" s="5" t="inlineStr">
        <is>
          <t>1938*</t>
        </is>
      </c>
      <c r="F7" s="5" t="inlineStr">
        <is>
          <t>1939*</t>
        </is>
      </c>
      <c r="G7" s="5" t="inlineStr">
        <is>
          <t>1940*</t>
        </is>
      </c>
    </row>
    <row r="8">
      <c r="A8" t="inlineStr">
        <is>
          <t>Ordinary:</t>
        </is>
      </c>
      <c r="B8" t="inlineStr"/>
      <c r="C8" t="inlineStr"/>
      <c r="D8" t="inlineStr"/>
      <c r="E8" t="inlineStr"/>
      <c r="F8" t="inlineStr"/>
      <c r="G8" t="inlineStr"/>
    </row>
    <row r="9">
      <c r="A9" t="inlineStr">
        <is>
          <t>Taxes &amp; Duties</t>
        </is>
      </c>
      <c r="B9" s="6" t="n">
        <v>77437</v>
      </c>
      <c r="C9" s="6" t="n">
        <v>183627</v>
      </c>
      <c r="D9" s="6" t="n">
        <v>153029</v>
      </c>
      <c r="E9" s="6" t="n">
        <v>172957</v>
      </c>
      <c r="F9" s="6" t="n">
        <v>203293</v>
      </c>
      <c r="G9" s="6" t="n">
        <v>323853</v>
      </c>
    </row>
    <row r="10">
      <c r="A10" t="inlineStr">
        <is>
          <t>Customs Duties:</t>
        </is>
      </c>
      <c r="B10" t="inlineStr"/>
      <c r="C10" t="inlineStr"/>
      <c r="D10" t="inlineStr"/>
      <c r="E10" t="inlineStr"/>
      <c r="F10" t="inlineStr"/>
      <c r="G10" t="inlineStr"/>
    </row>
    <row r="11">
      <c r="A11" t="inlineStr">
        <is>
          <t>Import Duties</t>
        </is>
      </c>
      <c r="B11" s="6" t="n">
        <v>35973</v>
      </c>
      <c r="C11" s="6" t="n">
        <v>76363</v>
      </c>
      <c r="D11" s="6" t="n">
        <v>72827</v>
      </c>
      <c r="E11" s="6" t="n">
        <v>85156</v>
      </c>
      <c r="F11" s="6" t="n">
        <v>95144</v>
      </c>
      <c r="G11" s="6" t="n">
        <v>160959</v>
      </c>
    </row>
    <row r="12">
      <c r="A12" t="inlineStr">
        <is>
          <t>Export Duties</t>
        </is>
      </c>
      <c r="B12" s="6" t="n">
        <v>5856</v>
      </c>
      <c r="C12" s="6" t="n">
        <v>13133</v>
      </c>
      <c r="D12" s="6" t="n">
        <v>13351</v>
      </c>
      <c r="E12" s="6" t="n">
        <v>10769</v>
      </c>
      <c r="F12" s="6" t="n">
        <v>11729</v>
      </c>
      <c r="G12" s="6" t="n">
        <v>10203</v>
      </c>
    </row>
    <row r="13">
      <c r="A13" t="inlineStr">
        <is>
          <t>Total incl. others</t>
        </is>
      </c>
      <c r="B13" s="6" t="n">
        <v>43897</v>
      </c>
      <c r="C13" s="6" t="n">
        <v>93535</v>
      </c>
      <c r="D13" s="6" t="n">
        <v>89658</v>
      </c>
      <c r="E13" s="6" t="n">
        <v>96448</v>
      </c>
      <c r="F13" s="6" t="n">
        <v>107551</v>
      </c>
      <c r="G13" s="6" t="n">
        <v>171907</v>
      </c>
    </row>
    <row r="14">
      <c r="A14" t="inlineStr">
        <is>
          <t>Inland Tax:</t>
        </is>
      </c>
      <c r="B14" t="inlineStr"/>
      <c r="C14" t="inlineStr"/>
      <c r="D14" t="inlineStr"/>
      <c r="E14" t="inlineStr"/>
      <c r="F14" t="inlineStr"/>
      <c r="G14" t="inlineStr"/>
    </row>
    <row r="15">
      <c r="A15" t="inlineStr">
        <is>
          <t>Land Tax</t>
        </is>
      </c>
      <c r="B15" s="6" t="n">
        <v>4265</v>
      </c>
      <c r="C15" s="6" t="n">
        <v>9533</v>
      </c>
      <c r="D15" s="6" t="n">
        <v>9464</v>
      </c>
      <c r="E15" s="6" t="n">
        <v>10436</v>
      </c>
      <c r="F15" s="6" t="n">
        <v>11056</v>
      </c>
      <c r="G15" s="6" t="n">
        <v>9114</v>
      </c>
    </row>
    <row r="16">
      <c r="A16" t="inlineStr">
        <is>
          <t>Opium Tax</t>
        </is>
      </c>
      <c r="B16" t="inlineStr">
        <is>
          <t>—</t>
        </is>
      </c>
      <c r="C16" s="6" t="n">
        <v>2434</v>
      </c>
      <c r="D16" s="6" t="n">
        <v>2580</v>
      </c>
      <c r="E16" s="6" t="n">
        <v>2326</v>
      </c>
      <c r="F16" s="6" t="n">
        <v>2533</v>
      </c>
      <c r="G16" s="6" t="n">
        <v>1955</v>
      </c>
    </row>
    <row r="17">
      <c r="A17" t="inlineStr">
        <is>
          <t>Income Tax</t>
        </is>
      </c>
      <c r="B17" t="inlineStr">
        <is>
          <t>—</t>
        </is>
      </c>
      <c r="C17" t="inlineStr">
        <is>
          <t>—</t>
        </is>
      </c>
      <c r="D17" t="inlineStr">
        <is>
          <t>—</t>
        </is>
      </c>
      <c r="E17" s="6" t="n">
        <v>1440</v>
      </c>
      <c r="F17" s="6" t="n">
        <v>2041</v>
      </c>
      <c r="G17" s="6" t="n">
        <v>3388</v>
      </c>
    </row>
    <row r="18">
      <c r="A18" t="inlineStr">
        <is>
          <t>Liberal Profession Tax</t>
        </is>
      </c>
      <c r="B18" t="inlineStr">
        <is>
          <t>—</t>
        </is>
      </c>
      <c r="C18" t="inlineStr">
        <is>
          <t>—</t>
        </is>
      </c>
      <c r="D18" t="inlineStr">
        <is>
          <t>—</t>
        </is>
      </c>
      <c r="E18" s="9" t="n">
        <v>200</v>
      </c>
      <c r="F18" s="9" t="n">
        <v>176</v>
      </c>
      <c r="G18" s="9" t="n">
        <v>205</v>
      </c>
    </row>
    <row r="19">
      <c r="A19" t="inlineStr">
        <is>
          <t>Business Tax</t>
        </is>
      </c>
      <c r="B19" s="6" t="n">
        <v>4277</v>
      </c>
      <c r="C19" s="6" t="n">
        <v>9585</v>
      </c>
      <c r="D19" s="6" t="n">
        <v>10003</v>
      </c>
      <c r="E19" s="6" t="n">
        <v>14181</v>
      </c>
      <c r="F19" s="6" t="n">
        <v>15625</v>
      </c>
      <c r="G19" s="6" t="n">
        <v>24003</v>
      </c>
    </row>
    <row r="20">
      <c r="A20" t="inlineStr">
        <is>
          <t>Corp. Business Tax</t>
        </is>
      </c>
      <c r="B20" s="9" t="n">
        <v>3</v>
      </c>
      <c r="C20" s="9" t="n">
        <v>474</v>
      </c>
      <c r="D20" s="6" t="n">
        <v>1230</v>
      </c>
      <c r="E20" s="6" t="n">
        <v>3686</v>
      </c>
      <c r="F20" s="6" t="n">
        <v>5008</v>
      </c>
      <c r="G20" s="6" t="n">
        <v>16618</v>
      </c>
    </row>
    <row r="21">
      <c r="A21" t="inlineStr">
        <is>
          <t>Bourses</t>
        </is>
      </c>
      <c r="B21" t="inlineStr">
        <is>
          <t>—</t>
        </is>
      </c>
      <c r="C21" t="inlineStr">
        <is>
          <t>—</t>
        </is>
      </c>
      <c r="D21" t="inlineStr">
        <is>
          <t>—</t>
        </is>
      </c>
      <c r="E21" s="9" t="n">
        <v>302</v>
      </c>
      <c r="F21" s="9" t="n">
        <v>455</v>
      </c>
      <c r="G21" s="9" t="n">
        <v>78</v>
      </c>
    </row>
    <row r="22">
      <c r="A22" t="inlineStr">
        <is>
          <t>Production Tax</t>
        </is>
      </c>
      <c r="B22" s="6" t="n">
        <v>3946</v>
      </c>
      <c r="C22" s="6" t="n">
        <v>8761</v>
      </c>
      <c r="D22" s="6" t="n">
        <v>7034</v>
      </c>
      <c r="E22" s="6" t="n">
        <v>8887</v>
      </c>
      <c r="F22" s="6" t="n">
        <v>10724</v>
      </c>
      <c r="G22" s="6" t="n">
        <v>12440</v>
      </c>
    </row>
    <row r="23">
      <c r="A23" t="inlineStr">
        <is>
          <t>Taxes on Mining Lots</t>
        </is>
      </c>
      <c r="B23" s="9" t="n">
        <v>168</v>
      </c>
      <c r="C23" s="9" t="n">
        <v>421</v>
      </c>
      <c r="D23" s="9" t="n">
        <v>377</v>
      </c>
      <c r="E23" s="9" t="n">
        <v>583</v>
      </c>
      <c r="F23" s="9" t="n">
        <v>700</v>
      </c>
      <c r="G23" s="9" t="n">
        <v>951</v>
      </c>
    </row>
    <row r="24">
      <c r="A24" t="inlineStr">
        <is>
          <t>Taxes on Mineral Products</t>
        </is>
      </c>
      <c r="B24" s="9" t="n">
        <v>409</v>
      </c>
      <c r="C24" s="9" t="n">
        <v>613</v>
      </c>
      <c r="D24" s="9" t="n">
        <v>840</v>
      </c>
      <c r="E24" s="9" t="n">
        <v>730</v>
      </c>
      <c r="F24" s="9" t="n">
        <v>860</v>
      </c>
      <c r="G24" s="6" t="n">
        <v>1283</v>
      </c>
    </row>
    <row r="25">
      <c r="A25" t="inlineStr">
        <is>
          <t>Stockbreeding Tax</t>
        </is>
      </c>
      <c r="B25" s="6" t="n">
        <v>1184</v>
      </c>
      <c r="C25" s="6" t="n">
        <v>2816</v>
      </c>
      <c r="D25" s="6" t="n">
        <v>2210</v>
      </c>
      <c r="E25" t="inlineStr">
        <is>
          <t>—</t>
        </is>
      </c>
      <c r="F25" t="inlineStr">
        <is>
          <t>—</t>
        </is>
      </c>
      <c r="G25" t="inlineStr">
        <is>
          <t>—</t>
        </is>
      </c>
    </row>
    <row r="26">
      <c r="A26" t="inlineStr">
        <is>
          <t>Foods, Drink &amp; Amusements Tax</t>
        </is>
      </c>
      <c r="B26" t="inlineStr">
        <is>
          <t>—</t>
        </is>
      </c>
      <c r="C26" t="inlineStr">
        <is>
          <t>—</t>
        </is>
      </c>
      <c r="D26" t="inlineStr">
        <is>
          <t>—</t>
        </is>
      </c>
      <c r="E26" t="inlineStr">
        <is>
          <t>—</t>
        </is>
      </c>
      <c r="F26" t="inlineStr">
        <is>
          <t>—</t>
        </is>
      </c>
      <c r="G26" s="6" t="n">
        <v>5122</v>
      </c>
    </row>
    <row r="27">
      <c r="A27" t="inlineStr">
        <is>
          <t>Tobacco Tax — Cigarettes</t>
        </is>
      </c>
      <c r="B27" s="6" t="n">
        <v>5157</v>
      </c>
      <c r="C27" s="6" t="n">
        <v>13117</v>
      </c>
      <c r="D27" s="6" t="n">
        <v>14048</v>
      </c>
      <c r="E27" s="6" t="n">
        <v>16225</v>
      </c>
      <c r="F27" s="6" t="n">
        <v>23100</v>
      </c>
      <c r="G27" s="6" t="n">
        <v>53380</v>
      </c>
    </row>
    <row r="28">
      <c r="A28" t="inlineStr">
        <is>
          <t>Tobacco Tax — Others</t>
        </is>
      </c>
      <c r="B28" s="9" t="n">
        <v>208</v>
      </c>
      <c r="C28" s="9" t="n">
        <v>391</v>
      </c>
      <c r="D28" s="9" t="n">
        <v>289</v>
      </c>
      <c r="E28" s="9" t="n">
        <v>289</v>
      </c>
      <c r="F28" s="9" t="n">
        <v>300</v>
      </c>
      <c r="G28" s="9" t="n">
        <v>754</v>
      </c>
    </row>
    <row r="29">
      <c r="A29" t="inlineStr">
        <is>
          <t>Alcoholic Liquor Tax</t>
        </is>
      </c>
      <c r="B29" s="6" t="n">
        <v>2202</v>
      </c>
      <c r="C29" s="6" t="n">
        <v>8156</v>
      </c>
      <c r="D29" s="6" t="n">
        <v>9210</v>
      </c>
      <c r="E29" s="6" t="n">
        <v>9780</v>
      </c>
      <c r="F29" s="6" t="n">
        <v>13512</v>
      </c>
      <c r="G29" s="6" t="n">
        <v>14536</v>
      </c>
    </row>
    <row r="30">
      <c r="A30" t="inlineStr">
        <is>
          <t>Consolidated Tax — Cotton Goods</t>
        </is>
      </c>
      <c r="B30" s="9" t="n">
        <v>401</v>
      </c>
      <c r="C30" s="9" t="n">
        <v>763</v>
      </c>
      <c r="D30" s="9" t="n">
        <v>764</v>
      </c>
      <c r="E30" s="6" t="n">
        <v>1166</v>
      </c>
      <c r="F30" s="6" t="n">
        <v>1217</v>
      </c>
      <c r="G30" s="6" t="n">
        <v>1229</v>
      </c>
    </row>
    <row r="31">
      <c r="A31" t="inlineStr">
        <is>
          <t>Consolidated Tax — Wheat Flour</t>
        </is>
      </c>
      <c r="B31" s="9" t="n">
        <v>831</v>
      </c>
      <c r="C31" s="6" t="n">
        <v>2277</v>
      </c>
      <c r="D31" s="6" t="n">
        <v>2324</v>
      </c>
      <c r="E31" s="6" t="n">
        <v>2747</v>
      </c>
      <c r="F31" s="6" t="n">
        <v>2884</v>
      </c>
      <c r="G31" t="inlineStr">
        <is>
          <t>—</t>
        </is>
      </c>
    </row>
    <row r="32">
      <c r="A32" t="inlineStr">
        <is>
          <t>Consolidated Tax — Cement</t>
        </is>
      </c>
      <c r="B32" s="9" t="n">
        <v>216</v>
      </c>
      <c r="C32" s="9" t="n">
        <v>990</v>
      </c>
      <c r="D32" s="6" t="n">
        <v>1274</v>
      </c>
      <c r="E32" s="6" t="n">
        <v>1587</v>
      </c>
      <c r="F32" s="6" t="n">
        <v>2332</v>
      </c>
      <c r="G32" s="6" t="n">
        <v>2556</v>
      </c>
    </row>
    <row r="33">
      <c r="A33" t="inlineStr">
        <is>
          <t>Contract Tax</t>
        </is>
      </c>
      <c r="B33" t="inlineStr">
        <is>
          <t>—</t>
        </is>
      </c>
      <c r="C33" t="inlineStr">
        <is>
          <t>—</t>
        </is>
      </c>
      <c r="D33" t="inlineStr">
        <is>
          <t>—</t>
        </is>
      </c>
      <c r="E33" s="6" t="n">
        <v>1934</v>
      </c>
      <c r="F33" s="6" t="n">
        <v>3209</v>
      </c>
      <c r="G33" s="6" t="n">
        <v>3758</v>
      </c>
    </row>
    <row r="34">
      <c r="A34" t="inlineStr">
        <is>
          <t>Immovables Registration Tax</t>
        </is>
      </c>
      <c r="B34" t="inlineStr">
        <is>
          <t>—</t>
        </is>
      </c>
      <c r="C34" t="inlineStr">
        <is>
          <t>—</t>
        </is>
      </c>
      <c r="D34" t="inlineStr">
        <is>
          <t>—</t>
        </is>
      </c>
      <c r="E34" s="9" t="n">
        <v>10</v>
      </c>
      <c r="F34" s="9" t="n">
        <v>10</v>
      </c>
      <c r="G34" s="9" t="n">
        <v>576</v>
      </c>
    </row>
    <row r="35">
      <c r="A35" t="inlineStr">
        <is>
          <t>Total incl. others</t>
        </is>
      </c>
      <c r="B35" s="6" t="n">
        <v>33540</v>
      </c>
      <c r="C35" s="6" t="n">
        <v>90092</v>
      </c>
      <c r="D35" s="6" t="n">
        <v>63371</v>
      </c>
      <c r="E35" s="6" t="n">
        <v>76509</v>
      </c>
      <c r="F35" s="6" t="n">
        <v>95742</v>
      </c>
      <c r="G35" s="6" t="n">
        <v>151946</v>
      </c>
    </row>
    <row r="36">
      <c r="A36" t="inlineStr">
        <is>
          <t>Stamp Receipts</t>
        </is>
      </c>
      <c r="B36" s="6" t="n">
        <v>4266</v>
      </c>
      <c r="C36" s="6" t="n">
        <v>9858</v>
      </c>
      <c r="D36" s="6" t="n">
        <v>9097</v>
      </c>
      <c r="E36" s="6" t="n">
        <v>9888</v>
      </c>
      <c r="F36" s="6" t="n">
        <v>14987</v>
      </c>
      <c r="G36" s="6" t="n">
        <v>19180</v>
      </c>
    </row>
    <row r="37">
      <c r="A37" t="inlineStr">
        <is>
          <t>Monopoly Profits</t>
        </is>
      </c>
      <c r="B37" s="6" t="n">
        <v>6373</v>
      </c>
      <c r="C37" s="6" t="n">
        <v>22708</v>
      </c>
      <c r="D37" s="6" t="n">
        <v>44368</v>
      </c>
      <c r="E37" s="6" t="n">
        <v>52325</v>
      </c>
      <c r="F37" s="6" t="n">
        <v>76608</v>
      </c>
      <c r="G37" s="6" t="n">
        <v>56007</v>
      </c>
    </row>
    <row r="38">
      <c r="A38" t="inlineStr">
        <is>
          <t>Combined Total incl. others</t>
        </is>
      </c>
      <c r="B38" s="6" t="n">
        <v>93386</v>
      </c>
      <c r="C38" s="6" t="n">
        <v>223719</v>
      </c>
      <c r="D38" s="6" t="n">
        <v>211632</v>
      </c>
      <c r="E38" s="6" t="n">
        <v>240335</v>
      </c>
      <c r="F38" s="6" t="n">
        <v>299837</v>
      </c>
      <c r="G38" s="6" t="n">
        <v>417770</v>
      </c>
    </row>
    <row r="39">
      <c r="A39" t="inlineStr">
        <is>
          <t>Extraordinary:</t>
        </is>
      </c>
      <c r="B39" t="inlineStr"/>
      <c r="C39" t="inlineStr"/>
      <c r="D39" t="inlineStr"/>
      <c r="E39" t="inlineStr"/>
      <c r="F39" t="inlineStr"/>
      <c r="G39" t="inlineStr"/>
    </row>
    <row r="40">
      <c r="A40" t="inlineStr">
        <is>
          <t>Transferred From Special Account</t>
        </is>
      </c>
      <c r="B40" s="9" t="n">
        <v>679</v>
      </c>
      <c r="C40" s="6" t="n">
        <v>3051</v>
      </c>
      <c r="D40" s="6" t="n">
        <v>6004</v>
      </c>
      <c r="E40" s="6" t="n">
        <v>6518</v>
      </c>
      <c r="F40" s="6" t="n">
        <v>13547</v>
      </c>
      <c r="G40" s="6" t="n">
        <v>43015</v>
      </c>
    </row>
    <row r="41">
      <c r="A41" t="inlineStr">
        <is>
          <t>National Loan</t>
        </is>
      </c>
      <c r="B41" s="6" t="n">
        <v>5000</v>
      </c>
      <c r="C41" t="inlineStr">
        <is>
          <t>—</t>
        </is>
      </c>
      <c r="D41" s="6" t="n">
        <v>15000</v>
      </c>
      <c r="E41" s="6" t="n">
        <v>40000</v>
      </c>
      <c r="F41" s="6" t="n">
        <v>65000</v>
      </c>
      <c r="G41" s="6" t="n">
        <v>75000</v>
      </c>
    </row>
    <row r="42">
      <c r="A42" t="inlineStr">
        <is>
          <t>Surplus</t>
        </is>
      </c>
      <c r="B42" s="6" t="n">
        <v>28669</v>
      </c>
      <c r="C42" s="6" t="n">
        <v>32933</v>
      </c>
      <c r="D42" s="6" t="n">
        <v>10416</v>
      </c>
      <c r="E42" s="6" t="n">
        <v>13000</v>
      </c>
      <c r="F42" s="6" t="n">
        <v>20000</v>
      </c>
      <c r="G42" s="6" t="n">
        <v>30000</v>
      </c>
    </row>
    <row r="43">
      <c r="A43" t="inlineStr">
        <is>
          <t>Combined Total incl. others</t>
        </is>
      </c>
      <c r="B43" s="6" t="n">
        <v>39382</v>
      </c>
      <c r="C43" s="6" t="n">
        <v>39891</v>
      </c>
      <c r="D43" s="6" t="n">
        <v>36466</v>
      </c>
      <c r="E43" s="6" t="n">
        <v>64219</v>
      </c>
      <c r="F43" s="6" t="n">
        <v>103540</v>
      </c>
      <c r="G43" s="6" t="n">
        <v>155785</v>
      </c>
    </row>
    <row r="44">
      <c r="A44" t="inlineStr">
        <is>
          <t>Grand Total</t>
        </is>
      </c>
      <c r="B44" s="6" t="n">
        <v>132768</v>
      </c>
      <c r="C44" s="6" t="n">
        <v>263610</v>
      </c>
      <c r="D44" s="6" t="n">
        <v>248099</v>
      </c>
      <c r="E44" s="6" t="n">
        <v>304555</v>
      </c>
      <c r="F44" s="6" t="n">
        <v>403378</v>
      </c>
      <c r="G44" s="6" t="n">
        <v>573555</v>
      </c>
    </row>
    <row r="46">
      <c r="A46" s="2" t="inlineStr">
        <is>
          <t>(B) Special Account (Revenue)</t>
        </is>
      </c>
    </row>
    <row r="47">
      <c r="A47" s="5" t="inlineStr">
        <is>
          <t>Item</t>
        </is>
      </c>
      <c r="B47" s="5" t="inlineStr">
        <is>
          <t>1936</t>
        </is>
      </c>
      <c r="C47" s="5" t="inlineStr">
        <is>
          <t>1937*</t>
        </is>
      </c>
      <c r="D47" s="5" t="inlineStr">
        <is>
          <t>1938*</t>
        </is>
      </c>
      <c r="E47" s="5" t="inlineStr">
        <is>
          <t>1939*</t>
        </is>
      </c>
      <c r="F47" s="5" t="inlineStr">
        <is>
          <t>1940*</t>
        </is>
      </c>
      <c r="G47" s="5" t="inlineStr">
        <is>
          <t>1941*</t>
        </is>
      </c>
      <c r="H47" s="5" t="inlineStr">
        <is>
          <t>1942*</t>
        </is>
      </c>
    </row>
    <row r="48">
      <c r="A48" t="inlineStr">
        <is>
          <t>Redemption Fund of National Loans</t>
        </is>
      </c>
      <c r="B48" s="6" t="n">
        <v>53620</v>
      </c>
      <c r="C48" s="6" t="n">
        <v>120629</v>
      </c>
      <c r="D48" s="6" t="n">
        <v>96940</v>
      </c>
      <c r="E48" s="6" t="n">
        <v>116424</v>
      </c>
      <c r="F48" s="6" t="n">
        <v>100081</v>
      </c>
      <c r="G48" s="6" t="n">
        <v>120621</v>
      </c>
      <c r="H48" s="6" t="n">
        <v>138978</v>
      </c>
    </row>
    <row r="49">
      <c r="A49" t="inlineStr">
        <is>
          <t>Pension</t>
        </is>
      </c>
      <c r="B49" t="inlineStr">
        <is>
          <t>—</t>
        </is>
      </c>
      <c r="C49" t="inlineStr">
        <is>
          <t>—</t>
        </is>
      </c>
      <c r="D49" t="inlineStr">
        <is>
          <t>—</t>
        </is>
      </c>
      <c r="E49" s="6" t="n">
        <v>5966</v>
      </c>
      <c r="F49" s="6" t="n">
        <v>7429</v>
      </c>
      <c r="G49" s="6" t="n">
        <v>10496</v>
      </c>
      <c r="H49" s="6" t="n">
        <v>14541</v>
      </c>
    </row>
    <row r="50">
      <c r="A50" t="inlineStr">
        <is>
          <t>Capital Construction Bureau</t>
        </is>
      </c>
      <c r="B50" s="6" t="n">
        <v>7666</v>
      </c>
      <c r="C50" s="6" t="n">
        <v>5232</v>
      </c>
      <c r="D50" s="6" t="n">
        <v>2147</v>
      </c>
      <c r="E50" s="6" t="n">
        <v>3200</v>
      </c>
      <c r="F50" s="6" t="n">
        <v>6959</v>
      </c>
      <c r="G50" s="6" t="n">
        <v>5684</v>
      </c>
      <c r="H50" t="inlineStr">
        <is>
          <t>—</t>
        </is>
      </c>
    </row>
    <row r="51">
      <c r="A51" t="inlineStr">
        <is>
          <t>Supplies</t>
        </is>
      </c>
      <c r="B51" s="6" t="n">
        <v>8641</v>
      </c>
      <c r="C51" s="6" t="n">
        <v>7273</v>
      </c>
      <c r="D51" s="6" t="n">
        <v>17244</v>
      </c>
      <c r="E51" s="6" t="n">
        <v>77073</v>
      </c>
      <c r="F51" s="6" t="n">
        <v>89130</v>
      </c>
      <c r="G51" s="6" t="n">
        <v>89036</v>
      </c>
      <c r="H51" s="6" t="n">
        <v>89154</v>
      </c>
    </row>
    <row r="52">
      <c r="A52" t="inlineStr">
        <is>
          <t>Northern Districts Development</t>
        </is>
      </c>
      <c r="B52" t="inlineStr">
        <is>
          <t>—</t>
        </is>
      </c>
      <c r="C52" t="inlineStr">
        <is>
          <t>—</t>
        </is>
      </c>
      <c r="D52" t="inlineStr">
        <is>
          <t>—</t>
        </is>
      </c>
      <c r="E52" t="inlineStr">
        <is>
          <t>—</t>
        </is>
      </c>
      <c r="F52" s="6" t="n">
        <v>86900</v>
      </c>
      <c r="G52" s="6" t="n">
        <v>85000</v>
      </c>
      <c r="H52" t="inlineStr">
        <is>
          <t>—</t>
        </is>
      </c>
    </row>
    <row r="53">
      <c r="A53" t="inlineStr">
        <is>
          <t>Coordination Fund for Local Finance</t>
        </is>
      </c>
      <c r="B53" t="inlineStr">
        <is>
          <t>—</t>
        </is>
      </c>
      <c r="C53" t="inlineStr">
        <is>
          <t>—</t>
        </is>
      </c>
      <c r="D53" s="6" t="n">
        <v>42700</v>
      </c>
      <c r="E53" s="6" t="n">
        <v>37575</v>
      </c>
      <c r="F53" s="6" t="n">
        <v>65160</v>
      </c>
      <c r="G53" s="6" t="n">
        <v>37017</v>
      </c>
      <c r="H53" s="6" t="n">
        <v>57925</v>
      </c>
    </row>
    <row r="54">
      <c r="A54" t="inlineStr">
        <is>
          <t>National Loan</t>
        </is>
      </c>
      <c r="B54" t="inlineStr">
        <is>
          <t>—</t>
        </is>
      </c>
      <c r="C54" s="6" t="n">
        <v>110735</v>
      </c>
      <c r="D54" s="6" t="n">
        <v>366916</v>
      </c>
      <c r="E54" s="6" t="n">
        <v>396428</v>
      </c>
      <c r="F54" s="6" t="n">
        <v>506880</v>
      </c>
      <c r="G54" s="6" t="n">
        <v>385598</v>
      </c>
      <c r="H54" s="6" t="n">
        <v>432112</v>
      </c>
    </row>
    <row r="55">
      <c r="A55" t="inlineStr">
        <is>
          <t>Construction of Hydro-Electric Power Station</t>
        </is>
      </c>
      <c r="B55" t="inlineStr">
        <is>
          <t>—</t>
        </is>
      </c>
      <c r="C55" s="6" t="n">
        <v>3151</v>
      </c>
      <c r="D55" s="6" t="n">
        <v>16382</v>
      </c>
      <c r="E55" s="6" t="n">
        <v>30567</v>
      </c>
      <c r="F55" s="6" t="n">
        <v>32017</v>
      </c>
      <c r="G55" s="6" t="n">
        <v>39730</v>
      </c>
      <c r="H55" s="6" t="n">
        <v>37444</v>
      </c>
    </row>
    <row r="56">
      <c r="A56" t="inlineStr">
        <is>
          <t>Scientific Research Enterprises</t>
        </is>
      </c>
      <c r="B56" t="inlineStr">
        <is>
          <t>—</t>
        </is>
      </c>
      <c r="C56" t="inlineStr">
        <is>
          <t>—</t>
        </is>
      </c>
      <c r="D56" s="6" t="n">
        <v>2166</v>
      </c>
      <c r="E56" s="6" t="n">
        <v>4849</v>
      </c>
      <c r="F56" s="6" t="n">
        <v>6668</v>
      </c>
      <c r="G56" s="6" t="n">
        <v>6433</v>
      </c>
      <c r="H56" t="inlineStr"/>
    </row>
    <row r="57">
      <c r="A57" t="inlineStr">
        <is>
          <t>Govt. Officials Mutual Relief</t>
        </is>
      </c>
      <c r="B57" t="inlineStr">
        <is>
          <t>—</t>
        </is>
      </c>
      <c r="C57" t="inlineStr">
        <is>
          <t>—</t>
        </is>
      </c>
      <c r="D57" s="6" t="n">
        <v>2044</v>
      </c>
      <c r="E57" s="6" t="n">
        <v>3881</v>
      </c>
      <c r="F57" s="6" t="n">
        <v>6202</v>
      </c>
      <c r="G57" s="6" t="n">
        <v>8634</v>
      </c>
      <c r="H57" t="inlineStr"/>
    </row>
    <row r="58">
      <c r="A58" t="inlineStr">
        <is>
          <t>Army Clothing Depot</t>
        </is>
      </c>
      <c r="B58" s="6" t="n">
        <v>4300</v>
      </c>
      <c r="C58" s="6" t="n">
        <v>4623</v>
      </c>
      <c r="D58" s="6" t="n">
        <v>7403</v>
      </c>
      <c r="E58" s="6" t="n">
        <v>8567</v>
      </c>
      <c r="F58" t="inlineStr">
        <is>
          <t>—</t>
        </is>
      </c>
      <c r="G58" t="inlineStr">
        <is>
          <t>—</t>
        </is>
      </c>
      <c r="H58" t="inlineStr"/>
    </row>
    <row r="59">
      <c r="A59" t="inlineStr">
        <is>
          <t>Arsenal</t>
        </is>
      </c>
      <c r="B59" s="6" t="n">
        <v>2444</v>
      </c>
      <c r="C59" s="6" t="n">
        <v>3300</v>
      </c>
      <c r="D59" s="6" t="n">
        <v>12329</v>
      </c>
      <c r="E59" s="6" t="n">
        <v>15723</v>
      </c>
      <c r="F59" s="6" t="n">
        <v>12240</v>
      </c>
      <c r="G59" s="6" t="n">
        <v>16480</v>
      </c>
      <c r="H59" t="inlineStr"/>
    </row>
    <row r="60">
      <c r="A60" t="inlineStr">
        <is>
          <t>Army Supplies Depot</t>
        </is>
      </c>
      <c r="B60" t="inlineStr">
        <is>
          <t>—</t>
        </is>
      </c>
      <c r="C60" t="inlineStr">
        <is>
          <t>—</t>
        </is>
      </c>
      <c r="D60" t="inlineStr">
        <is>
          <t>—</t>
        </is>
      </c>
      <c r="E60" t="inlineStr">
        <is>
          <t>—</t>
        </is>
      </c>
      <c r="F60" s="6" t="n">
        <v>15508</v>
      </c>
      <c r="G60" s="6" t="n">
        <v>11645</v>
      </c>
      <c r="H60" t="inlineStr"/>
    </row>
    <row r="61">
      <c r="A61" t="inlineStr">
        <is>
          <t>Horse Race</t>
        </is>
      </c>
      <c r="B61" t="inlineStr">
        <is>
          <t>—</t>
        </is>
      </c>
      <c r="C61" s="6" t="n">
        <v>2674</v>
      </c>
      <c r="D61" s="6" t="n">
        <v>4352</v>
      </c>
      <c r="E61" s="6" t="n">
        <v>5926</v>
      </c>
      <c r="F61" s="6" t="n">
        <v>10085</v>
      </c>
      <c r="G61" s="6" t="n">
        <v>16060</v>
      </c>
      <c r="H61" t="inlineStr"/>
    </row>
    <row r="62">
      <c r="A62" t="inlineStr">
        <is>
          <t>Monopoly</t>
        </is>
      </c>
      <c r="B62" s="6" t="n">
        <v>83754</v>
      </c>
      <c r="C62" s="6" t="n">
        <v>113248</v>
      </c>
      <c r="D62" s="6" t="n">
        <v>158751</v>
      </c>
      <c r="E62" s="6" t="n">
        <v>195904</v>
      </c>
      <c r="F62" s="6" t="n">
        <v>393209</v>
      </c>
      <c r="G62" s="6" t="n">
        <v>382093</v>
      </c>
      <c r="H62" t="inlineStr"/>
    </row>
    <row r="63">
      <c r="A63" t="inlineStr">
        <is>
          <t>Opium Eradication</t>
        </is>
      </c>
      <c r="B63" t="inlineStr">
        <is>
          <t>—</t>
        </is>
      </c>
      <c r="C63" t="inlineStr">
        <is>
          <t>—</t>
        </is>
      </c>
      <c r="D63" t="inlineStr">
        <is>
          <t>—</t>
        </is>
      </c>
      <c r="E63" t="inlineStr">
        <is>
          <t>—</t>
        </is>
      </c>
      <c r="F63" s="6" t="n">
        <v>126160</v>
      </c>
      <c r="G63" s="6" t="n">
        <v>103951</v>
      </c>
      <c r="H63" t="inlineStr"/>
    </row>
    <row r="64">
      <c r="A64" t="inlineStr">
        <is>
          <t>Colonization</t>
        </is>
      </c>
      <c r="B64" t="inlineStr">
        <is>
          <t>—</t>
        </is>
      </c>
      <c r="C64" t="inlineStr">
        <is>
          <t>—</t>
        </is>
      </c>
      <c r="D64" t="inlineStr">
        <is>
          <t>—</t>
        </is>
      </c>
      <c r="E64" s="6" t="n">
        <v>42314</v>
      </c>
      <c r="F64" s="6" t="n">
        <v>79960</v>
      </c>
      <c r="G64" s="6" t="n">
        <v>73369</v>
      </c>
      <c r="H64" t="inlineStr"/>
    </row>
    <row r="65">
      <c r="A65" t="inlineStr">
        <is>
          <t>Assistance for Domestic Settlers</t>
        </is>
      </c>
      <c r="B65" t="inlineStr">
        <is>
          <t>—</t>
        </is>
      </c>
      <c r="C65" t="inlineStr">
        <is>
          <t>—</t>
        </is>
      </c>
      <c r="D65" t="inlineStr">
        <is>
          <t>—</t>
        </is>
      </c>
      <c r="E65" t="inlineStr">
        <is>
          <t>—</t>
        </is>
      </c>
      <c r="F65" t="inlineStr">
        <is>
          <t>—</t>
        </is>
      </c>
      <c r="G65" t="inlineStr">
        <is>
          <t>—</t>
        </is>
      </c>
      <c r="H65" t="inlineStr"/>
    </row>
    <row r="66">
      <c r="A66" t="inlineStr">
        <is>
          <t>Adjustment Fund for State Properties</t>
        </is>
      </c>
      <c r="B66" s="6" t="n">
        <v>6090</v>
      </c>
      <c r="C66" s="6" t="n">
        <v>5011</v>
      </c>
      <c r="D66" s="6" t="n">
        <v>5733</v>
      </c>
      <c r="E66" s="6" t="n">
        <v>10552</v>
      </c>
      <c r="F66" s="6" t="n">
        <v>20761</v>
      </c>
      <c r="G66" s="6" t="n">
        <v>23305</v>
      </c>
      <c r="H66" t="inlineStr"/>
    </row>
    <row r="67">
      <c r="A67" t="inlineStr">
        <is>
          <t>Investments</t>
        </is>
      </c>
      <c r="B67" s="6" t="n">
        <v>25004</v>
      </c>
      <c r="C67" s="6" t="n">
        <v>91448</v>
      </c>
      <c r="D67" s="6" t="n">
        <v>326215</v>
      </c>
      <c r="E67" s="6" t="n">
        <v>280327</v>
      </c>
      <c r="F67" s="6" t="n">
        <v>252695</v>
      </c>
      <c r="G67" s="6" t="n">
        <v>219982</v>
      </c>
      <c r="H67" t="inlineStr"/>
    </row>
    <row r="68">
      <c r="A68" t="inlineStr">
        <is>
          <t>Railway Loans</t>
        </is>
      </c>
      <c r="B68" s="6" t="n">
        <v>51904</v>
      </c>
      <c r="C68" s="6" t="n">
        <v>48709</v>
      </c>
      <c r="D68" s="6" t="n">
        <v>14778</v>
      </c>
      <c r="E68" s="6" t="n">
        <v>8280</v>
      </c>
      <c r="F68" s="6" t="n">
        <v>10352</v>
      </c>
      <c r="G68" t="inlineStr">
        <is>
          <t>—</t>
        </is>
      </c>
      <c r="H68" t="inlineStr"/>
    </row>
    <row r="69">
      <c r="A69" t="inlineStr">
        <is>
          <t>State Forestry Enterprise</t>
        </is>
      </c>
      <c r="B69" s="6" t="n">
        <v>10747</v>
      </c>
      <c r="C69" s="6" t="n">
        <v>14113</v>
      </c>
      <c r="D69" s="6" t="n">
        <v>25964</v>
      </c>
      <c r="E69" s="6" t="n">
        <v>74468</v>
      </c>
      <c r="F69" s="6" t="n">
        <v>112392</v>
      </c>
      <c r="G69" s="6" t="n">
        <v>120138</v>
      </c>
      <c r="H69" t="inlineStr"/>
    </row>
    <row r="70">
      <c r="A70" t="inlineStr">
        <is>
          <t>Gold Refining</t>
        </is>
      </c>
      <c r="B70" s="9" t="n">
        <v>300</v>
      </c>
      <c r="C70" s="6" t="n">
        <v>1500</v>
      </c>
      <c r="D70" s="6" t="n">
        <v>4478</v>
      </c>
      <c r="E70" t="inlineStr">
        <is>
          <t>—</t>
        </is>
      </c>
      <c r="F70" t="inlineStr">
        <is>
          <t>—</t>
        </is>
      </c>
      <c r="G70" t="inlineStr">
        <is>
          <t>—</t>
        </is>
      </c>
      <c r="H70" t="inlineStr"/>
    </row>
    <row r="71">
      <c r="A71" t="inlineStr">
        <is>
          <t>Postal Administration</t>
        </is>
      </c>
      <c r="B71" s="6" t="n">
        <v>6084</v>
      </c>
      <c r="C71" s="6" t="n">
        <v>5898</v>
      </c>
      <c r="D71" s="6" t="n">
        <v>12025</v>
      </c>
      <c r="E71" s="6" t="n">
        <v>14825</v>
      </c>
      <c r="F71" s="6" t="n">
        <v>26283</v>
      </c>
      <c r="G71" s="6" t="n">
        <v>36381</v>
      </c>
      <c r="H71" t="inlineStr"/>
    </row>
    <row r="72">
      <c r="A72" t="inlineStr">
        <is>
          <t>P.O. Life Insurance</t>
        </is>
      </c>
      <c r="B72" t="inlineStr">
        <is>
          <t>—</t>
        </is>
      </c>
      <c r="C72" t="inlineStr">
        <is>
          <t>—</t>
        </is>
      </c>
      <c r="D72" s="9" t="n">
        <v>989</v>
      </c>
      <c r="E72" s="6" t="n">
        <v>3066</v>
      </c>
      <c r="F72" s="6" t="n">
        <v>6131</v>
      </c>
      <c r="G72" s="6" t="n">
        <v>10327</v>
      </c>
      <c r="H72" t="inlineStr"/>
    </row>
    <row r="73">
      <c r="A73" t="inlineStr">
        <is>
          <t>River Improvement and Irrigation Enterprise</t>
        </is>
      </c>
      <c r="B73" t="inlineStr">
        <is>
          <t>—</t>
        </is>
      </c>
      <c r="C73" t="inlineStr">
        <is>
          <t>—</t>
        </is>
      </c>
      <c r="D73" s="6" t="n">
        <v>1800</v>
      </c>
      <c r="E73" s="6" t="n">
        <v>4968</v>
      </c>
      <c r="F73" s="6" t="n">
        <v>5534</v>
      </c>
      <c r="G73" s="6" t="n">
        <v>4000</v>
      </c>
      <c r="H73" t="inlineStr"/>
    </row>
    <row r="74">
      <c r="A74" t="inlineStr">
        <is>
          <t>Prisons</t>
        </is>
      </c>
      <c r="B74" t="inlineStr">
        <is>
          <t>—</t>
        </is>
      </c>
      <c r="C74" s="6" t="n">
        <v>5415</v>
      </c>
      <c r="D74" s="6" t="n">
        <v>7579</v>
      </c>
      <c r="E74" s="6" t="n">
        <v>13076</v>
      </c>
      <c r="F74" s="6" t="n">
        <v>18673</v>
      </c>
      <c r="G74" s="6" t="n">
        <v>22253</v>
      </c>
      <c r="H74" t="inlineStr"/>
    </row>
    <row r="75">
      <c r="A75" t="inlineStr">
        <is>
          <t>Tatung Harbour Construction</t>
        </is>
      </c>
      <c r="B75" t="inlineStr">
        <is>
          <t>—</t>
        </is>
      </c>
      <c r="C75" t="inlineStr">
        <is>
          <t>—</t>
        </is>
      </c>
      <c r="D75" t="inlineStr">
        <is>
          <t>—</t>
        </is>
      </c>
      <c r="E75" t="inlineStr">
        <is>
          <t>—</t>
        </is>
      </c>
      <c r="F75" s="6" t="n">
        <v>14342</v>
      </c>
      <c r="G75" s="6" t="n">
        <v>9498</v>
      </c>
      <c r="H75" t="inlineStr"/>
    </row>
    <row r="76">
      <c r="A76" t="inlineStr">
        <is>
          <t>Grand Total</t>
        </is>
      </c>
      <c r="B76" s="6" t="n">
        <v>260553</v>
      </c>
      <c r="C76" s="6" t="n">
        <v>542959</v>
      </c>
      <c r="D76" s="6" t="n">
        <v>1128936</v>
      </c>
      <c r="E76" s="6" t="n">
        <v>1353957</v>
      </c>
      <c r="F76" s="6" t="n">
        <v>2025228</v>
      </c>
      <c r="G76" s="6" t="n">
        <v>1849077</v>
      </c>
      <c r="H76" t="inlineStr"/>
    </row>
    <row r="78">
      <c r="A78" s="2" t="inlineStr">
        <is>
          <t>Footnotes</t>
        </is>
      </c>
    </row>
    <row r="79">
      <c r="A79" t="inlineStr">
        <is>
          <t>(A) Note: * Budget Estimates, exluding Supplementary Budget. † The fiscal year 1935 covers the six months only from July to December 31, a revision having been effected in 1936 to correspond the fiscal year with the calendar year. Statistics for 1941 are not released public.</t>
        </is>
      </c>
    </row>
    <row r="80">
      <c r="A80" t="inlineStr">
        <is>
          <t>(B) Note: * Budget Estimates.</t>
        </is>
      </c>
    </row>
    <row r="82">
      <c r="A82" s="2" t="inlineStr">
        <is>
          <t>Transcriber's notes</t>
        </is>
      </c>
    </row>
    <row r="83">
      <c r="A83" t="inlineStr">
        <is>
          <t>Part (A): Ordinary section on p.206; continuation headed '(Continued)' (Foods, Drink &amp; Amusements Tax to Grand Total) on p.207. Part (B): first 8 rows on p.207, remainder headed '(Continued)' on p.208.</t>
        </is>
      </c>
    </row>
    <row r="84">
      <c r="A84" t="inlineStr">
        <is>
          <t>(A) The brace-grouped rows 'Tobacco Tax {Cigarettes / Others' and 'Consolidated Tax {Cotton Goods / Wheat Flour / Cement' are flattened with ' — '.</t>
        </is>
      </c>
    </row>
    <row r="85">
      <c r="A85" t="inlineStr">
        <is>
          <t>(B) 1942* column on p.208 (rows Scientific Research Enterprises through Grand Total) is printed into the gutter/binding curve and only fragments of digits are visible — all those cells left blank. Grand Total 1942 fragment reads '1,750,…' (Table 1 gives Special Account revenue 1942 as 1,750,000) but left blank per rules. Cell values for 1942 in rows above Scientific Research Enterprises (p.207) are fully legible.</t>
        </is>
      </c>
    </row>
    <row r="86">
      <c r="A86" t="inlineStr">
        <is>
          <t>(A) 1935†: Taxes &amp; Duties 77,437: Customs 'Total incl. others' 43,897 + Inland 'Total incl. others' 33,540 = 77,437 — reconciles</t>
        </is>
      </c>
    </row>
    <row r="87">
      <c r="A87" t="inlineStr">
        <is>
          <t>(A) 1935†: Grand Total 132,768: Ordinary combined 93,386 + Extraordinary combined 39,382 = 132,768 — reconciles</t>
        </is>
      </c>
    </row>
    <row r="88">
      <c r="A88" t="inlineStr">
        <is>
          <t>(A) 1935†: Taxes &amp; Duties + Stamp Receipts + Monopoly Profits = 88,076 vs Ordinary 'Combined Total incl. others' 93,386 (includes unlisted others; informational)</t>
        </is>
      </c>
    </row>
    <row r="89">
      <c r="A89" t="inlineStr">
        <is>
          <t>(A) 1936: Taxes &amp; Duties 183,627: Customs 'Total incl. others' 93,535 + Inland 'Total incl. others' 90,092 = 183,627 — reconciles</t>
        </is>
      </c>
    </row>
    <row r="90">
      <c r="A90" t="inlineStr">
        <is>
          <t>(A) 1936: Grand Total 263,610: Ordinary combined 223,719 + Extraordinary combined 39,891 = 263,610 — reconciles</t>
        </is>
      </c>
    </row>
    <row r="91">
      <c r="A91" t="inlineStr">
        <is>
          <t>(A) 1936: Taxes &amp; Duties + Stamp Receipts + Monopoly Profits = 216,193 vs Ordinary 'Combined Total incl. others' 223,719 (includes unlisted others; informational)</t>
        </is>
      </c>
    </row>
    <row r="92">
      <c r="A92" t="inlineStr">
        <is>
          <t>(A) 1937*: Taxes &amp; Duties 153,029: Customs 'Total incl. others' 89,658 + Inland 'Total incl. others' 63,371 = 153,029 — reconciles</t>
        </is>
      </c>
    </row>
    <row r="93">
      <c r="A93" t="inlineStr">
        <is>
          <t>(A) 1937*: Grand Total 248,099: Ordinary combined 211,632 + Extraordinary combined 36,466 = 248,098 — does NOT reconcile (diff -1)</t>
        </is>
      </c>
    </row>
    <row r="94">
      <c r="A94" t="inlineStr">
        <is>
          <t>(A) 1937*: Taxes &amp; Duties + Stamp Receipts + Monopoly Profits = 206,494 vs Ordinary 'Combined Total incl. others' 211,632 (includes unlisted others; informational)</t>
        </is>
      </c>
    </row>
    <row r="95">
      <c r="A95" t="inlineStr">
        <is>
          <t>(A) 1938*: Taxes &amp; Duties 172,957: Customs 'Total incl. others' 96,448 + Inland 'Total incl. others' 76,509 = 172,957 — reconciles</t>
        </is>
      </c>
    </row>
    <row r="96">
      <c r="A96" t="inlineStr">
        <is>
          <t>(A) 1938*: Grand Total 304,555: Ordinary combined 240,335 + Extraordinary combined 64,219 = 304,554 — does NOT reconcile (diff -1)</t>
        </is>
      </c>
    </row>
    <row r="97">
      <c r="A97" t="inlineStr">
        <is>
          <t>(A) 1938*: Taxes &amp; Duties + Stamp Receipts + Monopoly Profits = 235,170 vs Ordinary 'Combined Total incl. others' 240,335 (includes unlisted others; informational)</t>
        </is>
      </c>
    </row>
    <row r="98">
      <c r="A98" t="inlineStr">
        <is>
          <t>(A) 1939*: Taxes &amp; Duties 203,293: Customs 'Total incl. others' 107,551 + Inland 'Total incl. others' 95,742 = 203,293 — reconciles</t>
        </is>
      </c>
    </row>
    <row r="99">
      <c r="A99" t="inlineStr">
        <is>
          <t>(A) 1939*: Grand Total 403,378: Ordinary combined 299,837 + Extraordinary combined 103,540 = 403,377 — does NOT reconcile (diff -1)</t>
        </is>
      </c>
    </row>
    <row r="100">
      <c r="A100" t="inlineStr">
        <is>
          <t>(A) 1939*: Taxes &amp; Duties + Stamp Receipts + Monopoly Profits = 294,888 vs Ordinary 'Combined Total incl. others' 299,837 (includes unlisted others; informational)</t>
        </is>
      </c>
    </row>
    <row r="101">
      <c r="A101" t="inlineStr">
        <is>
          <t>(A) 1940*: Taxes &amp; Duties 323,853: Customs 'Total incl. others' 171,907 + Inland 'Total incl. others' 151,946 = 323,853 — reconciles</t>
        </is>
      </c>
    </row>
    <row r="102">
      <c r="A102" t="inlineStr">
        <is>
          <t>(A) 1940*: Grand Total 573,555: Ordinary combined 417,770 + Extraordinary combined 155,785 = 573,555 — reconciles</t>
        </is>
      </c>
    </row>
    <row r="103">
      <c r="A103" t="inlineStr">
        <is>
          <t>(A) 1940*: Taxes &amp; Duties + Stamp Receipts + Monopoly Profits = 399,040 vs Ordinary 'Combined Total incl. others' 417,770 (includes unlisted others; informational)</t>
        </is>
      </c>
    </row>
    <row r="104">
      <c r="A104" t="inlineStr">
        <is>
          <t>(B) 1936: Grand Total 260,553: parts sum to 260,554 — does NOT reconcile (diff +1)</t>
        </is>
      </c>
    </row>
    <row r="105">
      <c r="A105" t="inlineStr">
        <is>
          <t>(B) 1937*: Grand Total 542,959: parts sum to 542,959 — reconciles</t>
        </is>
      </c>
    </row>
    <row r="106">
      <c r="A106" t="inlineStr">
        <is>
          <t>(B) 1938*: Grand Total 1,128,936: parts sum to 1,128,935 — does NOT reconcile (diff -1)</t>
        </is>
      </c>
    </row>
    <row r="107">
      <c r="A107" t="inlineStr">
        <is>
          <t>(B) 1939*: Grand Total 1,353,957: parts sum to 1,353,959 — does NOT reconcile (diff +2)</t>
        </is>
      </c>
    </row>
    <row r="108">
      <c r="A108" t="inlineStr">
        <is>
          <t>(B) 1940*: Grand Total 2,025,228: parts sum to 2,011,751 — does NOT reconcile (diff -13,477)</t>
        </is>
      </c>
    </row>
    <row r="109">
      <c r="A109" t="inlineStr">
        <is>
          <t>(B) 1941*: Grand Total 1,849,077: parts sum to 1,837,731 — does NOT reconcile (diff -11,346)</t>
        </is>
      </c>
    </row>
    <row r="110">
      <c r="A110" t="inlineStr">
        <is>
          <t>(B) Grand Totals agree with Table 1(A) Special Account column for 1938-1941 (1,128,837 vs 1,128,936 for 1938 differs by 99; 1,353,957, 2,025,228, 1,849,077 match); 1936 260,553 and 1937 542,959 differ from Table 1(A) 247,829 and 691,118 — informational only.</t>
        </is>
      </c>
    </row>
  </sheetData>
  <hyperlinks>
    <hyperlink xmlns:r="http://schemas.openxmlformats.org/officeDocument/2006/relationships" ref="A4" r:id="rId1"/>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8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State Expenditures Classified</t>
        </is>
      </c>
    </row>
    <row r="2">
      <c r="A2" t="inlineStr">
        <is>
          <t>State Finance · printed pp. 208, 209, 210</t>
        </is>
      </c>
    </row>
    <row r="3">
      <c r="A3" t="inlineStr">
        <is>
          <t>(M¥1,000)</t>
        </is>
      </c>
    </row>
    <row r="4">
      <c r="A4" s="3" t="inlineStr">
        <is>
          <t>← Contents</t>
        </is>
      </c>
    </row>
    <row r="6">
      <c r="A6" s="2" t="inlineStr">
        <is>
          <t>(A) General Account</t>
        </is>
      </c>
    </row>
    <row r="7">
      <c r="A7" s="5" t="inlineStr">
        <is>
          <t>Dept.</t>
        </is>
      </c>
      <c r="B7" s="5" t="inlineStr">
        <is>
          <t>1938 — Amount</t>
        </is>
      </c>
      <c r="C7" s="5" t="inlineStr">
        <is>
          <t>1938 — %</t>
        </is>
      </c>
      <c r="D7" s="5" t="inlineStr">
        <is>
          <t>1939 — Amount</t>
        </is>
      </c>
      <c r="E7" s="5" t="inlineStr">
        <is>
          <t>1939 — %</t>
        </is>
      </c>
      <c r="F7" s="5" t="inlineStr">
        <is>
          <t>1940 — Amount</t>
        </is>
      </c>
      <c r="G7" s="5" t="inlineStr">
        <is>
          <t>1940 — %</t>
        </is>
      </c>
      <c r="H7" s="5" t="inlineStr">
        <is>
          <t>1941 — Amount</t>
        </is>
      </c>
      <c r="I7" s="5" t="inlineStr">
        <is>
          <t>1941 — %</t>
        </is>
      </c>
      <c r="J7" s="5" t="inlineStr">
        <is>
          <t>1942 — Amount</t>
        </is>
      </c>
      <c r="K7" s="5" t="inlineStr">
        <is>
          <t>1942 — %</t>
        </is>
      </c>
    </row>
    <row r="8">
      <c r="A8" t="inlineStr">
        <is>
          <t>Imp. Household</t>
        </is>
      </c>
      <c r="B8" s="6" t="n">
        <v>2100</v>
      </c>
      <c r="C8" s="11" t="n">
        <v>0.6899999999999999</v>
      </c>
      <c r="D8" s="6" t="n">
        <v>2100</v>
      </c>
      <c r="E8" s="11" t="n">
        <v>0.52</v>
      </c>
      <c r="F8" s="6" t="n">
        <v>2050</v>
      </c>
      <c r="G8" s="11" t="n">
        <v>0.35</v>
      </c>
      <c r="H8" s="6" t="n">
        <v>2050</v>
      </c>
      <c r="I8" s="11" t="n">
        <v>0.32</v>
      </c>
      <c r="J8" s="6" t="n">
        <v>3060</v>
      </c>
      <c r="K8" t="inlineStr"/>
    </row>
    <row r="9">
      <c r="A9" t="inlineStr">
        <is>
          <t>Gen. Aff. Bd.</t>
        </is>
      </c>
      <c r="B9" s="6" t="n">
        <v>103178</v>
      </c>
      <c r="C9" s="11" t="n">
        <v>33.88</v>
      </c>
      <c r="D9" s="6" t="n">
        <v>131381</v>
      </c>
      <c r="E9" s="11" t="n">
        <v>32.5</v>
      </c>
      <c r="F9" s="6" t="n">
        <v>210275</v>
      </c>
      <c r="G9" s="11" t="n">
        <v>36.66</v>
      </c>
      <c r="H9" s="6" t="n">
        <v>186754</v>
      </c>
      <c r="I9" s="11" t="n">
        <v>28.77</v>
      </c>
      <c r="J9" s="6" t="n">
        <v>246504</v>
      </c>
      <c r="K9" t="inlineStr"/>
    </row>
    <row r="10">
      <c r="A10" t="inlineStr">
        <is>
          <t>People's Welfare</t>
        </is>
      </c>
      <c r="B10" s="6" t="n">
        <v>14941</v>
      </c>
      <c r="C10" s="11" t="n">
        <v>4.91</v>
      </c>
      <c r="D10" s="6" t="n">
        <v>19226</v>
      </c>
      <c r="E10" s="11" t="n">
        <v>4.75</v>
      </c>
      <c r="F10" s="6" t="n">
        <v>31925</v>
      </c>
      <c r="G10" s="11" t="n">
        <v>5.56</v>
      </c>
      <c r="H10" s="6" t="n">
        <v>37246</v>
      </c>
      <c r="I10" s="11" t="n">
        <v>5.74</v>
      </c>
      <c r="J10" s="6" t="n">
        <v>45837</v>
      </c>
      <c r="K10" t="inlineStr"/>
    </row>
    <row r="11">
      <c r="A11" t="inlineStr">
        <is>
          <t>Public Peace</t>
        </is>
      </c>
      <c r="B11" s="6" t="n">
        <v>111905</v>
      </c>
      <c r="C11" s="11" t="n">
        <v>36.74</v>
      </c>
      <c r="D11" s="6" t="n">
        <v>137722</v>
      </c>
      <c r="E11" s="11" t="n">
        <v>34</v>
      </c>
      <c r="F11" s="6" t="n">
        <v>181011</v>
      </c>
      <c r="G11" s="11" t="n">
        <v>31.56</v>
      </c>
      <c r="H11" s="6" t="n">
        <v>221112</v>
      </c>
      <c r="I11" s="11" t="n">
        <v>34.06</v>
      </c>
      <c r="J11" s="6" t="n">
        <v>236219</v>
      </c>
      <c r="K11" t="inlineStr"/>
    </row>
    <row r="12">
      <c r="A12" t="inlineStr">
        <is>
          <t>Finance</t>
        </is>
      </c>
      <c r="B12" s="6" t="n">
        <v>27051</v>
      </c>
      <c r="C12" s="11" t="n">
        <v>8.880000000000001</v>
      </c>
      <c r="D12" s="6" t="n">
        <v>35673</v>
      </c>
      <c r="E12" s="11" t="n">
        <v>8.800000000000001</v>
      </c>
      <c r="F12" s="6" t="n">
        <v>62390</v>
      </c>
      <c r="G12" s="11" t="n">
        <v>10.88</v>
      </c>
      <c r="H12" s="6" t="n">
        <v>84156</v>
      </c>
      <c r="I12" s="11" t="n">
        <v>12.96</v>
      </c>
      <c r="J12" s="6" t="n">
        <v>114894</v>
      </c>
      <c r="K12" t="inlineStr"/>
    </row>
    <row r="13">
      <c r="A13" t="inlineStr">
        <is>
          <t>Industry</t>
        </is>
      </c>
      <c r="B13" s="6" t="n">
        <v>12042</v>
      </c>
      <c r="C13" s="11" t="n">
        <v>3.95</v>
      </c>
      <c r="D13" s="6" t="n">
        <v>20879</v>
      </c>
      <c r="E13" s="11" t="n">
        <v>6.59</v>
      </c>
      <c r="F13" t="inlineStr">
        <is>
          <t>(abolished 1940)</t>
        </is>
      </c>
      <c r="G13" t="inlineStr"/>
      <c r="H13" t="inlineStr"/>
      <c r="I13" t="inlineStr"/>
      <c r="J13" t="inlineStr"/>
      <c r="K13" t="inlineStr"/>
    </row>
    <row r="14">
      <c r="A14" t="inlineStr">
        <is>
          <t>Agricultural Development</t>
        </is>
      </c>
      <c r="B14" t="inlineStr">
        <is>
          <t>(established 1940)</t>
        </is>
      </c>
      <c r="C14" t="inlineStr"/>
      <c r="D14" t="inlineStr"/>
      <c r="E14" t="inlineStr"/>
      <c r="F14" s="6" t="n">
        <v>43799</v>
      </c>
      <c r="G14" s="11" t="n">
        <v>7.63</v>
      </c>
      <c r="H14" s="6" t="n">
        <v>69943</v>
      </c>
      <c r="I14" s="11" t="n">
        <v>10.77</v>
      </c>
      <c r="J14" s="6" t="n">
        <v>79999</v>
      </c>
      <c r="K14" t="inlineStr"/>
    </row>
    <row r="15">
      <c r="A15" t="inlineStr">
        <is>
          <t>Communications</t>
        </is>
      </c>
      <c r="B15" s="6" t="n">
        <v>21798</v>
      </c>
      <c r="C15" s="11" t="n">
        <v>7.15</v>
      </c>
      <c r="D15" s="6" t="n">
        <v>44007</v>
      </c>
      <c r="E15" s="11" t="n">
        <v>10.9</v>
      </c>
      <c r="F15" s="6" t="n">
        <v>28741</v>
      </c>
      <c r="G15" s="11" t="n">
        <v>5.01</v>
      </c>
      <c r="H15" s="6" t="n">
        <v>34273</v>
      </c>
      <c r="I15" s="11" t="n">
        <v>5.28</v>
      </c>
      <c r="J15" s="6" t="n">
        <v>82814</v>
      </c>
      <c r="K15" s="11" t="n">
        <v>10.06</v>
      </c>
    </row>
    <row r="16">
      <c r="A16" t="inlineStr">
        <is>
          <t>Justice</t>
        </is>
      </c>
      <c r="B16" s="6" t="n">
        <v>11540</v>
      </c>
      <c r="C16" s="11" t="n">
        <v>3.78</v>
      </c>
      <c r="D16" s="6" t="n">
        <v>12450</v>
      </c>
      <c r="E16" s="11" t="n">
        <v>3.09</v>
      </c>
      <c r="F16" s="6" t="n">
        <v>13363</v>
      </c>
      <c r="G16" s="11" t="n">
        <v>2.35</v>
      </c>
      <c r="H16" s="6" t="n">
        <v>13680</v>
      </c>
      <c r="I16" s="11" t="n">
        <v>2.11</v>
      </c>
      <c r="J16" s="6" t="n">
        <v>14071</v>
      </c>
      <c r="K16" s="11" t="n">
        <v>1.71</v>
      </c>
    </row>
    <row r="17">
      <c r="A17" t="inlineStr">
        <is>
          <t>Grand Total</t>
        </is>
      </c>
      <c r="B17" s="6" t="n">
        <v>304555</v>
      </c>
      <c r="C17" s="11" t="n">
        <v>100</v>
      </c>
      <c r="D17" s="6" t="n">
        <v>403378</v>
      </c>
      <c r="E17" s="11" t="n">
        <v>100</v>
      </c>
      <c r="F17" s="6" t="n">
        <v>573555</v>
      </c>
      <c r="G17" s="11" t="n">
        <v>100</v>
      </c>
      <c r="H17" s="6" t="n">
        <v>649220</v>
      </c>
      <c r="I17" s="11" t="n">
        <v>100</v>
      </c>
      <c r="J17" s="6" t="n">
        <v>823400</v>
      </c>
      <c r="K17" s="11" t="n">
        <v>100</v>
      </c>
    </row>
    <row r="19">
      <c r="A19" s="2" t="inlineStr">
        <is>
          <t>(B) Special Account (Expenditure)</t>
        </is>
      </c>
    </row>
    <row r="20">
      <c r="A20" s="5" t="inlineStr">
        <is>
          <t>Item</t>
        </is>
      </c>
      <c r="B20" s="5" t="inlineStr">
        <is>
          <t>1935†</t>
        </is>
      </c>
      <c r="C20" s="5" t="inlineStr">
        <is>
          <t>1936</t>
        </is>
      </c>
      <c r="D20" s="5" t="inlineStr">
        <is>
          <t>1937*</t>
        </is>
      </c>
      <c r="E20" s="5" t="inlineStr">
        <is>
          <t>1938*</t>
        </is>
      </c>
      <c r="F20" s="5" t="inlineStr">
        <is>
          <t>1939*</t>
        </is>
      </c>
      <c r="G20" s="5" t="inlineStr">
        <is>
          <t>1940*</t>
        </is>
      </c>
      <c r="H20" s="5" t="inlineStr">
        <is>
          <t>1941*</t>
        </is>
      </c>
      <c r="I20" s="5" t="inlineStr">
        <is>
          <t>1942*</t>
        </is>
      </c>
      <c r="J20" s="5" t="n"/>
      <c r="K20" s="5" t="n"/>
    </row>
    <row r="21">
      <c r="A21" t="inlineStr">
        <is>
          <t>Redemption Fund of Nation Loans</t>
        </is>
      </c>
      <c r="B21" t="inlineStr">
        <is>
          <t>—</t>
        </is>
      </c>
      <c r="C21" s="6" t="n">
        <v>1057</v>
      </c>
      <c r="D21" s="6" t="n">
        <v>120629</v>
      </c>
      <c r="E21" s="6" t="n">
        <v>69940</v>
      </c>
      <c r="F21" s="6" t="n">
        <v>116424</v>
      </c>
      <c r="G21" s="6" t="n">
        <v>100081</v>
      </c>
      <c r="H21" s="6" t="n">
        <v>120621</v>
      </c>
      <c r="I21" s="6" t="n">
        <v>138978</v>
      </c>
    </row>
    <row r="22">
      <c r="A22" t="inlineStr">
        <is>
          <t>Pension</t>
        </is>
      </c>
      <c r="B22" t="inlineStr">
        <is>
          <t>—</t>
        </is>
      </c>
      <c r="C22" t="inlineStr">
        <is>
          <t>—</t>
        </is>
      </c>
      <c r="D22" t="inlineStr">
        <is>
          <t>—</t>
        </is>
      </c>
      <c r="E22" t="inlineStr">
        <is>
          <t>—</t>
        </is>
      </c>
      <c r="F22" s="6" t="n">
        <v>3769</v>
      </c>
      <c r="G22" s="6" t="n">
        <v>4646</v>
      </c>
      <c r="H22" s="6" t="n">
        <v>6524</v>
      </c>
      <c r="I22" s="6" t="n">
        <v>9647</v>
      </c>
    </row>
    <row r="23">
      <c r="A23" t="inlineStr">
        <is>
          <t>Capital Construction Bureau</t>
        </is>
      </c>
      <c r="B23" s="6" t="n">
        <v>4839</v>
      </c>
      <c r="C23" s="6" t="n">
        <v>6201</v>
      </c>
      <c r="D23" s="6" t="n">
        <v>5232</v>
      </c>
      <c r="E23" s="6" t="n">
        <v>2147</v>
      </c>
      <c r="F23" s="6" t="n">
        <v>3200</v>
      </c>
      <c r="G23" s="6" t="n">
        <v>6595</v>
      </c>
      <c r="H23" s="6" t="n">
        <v>5684</v>
      </c>
      <c r="I23" t="inlineStr">
        <is>
          <t>—</t>
        </is>
      </c>
    </row>
    <row r="24">
      <c r="A24" t="inlineStr">
        <is>
          <t>Supplies</t>
        </is>
      </c>
      <c r="B24" s="6" t="n">
        <v>4873</v>
      </c>
      <c r="C24" s="6" t="n">
        <v>8500</v>
      </c>
      <c r="D24" s="6" t="n">
        <v>7155</v>
      </c>
      <c r="E24" s="6" t="n">
        <v>17044</v>
      </c>
      <c r="F24" s="6" t="n">
        <v>76578</v>
      </c>
      <c r="G24" s="6" t="n">
        <v>89130</v>
      </c>
      <c r="H24" s="6" t="n">
        <v>89036</v>
      </c>
      <c r="I24" s="6" t="n">
        <v>89154</v>
      </c>
    </row>
    <row r="25">
      <c r="A25" t="inlineStr">
        <is>
          <t>—</t>
        </is>
      </c>
      <c r="B25" t="inlineStr">
        <is>
          <t>—</t>
        </is>
      </c>
      <c r="C25" t="inlineStr">
        <is>
          <t>—</t>
        </is>
      </c>
      <c r="D25" t="inlineStr">
        <is>
          <t>—</t>
        </is>
      </c>
      <c r="E25" t="inlineStr">
        <is>
          <t>—</t>
        </is>
      </c>
      <c r="F25" t="inlineStr">
        <is>
          <t>—</t>
        </is>
      </c>
      <c r="G25" s="6" t="n">
        <v>86900</v>
      </c>
      <c r="H25" s="6" t="n">
        <v>85000</v>
      </c>
      <c r="I25" t="inlineStr">
        <is>
          <t>—</t>
        </is>
      </c>
    </row>
    <row r="26">
      <c r="A26" t="inlineStr">
        <is>
          <t>Coordination Fund for Local Finance</t>
        </is>
      </c>
      <c r="B26" t="inlineStr">
        <is>
          <t>—</t>
        </is>
      </c>
      <c r="C26" t="inlineStr">
        <is>
          <t>—</t>
        </is>
      </c>
      <c r="D26" t="inlineStr">
        <is>
          <t>—</t>
        </is>
      </c>
      <c r="E26" s="6" t="n">
        <v>42700</v>
      </c>
      <c r="F26" s="6" t="n">
        <v>37575</v>
      </c>
      <c r="G26" s="6" t="n">
        <v>65160</v>
      </c>
      <c r="H26" s="6" t="n">
        <v>37017</v>
      </c>
      <c r="I26" s="6" t="n">
        <v>57925</v>
      </c>
    </row>
    <row r="27">
      <c r="A27" t="inlineStr">
        <is>
          <t>National Loan</t>
        </is>
      </c>
      <c r="B27" t="inlineStr">
        <is>
          <t>—</t>
        </is>
      </c>
      <c r="C27" t="inlineStr">
        <is>
          <t>—</t>
        </is>
      </c>
      <c r="D27" s="6" t="n">
        <v>110735</v>
      </c>
      <c r="E27" s="6" t="n">
        <v>366916</v>
      </c>
      <c r="F27" s="6" t="n">
        <v>396428</v>
      </c>
      <c r="G27" s="6" t="n">
        <v>506880</v>
      </c>
      <c r="H27" s="6" t="n">
        <v>385598</v>
      </c>
      <c r="I27" s="6" t="n">
        <v>432112</v>
      </c>
    </row>
    <row r="28">
      <c r="A28" t="inlineStr">
        <is>
          <t>Construction of Hydro-Electric Power Works</t>
        </is>
      </c>
      <c r="B28" t="inlineStr">
        <is>
          <t>—</t>
        </is>
      </c>
      <c r="C28" t="inlineStr">
        <is>
          <t>—</t>
        </is>
      </c>
      <c r="D28" s="6" t="n">
        <v>3149</v>
      </c>
      <c r="E28" s="6" t="n">
        <v>16382</v>
      </c>
      <c r="F28" s="6" t="n">
        <v>30566</v>
      </c>
      <c r="G28" s="6" t="n">
        <v>32017</v>
      </c>
      <c r="H28" s="6" t="n">
        <v>39730</v>
      </c>
      <c r="I28" s="6" t="n">
        <v>37444</v>
      </c>
    </row>
    <row r="29">
      <c r="A29" t="inlineStr">
        <is>
          <t>Scientific Research Enterprises</t>
        </is>
      </c>
      <c r="B29" t="inlineStr">
        <is>
          <t>—</t>
        </is>
      </c>
      <c r="C29" t="inlineStr">
        <is>
          <t>—</t>
        </is>
      </c>
      <c r="D29" t="inlineStr">
        <is>
          <t>—</t>
        </is>
      </c>
      <c r="E29" s="6" t="n">
        <v>2166</v>
      </c>
      <c r="F29" s="6" t="n">
        <v>4849</v>
      </c>
      <c r="G29" s="6" t="n">
        <v>6668</v>
      </c>
      <c r="H29" s="6" t="n">
        <v>6433</v>
      </c>
      <c r="I29" s="6" t="n">
        <v>7108</v>
      </c>
    </row>
    <row r="30">
      <c r="A30" t="inlineStr">
        <is>
          <t>Govt. Officials Mutual Relief</t>
        </is>
      </c>
      <c r="B30" t="inlineStr">
        <is>
          <t>—</t>
        </is>
      </c>
      <c r="C30" t="inlineStr">
        <is>
          <t>—</t>
        </is>
      </c>
      <c r="D30" t="inlineStr">
        <is>
          <t>—</t>
        </is>
      </c>
      <c r="E30" s="6" t="n">
        <v>1407</v>
      </c>
      <c r="F30" s="6" t="n">
        <v>2094</v>
      </c>
      <c r="G30" s="6" t="n">
        <v>4886</v>
      </c>
      <c r="H30" s="6" t="n">
        <v>7148</v>
      </c>
      <c r="I30" s="6" t="n">
        <v>10162</v>
      </c>
    </row>
    <row r="31">
      <c r="A31" t="inlineStr">
        <is>
          <t>Army Cloth Depot</t>
        </is>
      </c>
      <c r="B31" s="6" t="n">
        <v>1914</v>
      </c>
      <c r="C31" s="6" t="n">
        <v>3576</v>
      </c>
      <c r="D31" s="6" t="n">
        <v>4758</v>
      </c>
      <c r="E31" s="6" t="n">
        <v>7480</v>
      </c>
      <c r="F31" s="6" t="n">
        <v>8668</v>
      </c>
      <c r="G31" t="inlineStr">
        <is>
          <t>—</t>
        </is>
      </c>
      <c r="H31" t="inlineStr">
        <is>
          <t>—</t>
        </is>
      </c>
      <c r="I31" t="inlineStr">
        <is>
          <t>—</t>
        </is>
      </c>
    </row>
    <row r="32">
      <c r="A32" t="inlineStr">
        <is>
          <t>Arsenal</t>
        </is>
      </c>
      <c r="B32" s="6" t="n">
        <v>1281</v>
      </c>
      <c r="C32" s="6" t="n">
        <v>2444</v>
      </c>
      <c r="D32" s="6" t="n">
        <v>3300</v>
      </c>
      <c r="E32" s="6" t="n">
        <v>12329</v>
      </c>
      <c r="F32" s="6" t="n">
        <v>15723</v>
      </c>
      <c r="G32" s="6" t="n">
        <v>12240</v>
      </c>
      <c r="H32" s="6" t="n">
        <v>16480</v>
      </c>
      <c r="I32" s="6" t="n">
        <v>17085</v>
      </c>
    </row>
    <row r="33">
      <c r="A33" t="inlineStr">
        <is>
          <t>Army Supplies Depot</t>
        </is>
      </c>
      <c r="B33" t="inlineStr">
        <is>
          <t>—</t>
        </is>
      </c>
      <c r="C33" t="inlineStr">
        <is>
          <t>—</t>
        </is>
      </c>
      <c r="D33" t="inlineStr">
        <is>
          <t>—</t>
        </is>
      </c>
      <c r="E33" t="inlineStr">
        <is>
          <t>—</t>
        </is>
      </c>
      <c r="F33" t="inlineStr">
        <is>
          <t>—</t>
        </is>
      </c>
      <c r="G33" s="6" t="n">
        <v>15606</v>
      </c>
      <c r="H33" s="6" t="n">
        <v>11600</v>
      </c>
      <c r="I33" s="6" t="n">
        <v>13800</v>
      </c>
    </row>
    <row r="34">
      <c r="A34" t="inlineStr">
        <is>
          <t>Horse Race</t>
        </is>
      </c>
      <c r="B34" t="inlineStr">
        <is>
          <t>—</t>
        </is>
      </c>
      <c r="C34" t="inlineStr">
        <is>
          <t>—</t>
        </is>
      </c>
      <c r="D34" s="6" t="n">
        <v>1311</v>
      </c>
      <c r="E34" s="6" t="n">
        <v>2302</v>
      </c>
      <c r="F34" s="6" t="n">
        <v>2866</v>
      </c>
      <c r="G34" s="6" t="n">
        <v>2931</v>
      </c>
      <c r="H34" s="6" t="n">
        <v>3360</v>
      </c>
      <c r="I34" s="6" t="n">
        <v>3985</v>
      </c>
    </row>
    <row r="35">
      <c r="A35" t="inlineStr">
        <is>
          <t>Monopoly Bureau</t>
        </is>
      </c>
      <c r="B35" t="inlineStr">
        <is>
          <t>—</t>
        </is>
      </c>
      <c r="C35" t="inlineStr">
        <is>
          <t>—</t>
        </is>
      </c>
      <c r="D35" s="6" t="n">
        <v>78890</v>
      </c>
      <c r="E35" s="6" t="n">
        <v>122778</v>
      </c>
      <c r="F35" s="6" t="n">
        <v>139536</v>
      </c>
      <c r="G35" s="6" t="n">
        <v>335076</v>
      </c>
      <c r="H35" s="6" t="n">
        <v>333949</v>
      </c>
      <c r="I35" s="6" t="n">
        <v>276814</v>
      </c>
    </row>
    <row r="36">
      <c r="A36" t="inlineStr">
        <is>
          <t>Salt Administration</t>
        </is>
      </c>
      <c r="B36" s="6" t="n">
        <v>5880</v>
      </c>
      <c r="C36" s="6" t="n">
        <v>15419</v>
      </c>
      <c r="D36" t="inlineStr"/>
      <c r="E36" t="inlineStr"/>
      <c r="F36" t="inlineStr"/>
      <c r="G36" t="inlineStr"/>
      <c r="H36" t="inlineStr"/>
      <c r="I36" t="inlineStr"/>
    </row>
    <row r="37">
      <c r="A37" t="inlineStr">
        <is>
          <t>Monopoly Enterprises</t>
        </is>
      </c>
      <c r="B37" t="inlineStr">
        <is>
          <t>—</t>
        </is>
      </c>
      <c r="C37" t="inlineStr">
        <is>
          <t>—</t>
        </is>
      </c>
      <c r="D37" t="inlineStr"/>
      <c r="E37" t="inlineStr"/>
      <c r="F37" t="inlineStr"/>
      <c r="G37" t="inlineStr"/>
      <c r="H37" t="inlineStr"/>
      <c r="I37" t="inlineStr"/>
    </row>
    <row r="38">
      <c r="A38" t="inlineStr">
        <is>
          <t>Opium</t>
        </is>
      </c>
      <c r="B38" s="6" t="n">
        <v>18968</v>
      </c>
      <c r="C38" s="6" t="n">
        <v>28232</v>
      </c>
      <c r="D38" t="inlineStr"/>
      <c r="E38" t="inlineStr"/>
      <c r="F38" t="inlineStr"/>
      <c r="G38" t="inlineStr"/>
      <c r="H38" t="inlineStr"/>
      <c r="I38" t="inlineStr"/>
    </row>
    <row r="39">
      <c r="A39" t="inlineStr">
        <is>
          <t>Oils</t>
        </is>
      </c>
      <c r="B39" s="6" t="n">
        <v>5640</v>
      </c>
      <c r="C39" s="6" t="n">
        <v>17024</v>
      </c>
      <c r="D39" t="inlineStr"/>
      <c r="E39" t="inlineStr"/>
      <c r="F39" t="inlineStr"/>
      <c r="G39" t="inlineStr"/>
      <c r="H39" t="inlineStr"/>
      <c r="I39" t="inlineStr"/>
    </row>
    <row r="40">
      <c r="A40" t="inlineStr">
        <is>
          <t>Opium Eradication</t>
        </is>
      </c>
      <c r="B40" t="inlineStr">
        <is>
          <t>—</t>
        </is>
      </c>
      <c r="C40" t="inlineStr">
        <is>
          <t>—</t>
        </is>
      </c>
      <c r="D40" t="inlineStr">
        <is>
          <t>—</t>
        </is>
      </c>
      <c r="E40" t="inlineStr">
        <is>
          <t>—</t>
        </is>
      </c>
      <c r="F40" t="inlineStr">
        <is>
          <t>—</t>
        </is>
      </c>
      <c r="G40" s="6" t="n">
        <v>101104</v>
      </c>
      <c r="H40" s="6" t="n">
        <v>87867</v>
      </c>
      <c r="I40" s="6" t="n">
        <v>79452</v>
      </c>
    </row>
    <row r="41">
      <c r="A41" t="inlineStr">
        <is>
          <t>Colonization</t>
        </is>
      </c>
      <c r="B41" t="inlineStr">
        <is>
          <t>—</t>
        </is>
      </c>
      <c r="C41" t="inlineStr">
        <is>
          <t>—</t>
        </is>
      </c>
      <c r="D41" t="inlineStr">
        <is>
          <t>—</t>
        </is>
      </c>
      <c r="E41" t="inlineStr">
        <is>
          <t>—</t>
        </is>
      </c>
      <c r="F41" s="6" t="n">
        <v>42313</v>
      </c>
      <c r="G41" s="6" t="n">
        <v>79960</v>
      </c>
      <c r="H41" s="6" t="n">
        <v>73369</v>
      </c>
      <c r="I41" s="6" t="n">
        <v>69100</v>
      </c>
    </row>
    <row r="42">
      <c r="A42" t="inlineStr">
        <is>
          <t>Assistance for Domestic Settlers</t>
        </is>
      </c>
      <c r="B42" t="inlineStr">
        <is>
          <t>—</t>
        </is>
      </c>
      <c r="C42" t="inlineStr">
        <is>
          <t>—</t>
        </is>
      </c>
      <c r="D42" t="inlineStr">
        <is>
          <t>—</t>
        </is>
      </c>
      <c r="E42" t="inlineStr">
        <is>
          <t>—</t>
        </is>
      </c>
      <c r="F42" t="inlineStr">
        <is>
          <t>—</t>
        </is>
      </c>
      <c r="G42" t="inlineStr">
        <is>
          <t>—</t>
        </is>
      </c>
      <c r="H42" t="inlineStr">
        <is>
          <t>—</t>
        </is>
      </c>
      <c r="I42" s="6" t="n">
        <v>11030</v>
      </c>
    </row>
    <row r="43">
      <c r="A43" t="inlineStr">
        <is>
          <t>Adjustment Fund for State Properties</t>
        </is>
      </c>
      <c r="B43" s="6" t="n">
        <v>2247</v>
      </c>
      <c r="C43" s="6" t="n">
        <v>2990</v>
      </c>
      <c r="D43" s="6" t="n">
        <v>4144</v>
      </c>
      <c r="E43" s="6" t="n">
        <v>5122</v>
      </c>
      <c r="F43" s="6" t="n">
        <v>10552</v>
      </c>
      <c r="G43" s="6" t="n">
        <v>19961</v>
      </c>
      <c r="H43" s="6" t="n">
        <v>23040</v>
      </c>
      <c r="I43" s="6" t="n">
        <v>17321</v>
      </c>
    </row>
    <row r="44">
      <c r="A44" t="inlineStr">
        <is>
          <t>Investments</t>
        </is>
      </c>
      <c r="B44" s="6" t="n">
        <v>10909</v>
      </c>
      <c r="C44" s="6" t="n">
        <v>23875</v>
      </c>
      <c r="D44" s="6" t="n">
        <v>91448</v>
      </c>
      <c r="E44" s="6" t="n">
        <v>326215</v>
      </c>
      <c r="F44" s="6" t="n">
        <v>280327</v>
      </c>
      <c r="G44" s="6" t="n">
        <v>252695</v>
      </c>
      <c r="H44" s="6" t="n">
        <v>219982</v>
      </c>
      <c r="I44" s="6" t="n">
        <v>202726</v>
      </c>
    </row>
    <row r="45">
      <c r="A45" t="inlineStr">
        <is>
          <t>Railway Loans</t>
        </is>
      </c>
      <c r="B45" s="6" t="n">
        <v>32166</v>
      </c>
      <c r="C45" s="6" t="n">
        <v>50501</v>
      </c>
      <c r="D45" s="6" t="n">
        <v>48709</v>
      </c>
      <c r="E45" s="6" t="n">
        <v>14778</v>
      </c>
      <c r="F45" s="6" t="n">
        <v>8280</v>
      </c>
      <c r="G45" s="6" t="n">
        <v>10352</v>
      </c>
      <c r="H45" t="inlineStr">
        <is>
          <t>—</t>
        </is>
      </c>
      <c r="I45" t="inlineStr">
        <is>
          <t>—</t>
        </is>
      </c>
    </row>
    <row r="46">
      <c r="A46" t="inlineStr">
        <is>
          <t>State Forestry Enterprise</t>
        </is>
      </c>
      <c r="B46" t="inlineStr">
        <is>
          <t>—</t>
        </is>
      </c>
      <c r="C46" s="6" t="n">
        <v>9161</v>
      </c>
      <c r="D46" s="6" t="n">
        <v>14113</v>
      </c>
      <c r="E46" s="6" t="n">
        <v>24443</v>
      </c>
      <c r="F46" s="6" t="n">
        <v>74251</v>
      </c>
      <c r="G46" s="6" t="n">
        <v>112087</v>
      </c>
      <c r="H46" s="6" t="n">
        <v>119846</v>
      </c>
      <c r="I46" s="6" t="n">
        <v>93504</v>
      </c>
    </row>
    <row r="47">
      <c r="A47" t="inlineStr">
        <is>
          <t>Gold Ore Refining</t>
        </is>
      </c>
      <c r="B47" t="inlineStr">
        <is>
          <t>—</t>
        </is>
      </c>
      <c r="C47" s="9" t="n">
        <v>87</v>
      </c>
      <c r="D47" s="6" t="n">
        <v>1500</v>
      </c>
      <c r="E47" s="6" t="n">
        <v>5388</v>
      </c>
      <c r="F47" t="inlineStr">
        <is>
          <t>—</t>
        </is>
      </c>
      <c r="G47" t="inlineStr">
        <is>
          <t>—</t>
        </is>
      </c>
      <c r="H47" t="inlineStr">
        <is>
          <t>—</t>
        </is>
      </c>
      <c r="I47" t="inlineStr">
        <is>
          <t>—</t>
        </is>
      </c>
    </row>
    <row r="48">
      <c r="A48" t="inlineStr">
        <is>
          <t>Postal Administration</t>
        </is>
      </c>
      <c r="B48" s="6" t="n">
        <v>2054</v>
      </c>
      <c r="C48" s="6" t="n">
        <v>5024</v>
      </c>
      <c r="D48" s="6" t="n">
        <v>5898</v>
      </c>
      <c r="E48" s="6" t="n">
        <v>12025</v>
      </c>
      <c r="F48" s="6" t="n">
        <v>14825</v>
      </c>
      <c r="G48" s="6" t="n">
        <v>26283</v>
      </c>
      <c r="H48" s="6" t="n">
        <v>33800</v>
      </c>
      <c r="I48" s="6" t="n">
        <v>40707</v>
      </c>
    </row>
    <row r="49">
      <c r="A49" t="inlineStr">
        <is>
          <t>P.O. Life Insurance</t>
        </is>
      </c>
      <c r="B49" t="inlineStr">
        <is>
          <t>—</t>
        </is>
      </c>
      <c r="C49" t="inlineStr">
        <is>
          <t>—</t>
        </is>
      </c>
      <c r="D49" t="inlineStr">
        <is>
          <t>—</t>
        </is>
      </c>
      <c r="E49" s="9" t="n">
        <v>631</v>
      </c>
      <c r="F49" s="6" t="n">
        <v>1393</v>
      </c>
      <c r="G49" s="6" t="n">
        <v>3825</v>
      </c>
      <c r="H49" s="6" t="n">
        <v>4994</v>
      </c>
      <c r="I49" s="6" t="n">
        <v>7101</v>
      </c>
    </row>
    <row r="50">
      <c r="A50" t="inlineStr">
        <is>
          <t>River Improvement &amp; Irrigation Enterprises</t>
        </is>
      </c>
      <c r="B50" t="inlineStr">
        <is>
          <t>—</t>
        </is>
      </c>
      <c r="C50" t="inlineStr">
        <is>
          <t>—</t>
        </is>
      </c>
      <c r="D50" t="inlineStr">
        <is>
          <t>—</t>
        </is>
      </c>
      <c r="E50" s="6" t="n">
        <v>1800</v>
      </c>
      <c r="F50" s="6" t="n">
        <v>4968</v>
      </c>
      <c r="G50" s="6" t="n">
        <v>5534</v>
      </c>
      <c r="H50" s="6" t="n">
        <v>4000</v>
      </c>
      <c r="I50" s="6" t="n">
        <v>4101</v>
      </c>
    </row>
    <row r="51">
      <c r="A51" t="inlineStr">
        <is>
          <t>Prisons</t>
        </is>
      </c>
      <c r="B51" t="inlineStr">
        <is>
          <t>—</t>
        </is>
      </c>
      <c r="C51" t="inlineStr">
        <is>
          <t>—</t>
        </is>
      </c>
      <c r="D51" s="6" t="n">
        <v>5115</v>
      </c>
      <c r="E51" s="6" t="n">
        <v>7579</v>
      </c>
      <c r="F51" s="6" t="n">
        <v>13076</v>
      </c>
      <c r="G51" s="6" t="n">
        <v>18763</v>
      </c>
      <c r="H51" s="6" t="n">
        <v>22253</v>
      </c>
      <c r="I51" s="6" t="n">
        <v>26229</v>
      </c>
    </row>
    <row r="52">
      <c r="A52" t="inlineStr">
        <is>
          <t>Tatung Harbour Construction</t>
        </is>
      </c>
      <c r="B52" t="inlineStr">
        <is>
          <t>—</t>
        </is>
      </c>
      <c r="C52" t="inlineStr">
        <is>
          <t>—</t>
        </is>
      </c>
      <c r="D52" t="inlineStr">
        <is>
          <t>—</t>
        </is>
      </c>
      <c r="E52" t="inlineStr">
        <is>
          <t>—</t>
        </is>
      </c>
      <c r="F52" t="inlineStr">
        <is>
          <t>—</t>
        </is>
      </c>
      <c r="G52" s="6" t="n">
        <v>14342</v>
      </c>
      <c r="H52" s="6" t="n">
        <v>9498</v>
      </c>
      <c r="I52" s="6" t="n">
        <v>11500</v>
      </c>
    </row>
    <row r="53">
      <c r="A53" t="inlineStr">
        <is>
          <t>Grand Total</t>
        </is>
      </c>
      <c r="B53" s="6" t="n">
        <v>90771</v>
      </c>
      <c r="C53" s="6" t="n">
        <v>174901</v>
      </c>
      <c r="D53" s="6" t="n">
        <v>506086</v>
      </c>
      <c r="E53" s="6" t="n">
        <v>1088573</v>
      </c>
      <c r="F53" s="6" t="n">
        <v>1288262</v>
      </c>
      <c r="G53" s="6" t="n">
        <v>1927475</v>
      </c>
      <c r="H53" s="6" t="n">
        <v>1758175</v>
      </c>
      <c r="I53" s="6" t="n">
        <v>1657000</v>
      </c>
    </row>
    <row r="55">
      <c r="A55" s="2" t="inlineStr">
        <is>
          <t>Footnotes</t>
        </is>
      </c>
    </row>
    <row r="56">
      <c r="A56" t="inlineStr">
        <is>
          <t>Note: * Budget estimates, exclusive of supplementary budgets. As the result of changes in the administrative system enacted since July 1, 1937, the principal organs of the Civil Dept. and the Educational Dept. were abolished and incorporated into the Dept. of People's Welfare. Several other changes were also effected. These consisted of the transformation of Finance to the Dept. of Economics, and the Dept. of Mongolian Administration to the Hsingan Office.</t>
        </is>
      </c>
    </row>
    <row r="57">
      <c r="A57" t="inlineStr">
        <is>
          <t>† The fiscal year 1935 covers the six months only from July to December 31, a revision having been effected in 1936 to correspond the fiscal year with the calendar year.</t>
        </is>
      </c>
    </row>
    <row r="59">
      <c r="A59" s="2" t="inlineStr">
        <is>
          <t>Transcriber's notes</t>
        </is>
      </c>
    </row>
    <row r="60">
      <c r="A60" t="inlineStr">
        <is>
          <t>Part (A) rows Imp. Household to Agricultural Development on p.208; Communications, Justice, Grand Total on p.209 (with repeated year headings).</t>
        </is>
      </c>
    </row>
    <row r="61">
      <c r="A61" t="inlineStr">
        <is>
          <t>(A) 1942 '%' column for the p.208 rows (Imp. Household to Agricultural Development) is hidden in the binding gutter — cells left blank. 1942 amounts on p.208 are printed at the gutter edge but legible.</t>
        </is>
      </c>
    </row>
    <row r="62">
      <c r="A62" t="inlineStr">
        <is>
          <t>(A) 'Industry' row: '(abolished 1940)' printed across the 1940-1941 columns; 'Agricultural Development' row: '(established 1940)' printed across the 1938-1939 columns. Placed in the first cell of the span, other cells of the span empty.</t>
        </is>
      </c>
    </row>
    <row r="63">
      <c r="A63" t="inlineStr">
        <is>
          <t>(B) Rows Monopoly Bureau, Salt Administration, Monopoly Enterprises, Opium, Oils are joined by a brace to a single figure per year for 1937*-1942* (78,890 ... 276,814), printed opposite 'Monopoly Enterprises'; recorded here on the 'Monopoly Bureau' row (first row of the brace) with the other braced rows empty for 1937-1942. 1935 and 1936 figures are per row.</t>
        </is>
      </c>
    </row>
    <row r="64">
      <c r="A64" t="inlineStr">
        <is>
          <t>(B) Fifth row stub is printed as a dash ('— ........'); presumably Northern Districts Development (cf. Table 2(B)) but transcribed as printed.</t>
        </is>
      </c>
    </row>
    <row r="65">
      <c r="A65" t="inlineStr">
        <is>
          <t>(B) rows Redemption Fund to Gold Ore Refining on p.209; continuation '(Continued)' Postal Administration to Grand Total on p.210. p.210's 1942* column is printed into the gutter; values read on a zoomed crop (40,707; 7,101; 4,101; 26,229; 11,500; 1,657,000) — legible though compressed.</t>
        </is>
      </c>
    </row>
    <row r="66">
      <c r="A66" t="inlineStr">
        <is>
          <t>(B) 1942 Grand Total 1,657,000 agrees with Table 1(B) Special Account 1942 (1,657,000).</t>
        </is>
      </c>
    </row>
    <row r="67">
      <c r="A67" t="inlineStr">
        <is>
          <t>(A) 1938: Grand Total 304,555: listed depts sum to 304,555 — reconciles</t>
        </is>
      </c>
    </row>
    <row r="68">
      <c r="A68" t="inlineStr">
        <is>
          <t>(A) 1938: % column of listed depts sums to 99.98 vs 100.00</t>
        </is>
      </c>
    </row>
    <row r="69">
      <c r="A69" t="inlineStr">
        <is>
          <t>(A) 1939: Grand Total 403,378: listed depts sum to 403,438 — does NOT reconcile (diff +60)</t>
        </is>
      </c>
    </row>
    <row r="70">
      <c r="A70" t="inlineStr">
        <is>
          <t>(A) 1939: % column of listed depts sums to 101.15 vs 100.00</t>
        </is>
      </c>
    </row>
    <row r="71">
      <c r="A71" t="inlineStr">
        <is>
          <t>(A) 1940: Grand Total 573,555: listed depts sum to 573,554 — does NOT reconcile (diff -1)</t>
        </is>
      </c>
    </row>
    <row r="72">
      <c r="A72" t="inlineStr">
        <is>
          <t>(A) 1940: % column of listed depts sums to 100.00 vs 100.00</t>
        </is>
      </c>
    </row>
    <row r="73">
      <c r="A73" t="inlineStr">
        <is>
          <t>(A) 1941: Grand Total 649,220: listed depts sum to 649,214 — does NOT reconcile (diff -6)</t>
        </is>
      </c>
    </row>
    <row r="74">
      <c r="A74" t="inlineStr">
        <is>
          <t>(A) 1941: % column of listed depts sums to 100.01 vs 100.00</t>
        </is>
      </c>
    </row>
    <row r="75">
      <c r="A75" t="inlineStr">
        <is>
          <t>(A) 1942: Grand Total 823,400: listed depts sum to 823,398 — does NOT reconcile (diff -2)</t>
        </is>
      </c>
    </row>
    <row r="76">
      <c r="A76" t="inlineStr">
        <is>
          <t>(B) 1935†: Grand Total 90,771: parts sum to 90,771 — reconciles</t>
        </is>
      </c>
    </row>
    <row r="77">
      <c r="A77" t="inlineStr">
        <is>
          <t>(B) 1936: Grand Total 174,901: parts sum to 174,091 — does NOT reconcile (diff -810)</t>
        </is>
      </c>
    </row>
    <row r="78">
      <c r="A78" t="inlineStr">
        <is>
          <t>(B) 1937*: Grand Total 506,086: parts sum to 506,086 — reconciles</t>
        </is>
      </c>
    </row>
    <row r="79">
      <c r="A79" t="inlineStr">
        <is>
          <t>(B) 1938*: Grand Total 1,088,573: parts sum to 1,061,572 — does NOT reconcile (diff -27,001)</t>
        </is>
      </c>
    </row>
    <row r="80">
      <c r="A80" t="inlineStr">
        <is>
          <t>(B) 1939*: Grand Total 1,288,262: parts sum to 1,288,261 — does NOT reconcile (diff -1)</t>
        </is>
      </c>
    </row>
    <row r="81">
      <c r="A81" t="inlineStr">
        <is>
          <t>(B) 1940*: Grand Total 1,927,475: parts sum to 1,913,722 — does NOT reconcile (diff -13,753)</t>
        </is>
      </c>
    </row>
    <row r="82">
      <c r="A82" t="inlineStr">
        <is>
          <t>(B) 1941*: Grand Total 1,758,175: parts sum to 1,746,829 — does NOT reconcile (diff -11,346)</t>
        </is>
      </c>
    </row>
    <row r="83">
      <c r="A83" t="inlineStr">
        <is>
          <t>(B) 1942*: Grand Total 1,657,000: parts sum to 1,656,985 — does NOT reconcile (diff -15)</t>
        </is>
      </c>
    </row>
    <row r="84">
      <c r="A84" t="inlineStr">
        <is>
          <t>(A) 1939 discrepancy (+60, % sum 101.15): Industry 1939 printed 20,879 with 6.59% (20,879 is 5.18% of 403,378); cells re-read, transcribed as printed.</t>
        </is>
      </c>
    </row>
    <row r="85">
      <c r="A85" t="inlineStr">
        <is>
          <t>(B) 1938 discrepancy (-27,001): Redemption Fund of Nation Loans 1938 printed 69,940 (re-read on zoomed crop); Table 2(B) revenue gives 96,940 for the same fund — a digit transposition in the source would account for 27,000 of the gap. Not corrected.</t>
        </is>
      </c>
    </row>
    <row r="86">
      <c r="A86" t="inlineStr">
        <is>
          <t>(B) 1936 (-810), 1940 (-13,753), 1941 (-11,346), 1942 (-15), 1939 (-1): cells re-read once; transcribed as printed.</t>
        </is>
      </c>
    </row>
  </sheetData>
  <hyperlinks>
    <hyperlink xmlns:r="http://schemas.openxmlformats.org/officeDocument/2006/relationships" ref="A4" r:id="rId1"/>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National Loans &amp; Borrowings Outstanding</t>
        </is>
      </c>
    </row>
    <row r="2">
      <c r="A2" t="inlineStr">
        <is>
          <t>State Finance · printed pp. 211</t>
        </is>
      </c>
    </row>
    <row r="3">
      <c r="A3" t="inlineStr">
        <is>
          <t>(M¥1,000)</t>
        </is>
      </c>
    </row>
    <row r="4">
      <c r="A4" s="3" t="inlineStr">
        <is>
          <t>← Contents</t>
        </is>
      </c>
    </row>
    <row r="6">
      <c r="A6" s="5" t="inlineStr">
        <is>
          <t>Date</t>
        </is>
      </c>
      <c r="B6" s="5" t="inlineStr">
        <is>
          <t>Bonds — Internal</t>
        </is>
      </c>
      <c r="C6" s="5" t="inlineStr">
        <is>
          <t>Bonds — External</t>
        </is>
      </c>
      <c r="D6" s="5" t="inlineStr">
        <is>
          <t>Bonds — Total</t>
        </is>
      </c>
      <c r="E6" s="5" t="inlineStr">
        <is>
          <t>Borrowings — Internal</t>
        </is>
      </c>
      <c r="F6" s="5" t="inlineStr">
        <is>
          <t>Borrowings — External</t>
        </is>
      </c>
      <c r="G6" s="5" t="inlineStr">
        <is>
          <t>Borrowings — Total</t>
        </is>
      </c>
      <c r="H6" s="5" t="inlineStr">
        <is>
          <t>Grand Total</t>
        </is>
      </c>
    </row>
    <row r="7">
      <c r="A7" t="inlineStr">
        <is>
          <t>1936 (Dec.)</t>
        </is>
      </c>
      <c r="B7" s="6" t="n">
        <v>92675</v>
      </c>
      <c r="C7" s="6" t="n">
        <v>154000</v>
      </c>
      <c r="D7" s="6" t="n">
        <v>246675</v>
      </c>
      <c r="E7" s="6" t="n">
        <v>61700</v>
      </c>
      <c r="F7" s="6" t="n">
        <v>16100</v>
      </c>
      <c r="G7" s="6" t="n">
        <v>77800</v>
      </c>
      <c r="H7" s="6" t="n">
        <v>324475</v>
      </c>
    </row>
    <row r="8">
      <c r="A8" t="inlineStr">
        <is>
          <t>1937 (June)</t>
        </is>
      </c>
      <c r="B8" s="6" t="n">
        <v>118175</v>
      </c>
      <c r="C8" s="6" t="n">
        <v>179000</v>
      </c>
      <c r="D8" s="6" t="n">
        <v>297175</v>
      </c>
      <c r="E8" s="6" t="n">
        <v>42500</v>
      </c>
      <c r="F8" s="6" t="n">
        <v>14100</v>
      </c>
      <c r="G8" s="6" t="n">
        <v>56600</v>
      </c>
      <c r="H8" s="6" t="n">
        <v>353775</v>
      </c>
    </row>
    <row r="9">
      <c r="A9" t="inlineStr">
        <is>
          <t>1938 (June)</t>
        </is>
      </c>
      <c r="B9" s="6" t="n">
        <v>298175</v>
      </c>
      <c r="C9" s="6" t="n">
        <v>243000</v>
      </c>
      <c r="D9" s="6" t="n">
        <v>541175</v>
      </c>
      <c r="E9" s="6" t="n">
        <v>62555</v>
      </c>
      <c r="F9" s="6" t="n">
        <v>14000</v>
      </c>
      <c r="G9" s="6" t="n">
        <v>76553</v>
      </c>
      <c r="H9" s="6" t="n">
        <v>617730</v>
      </c>
    </row>
    <row r="10">
      <c r="A10" t="inlineStr">
        <is>
          <t>1938 (Dec.)</t>
        </is>
      </c>
      <c r="B10" s="6" t="n">
        <v>348175</v>
      </c>
      <c r="C10" s="6" t="n">
        <v>334250</v>
      </c>
      <c r="D10" s="6" t="n">
        <v>682425</v>
      </c>
      <c r="E10" s="6" t="n">
        <v>164493</v>
      </c>
      <c r="F10" s="6" t="n">
        <v>12000</v>
      </c>
      <c r="G10" s="6" t="n">
        <v>176493</v>
      </c>
      <c r="H10" s="6" t="n">
        <v>858918</v>
      </c>
    </row>
    <row r="11">
      <c r="A11" t="inlineStr">
        <is>
          <t>1939 (Dec.)</t>
        </is>
      </c>
      <c r="B11" s="6" t="n">
        <v>454175</v>
      </c>
      <c r="C11" s="6" t="n">
        <v>407900</v>
      </c>
      <c r="D11" s="6" t="n">
        <v>862075</v>
      </c>
      <c r="E11" s="6" t="n">
        <v>445086</v>
      </c>
      <c r="F11" s="6" t="n">
        <v>10000</v>
      </c>
      <c r="G11" s="6" t="n">
        <v>455086</v>
      </c>
      <c r="H11" s="6" t="n">
        <v>1317161</v>
      </c>
    </row>
    <row r="12">
      <c r="A12" t="inlineStr">
        <is>
          <t>1940 (Dec.)</t>
        </is>
      </c>
      <c r="B12" s="6" t="n">
        <v>991665</v>
      </c>
      <c r="C12" s="6" t="n">
        <v>624459</v>
      </c>
      <c r="D12" s="6" t="n">
        <v>1616124</v>
      </c>
      <c r="E12" s="6" t="n">
        <v>98335</v>
      </c>
      <c r="F12" s="6" t="n">
        <v>11807</v>
      </c>
      <c r="G12" s="6" t="n">
        <v>110142</v>
      </c>
      <c r="H12" s="6" t="n">
        <v>1726267</v>
      </c>
    </row>
    <row r="13">
      <c r="A13" t="inlineStr">
        <is>
          <t>1941 (Mar.)</t>
        </is>
      </c>
      <c r="B13" s="6" t="n">
        <v>981665</v>
      </c>
      <c r="C13" s="6" t="n">
        <v>714009</v>
      </c>
      <c r="D13" s="6" t="n">
        <v>1695674</v>
      </c>
      <c r="E13" s="6" t="n">
        <v>144795</v>
      </c>
      <c r="F13" s="6" t="n">
        <v>11172</v>
      </c>
      <c r="G13" s="6" t="n">
        <v>155968</v>
      </c>
      <c r="H13" s="6" t="n">
        <v>1851063</v>
      </c>
    </row>
    <row r="15">
      <c r="A15" s="2" t="inlineStr">
        <is>
          <t>Transcriber's notes</t>
        </is>
      </c>
    </row>
    <row r="16">
      <c r="A16" t="inlineStr">
        <is>
          <t>1936 (Dec.): Bonds Total, Borrowings Total, Grand Total all reconcile</t>
        </is>
      </c>
    </row>
    <row r="17">
      <c r="A17" t="inlineStr">
        <is>
          <t>1937 (June): Bonds Total, Borrowings Total, Grand Total all reconcile</t>
        </is>
      </c>
    </row>
    <row r="18">
      <c r="A18" t="inlineStr">
        <is>
          <t>1938 (June): Bonds Total, Borrowings Total, Grand Total do NOT all reconcile — Borrowings 76,555 vs 76,553; Grand 617,728 vs 617,730</t>
        </is>
      </c>
    </row>
    <row r="19">
      <c r="A19" t="inlineStr">
        <is>
          <t>1938 (Dec.): Bonds Total, Borrowings Total, Grand Total all reconcile</t>
        </is>
      </c>
    </row>
    <row r="20">
      <c r="A20" t="inlineStr">
        <is>
          <t>1939 (Dec.): Bonds Total, Borrowings Total, Grand Total all reconcile</t>
        </is>
      </c>
    </row>
    <row r="21">
      <c r="A21" t="inlineStr">
        <is>
          <t>1940 (Dec.): Bonds Total, Borrowings Total, Grand Total do NOT all reconcile — Grand 1,726,266 vs 1,726,267</t>
        </is>
      </c>
    </row>
    <row r="22">
      <c r="A22" t="inlineStr">
        <is>
          <t>1941 (Mar.): Bonds Total, Borrowings Total, Grand Total do NOT all reconcile — Borrowings 155,967 vs 155,968; Grand 1,851,642 vs 1,851,063</t>
        </is>
      </c>
    </row>
    <row r="23">
      <c r="A23" t="inlineStr">
        <is>
          <t>Non-reconciling cells (1938 June, 1940 Dec., 1941 Mar.) re-read on zoomed crops; transcribed as printed. 1941 (Mar.) Grand Total 1,851,063 differs from 1,695,674+155,968 = 1,851,642 by 579.</t>
        </is>
      </c>
    </row>
  </sheetData>
  <hyperlinks>
    <hyperlink xmlns:r="http://schemas.openxmlformats.org/officeDocument/2006/relationships" ref="A4" r:id="rId1"/>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Details of Outstanding National Loans</t>
        </is>
      </c>
    </row>
    <row r="2">
      <c r="A2" t="inlineStr">
        <is>
          <t>State Finance · printed pp. 211, 212</t>
        </is>
      </c>
    </row>
    <row r="3">
      <c r="A3" t="inlineStr">
        <is>
          <t>(End of 1940) (Unit: M¥1,000)</t>
        </is>
      </c>
    </row>
    <row r="4">
      <c r="A4" s="3" t="inlineStr">
        <is>
          <t>← Contents</t>
        </is>
      </c>
    </row>
    <row r="6">
      <c r="A6" s="2" t="inlineStr">
        <is>
          <t>(A) General Account</t>
        </is>
      </c>
    </row>
    <row r="7">
      <c r="A7" s="5" t="inlineStr">
        <is>
          <t>Loan</t>
        </is>
      </c>
      <c r="B7" s="5" t="inlineStr">
        <is>
          <t>Rate</t>
        </is>
      </c>
      <c r="C7" s="5" t="inlineStr">
        <is>
          <t>Date Issued</t>
        </is>
      </c>
      <c r="D7" s="5" t="inlineStr">
        <is>
          <t>Amount</t>
        </is>
      </c>
      <c r="E7" s="5" t="inlineStr">
        <is>
          <t>Outstanding</t>
        </is>
      </c>
      <c r="F7" s="5" t="inlineStr">
        <is>
          <t>Date of Redemption</t>
        </is>
      </c>
    </row>
    <row r="8">
      <c r="A8" t="inlineStr">
        <is>
          <t>Central Bank of Manchou</t>
        </is>
      </c>
      <c r="B8" t="inlineStr">
        <is>
          <t>5%</t>
        </is>
      </c>
      <c r="C8" t="inlineStr">
        <is>
          <t>Apr. 26, '33</t>
        </is>
      </c>
      <c r="D8" s="6" t="n">
        <v>33000</v>
      </c>
      <c r="E8" s="6" t="n">
        <v>33000</v>
      </c>
      <c r="F8" t="inlineStr">
        <is>
          <t>Apr. 25, '43</t>
        </is>
      </c>
    </row>
    <row r="9">
      <c r="A9" t="inlineStr">
        <is>
          <t>Old Regime Debts Readjustment</t>
        </is>
      </c>
      <c r="B9" t="inlineStr">
        <is>
          <t>3%</t>
        </is>
      </c>
      <c r="C9" t="inlineStr">
        <is>
          <t>Sept. 27, '33</t>
        </is>
      </c>
      <c r="D9" s="6" t="n">
        <v>5998</v>
      </c>
      <c r="E9" s="6" t="n">
        <v>5998</v>
      </c>
      <c r="F9" t="inlineStr">
        <is>
          <t>June 30, '53</t>
        </is>
      </c>
    </row>
    <row r="10">
      <c r="A10" t="inlineStr">
        <is>
          <t>Custom Officers Betterment</t>
        </is>
      </c>
      <c r="B10" t="inlineStr">
        <is>
          <t>5%</t>
        </is>
      </c>
      <c r="C10" t="inlineStr">
        <is>
          <t>Apr. 30, '34</t>
        </is>
      </c>
      <c r="D10" s="6" t="n">
        <v>3599</v>
      </c>
      <c r="E10" s="6" t="n">
        <v>3599</v>
      </c>
      <c r="F10" t="inlineStr">
        <is>
          <t>Apr. 30, '44</t>
        </is>
      </c>
    </row>
    <row r="11">
      <c r="A11" t="inlineStr">
        <is>
          <t>State Foundation Grant</t>
        </is>
      </c>
      <c r="B11" t="inlineStr">
        <is>
          <t>5%</t>
        </is>
      </c>
      <c r="C11" t="inlineStr">
        <is>
          <t>July 3, '35</t>
        </is>
      </c>
      <c r="D11" s="6" t="n">
        <v>8150</v>
      </c>
      <c r="E11" s="6" t="n">
        <v>8150</v>
      </c>
      <c r="F11" t="inlineStr">
        <is>
          <t>July 3, '60</t>
        </is>
      </c>
    </row>
    <row r="12">
      <c r="A12" t="inlineStr">
        <is>
          <t>Readjustment (1st)</t>
        </is>
      </c>
      <c r="B12" t="inlineStr">
        <is>
          <t>4%</t>
        </is>
      </c>
      <c r="C12" t="inlineStr">
        <is>
          <t>Nov. 20, '36</t>
        </is>
      </c>
      <c r="D12" s="6" t="n">
        <v>1624</v>
      </c>
      <c r="E12" s="6" t="n">
        <v>1624</v>
      </c>
      <c r="F12" t="inlineStr">
        <is>
          <t>Nov. 20, '46</t>
        </is>
      </c>
    </row>
    <row r="13">
      <c r="A13" t="inlineStr">
        <is>
          <t>" (2nd)</t>
        </is>
      </c>
      <c r="B13" t="inlineStr">
        <is>
          <t>4%</t>
        </is>
      </c>
      <c r="C13" t="inlineStr">
        <is>
          <t>May 15, '37</t>
        </is>
      </c>
      <c r="D13" s="6" t="n">
        <v>18021</v>
      </c>
      <c r="E13" s="6" t="n">
        <v>18021</v>
      </c>
      <c r="F13" t="inlineStr">
        <is>
          <t>May 15, '47</t>
        </is>
      </c>
    </row>
    <row r="14">
      <c r="A14" t="inlineStr">
        <is>
          <t>Imperial Property Loans</t>
        </is>
      </c>
      <c r="B14" t="inlineStr">
        <is>
          <t>4%</t>
        </is>
      </c>
      <c r="C14" t="inlineStr">
        <is>
          <t>Apr. 1, '37</t>
        </is>
      </c>
      <c r="D14" s="6" t="n">
        <v>5500</v>
      </c>
      <c r="E14" s="6" t="n">
        <v>5000</v>
      </c>
      <c r="F14" t="inlineStr">
        <is>
          <t>Apr. 1, '87</t>
        </is>
      </c>
    </row>
    <row r="15">
      <c r="A15" t="inlineStr">
        <is>
          <t>Former Mongol Monarch</t>
        </is>
      </c>
      <c r="B15" t="inlineStr">
        <is>
          <t>4%</t>
        </is>
      </c>
      <c r="C15" t="inlineStr">
        <is>
          <t>Jan. 1, '39</t>
        </is>
      </c>
      <c r="D15" s="6" t="n">
        <v>6000</v>
      </c>
      <c r="E15" s="6" t="n">
        <v>6000</v>
      </c>
      <c r="F15" t="inlineStr">
        <is>
          <t>Dec. 31, '88</t>
        </is>
      </c>
    </row>
    <row r="16">
      <c r="A16" t="inlineStr">
        <is>
          <t>" (2nd)</t>
        </is>
      </c>
      <c r="B16" t="inlineStr">
        <is>
          <t>4%</t>
        </is>
      </c>
      <c r="C16" t="inlineStr">
        <is>
          <t>Jan. 1, '40</t>
        </is>
      </c>
      <c r="D16" s="6" t="n">
        <v>2490</v>
      </c>
      <c r="E16" s="6" t="n">
        <v>2490</v>
      </c>
      <c r="F16" t="inlineStr">
        <is>
          <t>Dec. 31, '89</t>
        </is>
      </c>
    </row>
    <row r="17">
      <c r="A17" t="inlineStr">
        <is>
          <t>Industry</t>
        </is>
      </c>
      <c r="B17" t="inlineStr">
        <is>
          <t>4%</t>
        </is>
      </c>
      <c r="C17" t="inlineStr">
        <is>
          <t>Apr. 14, '40</t>
        </is>
      </c>
      <c r="D17" s="6" t="n">
        <v>30000</v>
      </c>
      <c r="E17" s="6" t="n">
        <v>30000</v>
      </c>
      <c r="F17" t="inlineStr">
        <is>
          <t>Apr. 15, '60</t>
        </is>
      </c>
    </row>
    <row r="18">
      <c r="A18" t="inlineStr">
        <is>
          <t>Total</t>
        </is>
      </c>
      <c r="B18" t="inlineStr">
        <is>
          <t>—</t>
        </is>
      </c>
      <c r="C18" t="inlineStr">
        <is>
          <t>—</t>
        </is>
      </c>
      <c r="D18" s="6" t="n">
        <v>234382</v>
      </c>
      <c r="E18" s="6" t="n">
        <v>234382</v>
      </c>
      <c r="F18" t="inlineStr">
        <is>
          <t>—</t>
        </is>
      </c>
    </row>
    <row r="20">
      <c r="A20" s="2" t="inlineStr">
        <is>
          <t>(B) Special Account</t>
        </is>
      </c>
    </row>
    <row r="21">
      <c r="A21" s="5" t="inlineStr">
        <is>
          <t>Loan</t>
        </is>
      </c>
      <c r="B21" s="5" t="inlineStr">
        <is>
          <t>Rate %</t>
        </is>
      </c>
      <c r="C21" s="5" t="inlineStr">
        <is>
          <t>Date Issued</t>
        </is>
      </c>
      <c r="D21" s="5" t="inlineStr">
        <is>
          <t>Amount</t>
        </is>
      </c>
      <c r="E21" s="5" t="inlineStr">
        <is>
          <t>Outstanding</t>
        </is>
      </c>
      <c r="F21" s="5" t="inlineStr">
        <is>
          <t>Redemption</t>
        </is>
      </c>
    </row>
    <row r="22">
      <c r="A22" t="inlineStr">
        <is>
          <t>Szucheng Ry. Loan</t>
        </is>
      </c>
      <c r="B22" s="9" t="n">
        <v>5</v>
      </c>
      <c r="C22" t="inlineStr">
        <is>
          <t>Dec. 17, '15</t>
        </is>
      </c>
      <c r="D22" s="6" t="n">
        <v>5000</v>
      </c>
      <c r="E22" s="6" t="n">
        <v>3559</v>
      </c>
      <c r="F22" t="inlineStr">
        <is>
          <t>May 1, '56</t>
        </is>
      </c>
    </row>
    <row r="23">
      <c r="A23" t="inlineStr">
        <is>
          <t>3 Rys. Purchase Loan</t>
        </is>
      </c>
      <c r="B23" s="9" t="n">
        <v>6</v>
      </c>
      <c r="C23" t="inlineStr">
        <is>
          <t>Dec. 26, '33</t>
        </is>
      </c>
      <c r="D23" s="6" t="n">
        <v>11928</v>
      </c>
      <c r="E23" s="6" t="n">
        <v>11928</v>
      </c>
      <c r="F23" t="inlineStr">
        <is>
          <t>Dec. 1, '83</t>
        </is>
      </c>
    </row>
    <row r="24">
      <c r="A24" t="inlineStr">
        <is>
          <t>1st Investment (¥)</t>
        </is>
      </c>
      <c r="B24" s="9" t="n">
        <v>4</v>
      </c>
      <c r="C24" t="inlineStr">
        <is>
          <t>Aug. 20, '34</t>
        </is>
      </c>
      <c r="D24" t="inlineStr">
        <is>
          <t>¥10,000</t>
        </is>
      </c>
      <c r="E24" s="6" t="n">
        <v>8800</v>
      </c>
      <c r="F24" t="inlineStr">
        <is>
          <t>Aug. 20, '47</t>
        </is>
      </c>
    </row>
    <row r="25">
      <c r="A25" t="inlineStr">
        <is>
          <t>1st N. Manchuria Ry. (¥)</t>
        </is>
      </c>
      <c r="B25" s="9" t="n">
        <v>4</v>
      </c>
      <c r="C25" t="inlineStr">
        <is>
          <t>Apr. 25, '35</t>
        </is>
      </c>
      <c r="D25" s="6" t="n">
        <v>30000</v>
      </c>
      <c r="E25" s="6" t="n">
        <v>29550</v>
      </c>
      <c r="F25" t="inlineStr">
        <is>
          <t>Apr. 25, '45</t>
        </is>
      </c>
    </row>
    <row r="26">
      <c r="A26" t="inlineStr">
        <is>
          <t>2nd M. Manchuria Ry. (¥)</t>
        </is>
      </c>
      <c r="B26" s="9" t="n">
        <v>4</v>
      </c>
      <c r="C26" t="inlineStr">
        <is>
          <t>Aug. 15, '35</t>
        </is>
      </c>
      <c r="D26" s="6" t="n">
        <v>30000</v>
      </c>
      <c r="E26" s="6" t="n">
        <v>26700</v>
      </c>
      <c r="F26" t="inlineStr">
        <is>
          <t>Aug. 15, '45</t>
        </is>
      </c>
    </row>
    <row r="27">
      <c r="A27" t="inlineStr">
        <is>
          <t>3rd N. Manchuria Ry. (¥)</t>
        </is>
      </c>
      <c r="B27" s="9" t="n">
        <v>4</v>
      </c>
      <c r="C27" t="inlineStr">
        <is>
          <t>Feb. 5, '36</t>
        </is>
      </c>
      <c r="D27" s="6" t="n">
        <v>30000</v>
      </c>
      <c r="E27" s="6" t="n">
        <v>29850</v>
      </c>
      <c r="F27" t="inlineStr">
        <is>
          <t>Feb. 5, '46</t>
        </is>
      </c>
    </row>
    <row r="28">
      <c r="A28" t="inlineStr">
        <is>
          <t>4th N. Manchuria Ry. (¥)</t>
        </is>
      </c>
      <c r="B28" s="9" t="n">
        <v>4</v>
      </c>
      <c r="C28" t="inlineStr">
        <is>
          <t>Aug. 1. '36</t>
        </is>
      </c>
      <c r="D28" s="6" t="n">
        <v>30000</v>
      </c>
      <c r="E28" s="6" t="n">
        <v>30000</v>
      </c>
      <c r="F28" t="inlineStr">
        <is>
          <t>Aug. 1, '46</t>
        </is>
      </c>
    </row>
    <row r="29">
      <c r="A29" t="inlineStr">
        <is>
          <t>Adjustment (1st)</t>
        </is>
      </c>
      <c r="B29" s="9" t="n">
        <v>4</v>
      </c>
      <c r="C29" t="inlineStr">
        <is>
          <t>Nov. 20, '36</t>
        </is>
      </c>
      <c r="D29" s="6" t="n">
        <v>28376</v>
      </c>
      <c r="E29" s="6" t="n">
        <v>28376</v>
      </c>
      <c r="F29" t="inlineStr">
        <is>
          <t>Nov. 11, '46</t>
        </is>
      </c>
    </row>
    <row r="30">
      <c r="A30" t="inlineStr">
        <is>
          <t>1st Industrial (¥)</t>
        </is>
      </c>
      <c r="B30" s="9" t="n">
        <v>4</v>
      </c>
      <c r="C30" t="inlineStr">
        <is>
          <t>Aug. 23, '37</t>
        </is>
      </c>
      <c r="D30" s="6" t="n">
        <v>25000</v>
      </c>
      <c r="E30" s="6" t="n">
        <v>25000</v>
      </c>
      <c r="F30" t="inlineStr">
        <is>
          <t>Feb. 1, '47</t>
        </is>
      </c>
    </row>
    <row r="31">
      <c r="A31" t="inlineStr">
        <is>
          <t>Adjustment (2nd)</t>
        </is>
      </c>
      <c r="B31" s="9" t="n">
        <v>4</v>
      </c>
      <c r="C31" t="inlineStr">
        <is>
          <t>May 15, '37</t>
        </is>
      </c>
      <c r="D31" s="6" t="n">
        <v>1979</v>
      </c>
      <c r="E31" s="6" t="n">
        <v>1979</v>
      </c>
      <c r="F31" t="inlineStr">
        <is>
          <t>May 5, '47</t>
        </is>
      </c>
    </row>
    <row r="32">
      <c r="A32" t="inlineStr">
        <is>
          <t>2nd Industrial (¥)</t>
        </is>
      </c>
      <c r="B32" s="9" t="n">
        <v>4</v>
      </c>
      <c r="C32" t="inlineStr">
        <is>
          <t>Aug. 23, '37</t>
        </is>
      </c>
      <c r="D32" s="6" t="n">
        <v>20000</v>
      </c>
      <c r="E32" s="6" t="n">
        <v>20000</v>
      </c>
      <c r="F32" t="inlineStr">
        <is>
          <t>Aug. 1, '47</t>
        </is>
      </c>
    </row>
    <row r="33">
      <c r="A33" t="inlineStr">
        <is>
          <t>2nd Investment (3rd)</t>
        </is>
      </c>
      <c r="B33" s="9" t="n">
        <v>4</v>
      </c>
      <c r="C33" t="inlineStr">
        <is>
          <t>Dec. 4, '37</t>
        </is>
      </c>
      <c r="D33" s="6" t="n">
        <v>80000</v>
      </c>
      <c r="E33" s="6" t="n">
        <v>80000</v>
      </c>
      <c r="F33" t="inlineStr">
        <is>
          <t>Dec. 1, '47</t>
        </is>
      </c>
    </row>
    <row r="34">
      <c r="A34" t="inlineStr">
        <is>
          <t>3rd Investment (4th)</t>
        </is>
      </c>
      <c r="B34" s="9" t="n">
        <v>4</v>
      </c>
      <c r="C34" t="inlineStr">
        <is>
          <t>Mar. 2, '38</t>
        </is>
      </c>
      <c r="D34" s="6" t="n">
        <v>100000</v>
      </c>
      <c r="E34" s="6" t="n">
        <v>100000</v>
      </c>
      <c r="F34" t="inlineStr">
        <is>
          <t>Mar. 2, '48</t>
        </is>
      </c>
    </row>
    <row r="35">
      <c r="A35" t="inlineStr">
        <is>
          <t>4th Investment (5th)</t>
        </is>
      </c>
      <c r="B35" s="9" t="n">
        <v>4</v>
      </c>
      <c r="C35" t="inlineStr">
        <is>
          <t>Dec. 27, '38</t>
        </is>
      </c>
      <c r="D35" s="6" t="n">
        <v>50000</v>
      </c>
      <c r="E35" s="6" t="n">
        <v>50000</v>
      </c>
      <c r="F35" t="inlineStr">
        <is>
          <t>Dec. 27, '48</t>
        </is>
      </c>
    </row>
    <row r="36">
      <c r="A36" t="inlineStr">
        <is>
          <t>1st Investment (¥)</t>
        </is>
      </c>
      <c r="B36" s="9" t="n">
        <v>4</v>
      </c>
      <c r="C36" t="inlineStr">
        <is>
          <t>Feb. 15, '39</t>
        </is>
      </c>
      <c r="D36" s="6" t="n">
        <v>50000</v>
      </c>
      <c r="E36" s="6" t="n">
        <v>50000</v>
      </c>
      <c r="F36" t="inlineStr">
        <is>
          <t>Feb. 15, '51</t>
        </is>
      </c>
    </row>
    <row r="37">
      <c r="A37" t="inlineStr">
        <is>
          <t>1st Hydro Electric (¥)</t>
        </is>
      </c>
      <c r="B37" s="9" t="n">
        <v>4</v>
      </c>
      <c r="C37" t="inlineStr">
        <is>
          <t>Apr. 10, '39</t>
        </is>
      </c>
      <c r="D37" s="6" t="n">
        <v>50000</v>
      </c>
      <c r="E37" s="6" t="n">
        <v>50000</v>
      </c>
      <c r="F37" t="inlineStr">
        <is>
          <t>Oct. 10, '51</t>
        </is>
      </c>
    </row>
    <row r="38">
      <c r="A38" t="inlineStr">
        <is>
          <t>2nd Investment (1st) (¥)</t>
        </is>
      </c>
      <c r="B38" s="9" t="n">
        <v>4</v>
      </c>
      <c r="C38" t="inlineStr">
        <is>
          <t>Apr. 20, '39</t>
        </is>
      </c>
      <c r="D38" s="6" t="n">
        <v>50000</v>
      </c>
      <c r="E38" s="6" t="n">
        <v>50000</v>
      </c>
      <c r="F38" t="inlineStr">
        <is>
          <t>Apr. 20, '51</t>
        </is>
      </c>
    </row>
    <row r="39">
      <c r="A39" t="inlineStr">
        <is>
          <t>3rd Investment (1st) (¥)</t>
        </is>
      </c>
      <c r="B39" s="9" t="n">
        <v>4</v>
      </c>
      <c r="C39" t="inlineStr">
        <is>
          <t>Dec. 20, '39</t>
        </is>
      </c>
      <c r="D39" s="6" t="n">
        <v>50000</v>
      </c>
      <c r="E39" s="6" t="n">
        <v>50000</v>
      </c>
      <c r="F39" t="inlineStr">
        <is>
          <t>Jan. 15, '53</t>
        </is>
      </c>
    </row>
    <row r="40">
      <c r="A40" t="inlineStr">
        <is>
          <t>4th Investment (1st) (¥)</t>
        </is>
      </c>
      <c r="B40" s="9" t="n">
        <v>4</v>
      </c>
      <c r="C40" t="inlineStr">
        <is>
          <t>May 25, '39</t>
        </is>
      </c>
      <c r="D40" s="6" t="n">
        <v>50000</v>
      </c>
      <c r="E40" s="6" t="n">
        <v>50000</v>
      </c>
      <c r="F40" t="inlineStr">
        <is>
          <t>May 25, '55</t>
        </is>
      </c>
    </row>
    <row r="41">
      <c r="A41" t="inlineStr">
        <is>
          <t>5th Investment (6th)</t>
        </is>
      </c>
      <c r="B41" s="9" t="n">
        <v>4</v>
      </c>
      <c r="C41" t="inlineStr">
        <is>
          <t>Dec. 20, '39</t>
        </is>
      </c>
      <c r="D41" s="6" t="n">
        <v>100000</v>
      </c>
      <c r="E41" s="6" t="n">
        <v>100000</v>
      </c>
      <c r="F41" t="inlineStr">
        <is>
          <t>Dec. 20, '49</t>
        </is>
      </c>
    </row>
    <row r="42">
      <c r="A42" t="inlineStr">
        <is>
          <t>6th Investment (7th)</t>
        </is>
      </c>
      <c r="B42" s="9" t="n">
        <v>4</v>
      </c>
      <c r="C42" t="inlineStr">
        <is>
          <t>June 20, '40</t>
        </is>
      </c>
      <c r="D42" s="6" t="n">
        <v>50000</v>
      </c>
      <c r="E42" s="6" t="n">
        <v>50000</v>
      </c>
      <c r="F42" t="inlineStr">
        <is>
          <t>July 20, '50</t>
        </is>
      </c>
    </row>
    <row r="43">
      <c r="A43" t="inlineStr">
        <is>
          <t>7th Investment (10th)</t>
        </is>
      </c>
      <c r="B43" s="9" t="n">
        <v>4</v>
      </c>
      <c r="C43" t="inlineStr">
        <is>
          <t>July 25, '40</t>
        </is>
      </c>
      <c r="D43" s="6" t="n">
        <v>20000</v>
      </c>
      <c r="E43" s="6" t="n">
        <v>20000</v>
      </c>
      <c r="F43" t="inlineStr">
        <is>
          <t>July 25, '50</t>
        </is>
      </c>
    </row>
    <row r="44">
      <c r="A44" t="inlineStr">
        <is>
          <t>4th Investment (2nd) (¥)</t>
        </is>
      </c>
      <c r="B44" s="9" t="n">
        <v>4</v>
      </c>
      <c r="C44" t="inlineStr">
        <is>
          <t>July 25, '40</t>
        </is>
      </c>
      <c r="D44" s="6" t="n">
        <v>50000</v>
      </c>
      <c r="E44" s="6" t="n">
        <v>50000</v>
      </c>
      <c r="F44" t="inlineStr">
        <is>
          <t>July 25, '55</t>
        </is>
      </c>
    </row>
    <row r="45">
      <c r="A45" t="inlineStr">
        <is>
          <t>5th Adjustment (11th)</t>
        </is>
      </c>
      <c r="B45" s="9" t="n">
        <v>4</v>
      </c>
      <c r="C45" t="inlineStr">
        <is>
          <t>Aug. 26, '40</t>
        </is>
      </c>
      <c r="D45" s="6" t="n">
        <v>65000</v>
      </c>
      <c r="E45" s="6" t="n">
        <v>65000</v>
      </c>
      <c r="F45" t="inlineStr">
        <is>
          <t>Aug. 26, '50</t>
        </is>
      </c>
    </row>
    <row r="46">
      <c r="A46" t="inlineStr">
        <is>
          <t>5th Investment (1st) (¥)</t>
        </is>
      </c>
      <c r="B46" s="9" t="n">
        <v>4</v>
      </c>
      <c r="C46" t="inlineStr">
        <is>
          <t>Oct. 5, '40</t>
        </is>
      </c>
      <c r="D46" s="6" t="n">
        <v>50000</v>
      </c>
      <c r="E46" s="6" t="n">
        <v>50000</v>
      </c>
      <c r="F46" t="inlineStr">
        <is>
          <t>Oct. 15, '55</t>
        </is>
      </c>
    </row>
    <row r="47">
      <c r="A47" t="inlineStr">
        <is>
          <t>1st Tungpientao (12th)</t>
        </is>
      </c>
      <c r="B47" s="9" t="n">
        <v>4</v>
      </c>
      <c r="C47" t="inlineStr">
        <is>
          <t>Oct. 10, '40</t>
        </is>
      </c>
      <c r="D47" s="6" t="n">
        <v>60000</v>
      </c>
      <c r="E47" s="6" t="n">
        <v>60000</v>
      </c>
      <c r="F47" t="inlineStr">
        <is>
          <t>Oct. 10, '50</t>
        </is>
      </c>
    </row>
    <row r="48">
      <c r="A48" t="inlineStr">
        <is>
          <t>5th Investment (2nd) (¥)</t>
        </is>
      </c>
      <c r="B48" s="9" t="n">
        <v>4</v>
      </c>
      <c r="C48" t="inlineStr">
        <is>
          <t>Dec. 5, '40</t>
        </is>
      </c>
      <c r="D48" s="6" t="n">
        <v>50000</v>
      </c>
      <c r="E48" s="6" t="n">
        <v>50000</v>
      </c>
      <c r="F48" t="inlineStr">
        <is>
          <t>Dec. 5, '55</t>
        </is>
      </c>
    </row>
    <row r="49">
      <c r="A49" t="inlineStr">
        <is>
          <t>1st Land Dev'mt (13th)</t>
        </is>
      </c>
      <c r="B49" s="9" t="n">
        <v>4</v>
      </c>
      <c r="C49" t="inlineStr">
        <is>
          <t>Dec. 5, '40</t>
        </is>
      </c>
      <c r="D49" s="6" t="n">
        <v>65000</v>
      </c>
      <c r="E49" s="6" t="n">
        <v>65000</v>
      </c>
      <c r="F49" t="inlineStr">
        <is>
          <t>Dec. 5, '50</t>
        </is>
      </c>
    </row>
    <row r="50">
      <c r="A50" t="inlineStr">
        <is>
          <t>1st Hydro Electric (14th)</t>
        </is>
      </c>
      <c r="B50" s="9" t="n">
        <v>4</v>
      </c>
      <c r="C50" t="inlineStr">
        <is>
          <t>Dec. 16, '40</t>
        </is>
      </c>
      <c r="D50" s="6" t="n">
        <v>30000</v>
      </c>
      <c r="E50" s="6" t="n">
        <v>30000</v>
      </c>
      <c r="F50" t="inlineStr">
        <is>
          <t>Dec. 16, '50</t>
        </is>
      </c>
    </row>
    <row r="51">
      <c r="A51" t="inlineStr">
        <is>
          <t>2nd Land Dev'mt (15th)</t>
        </is>
      </c>
      <c r="B51" s="9" t="n">
        <v>4</v>
      </c>
      <c r="C51" t="inlineStr">
        <is>
          <t>Dec. 20, '40</t>
        </is>
      </c>
      <c r="D51" s="6" t="n">
        <v>60000</v>
      </c>
      <c r="E51" s="6" t="n">
        <v>60000</v>
      </c>
      <c r="F51" t="inlineStr">
        <is>
          <t>Dec. 20, '50</t>
        </is>
      </c>
    </row>
    <row r="52">
      <c r="A52" t="inlineStr">
        <is>
          <t>8th Investment (16th)</t>
        </is>
      </c>
      <c r="B52" s="9" t="n">
        <v>4</v>
      </c>
      <c r="C52" t="inlineStr">
        <is>
          <t>Dec. 25, '40</t>
        </is>
      </c>
      <c r="D52" s="6" t="n">
        <v>35000</v>
      </c>
      <c r="E52" s="6" t="n">
        <v>35000</v>
      </c>
      <c r="F52" t="inlineStr">
        <is>
          <t>Dec. 25, '50</t>
        </is>
      </c>
    </row>
    <row r="53">
      <c r="A53" t="inlineStr">
        <is>
          <t>Total</t>
        </is>
      </c>
      <c r="B53" t="inlineStr"/>
      <c r="C53" t="inlineStr">
        <is>
          <t>—</t>
        </is>
      </c>
      <c r="D53" s="6" t="n">
        <v>1387283</v>
      </c>
      <c r="E53" s="6" t="n">
        <v>1381742</v>
      </c>
      <c r="F53" t="inlineStr">
        <is>
          <t>—</t>
        </is>
      </c>
    </row>
    <row r="55">
      <c r="A55" s="2" t="inlineStr">
        <is>
          <t>Footnotes</t>
        </is>
      </c>
    </row>
    <row r="56">
      <c r="A56" t="inlineStr">
        <is>
          <t>Note: (¥) represents Japanese Currency</t>
        </is>
      </c>
    </row>
    <row r="58">
      <c r="A58" s="2" t="inlineStr">
        <is>
          <t>Transcriber's notes</t>
        </is>
      </c>
    </row>
    <row r="59">
      <c r="A59" t="inlineStr">
        <is>
          <t>Part (A) on p.211 (IMG_5563 right page); part (B) on p.212 (IMG_5564 left page).</t>
        </is>
      </c>
    </row>
    <row r="60">
      <c r="A60" t="inlineStr">
        <is>
          <t>Ditto marks (") in the stub transcribed as a straight double quote.</t>
        </is>
      </c>
    </row>
    <row r="61">
      <c r="A61" t="inlineStr">
        <is>
          <t>(B) Rate column headed 'Rate: %'; (A) rate printed with % sign. In (B) the Total row's Rate cell is blank as printed.</t>
        </is>
      </c>
    </row>
    <row r="62">
      <c r="A62" t="inlineStr">
        <is>
          <t>(B) '4th N. Manchuria Ry.' date issued printed 'Aug. 1. '36' (period, not comma) — transcribed as printed.</t>
        </is>
      </c>
    </row>
    <row r="63">
      <c r="A63" t="inlineStr">
        <is>
          <t>(A) Amount Total 234,382: parts sum to 114,382 — does NOT reconcile (diff -120,000)</t>
        </is>
      </c>
    </row>
    <row r="64">
      <c r="A64" t="inlineStr">
        <is>
          <t>(A) Outstanding Total 234,382: parts sum to 113,882 — does NOT reconcile (diff -120,500)</t>
        </is>
      </c>
    </row>
    <row r="65">
      <c r="A65" t="inlineStr">
        <is>
          <t>(B) Amount Total 1,387,283: parts sum to 1,337,283 — does NOT reconcile (diff -50,000)</t>
        </is>
      </c>
    </row>
    <row r="66">
      <c r="A66" t="inlineStr">
        <is>
          <t>(B) Outstanding Total 1,381,742: parts sum to 1,330,742 — does NOT reconcile (diff -51,000)</t>
        </is>
      </c>
    </row>
    <row r="67">
      <c r="A67" t="inlineStr">
        <is>
          <t>(A) Imperial Property Loans: Amount 5,500 vs Outstanding 5,000 as printed (all other (A) rows have Amount = Outstanding). The text on p.210 says general-account bonds totalled 234,000,000 yuan, consistent with the printed Total, so the listed rows appear incomplete or misprinted; cells re-read, not corrected.</t>
        </is>
      </c>
    </row>
    <row r="68">
      <c r="A68" t="inlineStr">
        <is>
          <t>Non-reconciling Totals: all Amount/Outstanding cells re-read once; transcribed as printed. (B) gaps of exactly 50,000 / 51,000 suggest an omitted row or misprint in the source.</t>
        </is>
      </c>
    </row>
  </sheetData>
  <hyperlinks>
    <hyperlink xmlns:r="http://schemas.openxmlformats.org/officeDocument/2006/relationships" ref="A4" r:id="rId1"/>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Revenue from Customs</t>
        </is>
      </c>
    </row>
    <row r="2">
      <c r="A2" t="inlineStr">
        <is>
          <t>State Finance · printed pp. 225</t>
        </is>
      </c>
    </row>
    <row r="3">
      <c r="A3" t="inlineStr">
        <is>
          <t>(In M¥1,000)</t>
        </is>
      </c>
    </row>
    <row r="4">
      <c r="A4" s="3" t="inlineStr">
        <is>
          <t>← Contents</t>
        </is>
      </c>
    </row>
    <row r="6">
      <c r="A6" s="5" t="inlineStr">
        <is>
          <t>Year</t>
        </is>
      </c>
      <c r="B6" s="5" t="inlineStr">
        <is>
          <t>Import Duty</t>
        </is>
      </c>
      <c r="C6" s="5" t="inlineStr">
        <is>
          <t>Export Duty</t>
        </is>
      </c>
      <c r="D6" s="5" t="inlineStr">
        <is>
          <t>Re-export Duty</t>
        </is>
      </c>
      <c r="E6" s="5" t="inlineStr">
        <is>
          <t>Special Relief Duty</t>
        </is>
      </c>
      <c r="F6" s="5" t="inlineStr">
        <is>
          <t>Tonnage Dues</t>
        </is>
      </c>
      <c r="G6" s="5" t="inlineStr">
        <is>
          <t>Total incl. Others</t>
        </is>
      </c>
    </row>
    <row r="7">
      <c r="A7" s="9" t="n">
        <v>1932</v>
      </c>
      <c r="B7" s="6" t="n">
        <v>25493</v>
      </c>
      <c r="C7" s="6" t="n">
        <v>11942</v>
      </c>
      <c r="D7" s="6" t="n">
        <v>2491</v>
      </c>
      <c r="E7" s="6" t="n">
        <v>2052</v>
      </c>
      <c r="F7" t="inlineStr">
        <is>
          <t>—</t>
        </is>
      </c>
      <c r="G7" s="6" t="n">
        <v>51949</v>
      </c>
    </row>
    <row r="8">
      <c r="A8" s="9" t="n">
        <v>1933</v>
      </c>
      <c r="B8" s="6" t="n">
        <v>57260</v>
      </c>
      <c r="C8" s="6" t="n">
        <v>13776</v>
      </c>
      <c r="D8" s="6" t="n">
        <v>1054</v>
      </c>
      <c r="E8" s="6" t="n">
        <v>2936</v>
      </c>
      <c r="F8" t="inlineStr">
        <is>
          <t>—</t>
        </is>
      </c>
      <c r="G8" s="6" t="n">
        <v>75026</v>
      </c>
    </row>
    <row r="9">
      <c r="A9" s="9" t="n">
        <v>1934</v>
      </c>
      <c r="B9" s="6" t="n">
        <v>69861</v>
      </c>
      <c r="C9" s="6" t="n">
        <v>12261</v>
      </c>
      <c r="D9" s="9" t="n">
        <v>965</v>
      </c>
      <c r="E9" s="6" t="n">
        <v>3149</v>
      </c>
      <c r="F9" t="inlineStr">
        <is>
          <t>—</t>
        </is>
      </c>
      <c r="G9" s="6" t="n">
        <v>86227</v>
      </c>
    </row>
    <row r="10">
      <c r="A10" t="inlineStr">
        <is>
          <t>(July-Dec.)</t>
        </is>
      </c>
      <c r="B10" s="6" t="n">
        <v>38592</v>
      </c>
      <c r="C10" s="6" t="n">
        <v>6175</v>
      </c>
      <c r="D10" s="9" t="n">
        <v>7</v>
      </c>
      <c r="E10" s="6" t="n">
        <v>1568</v>
      </c>
      <c r="F10" s="9" t="n">
        <v>213</v>
      </c>
      <c r="G10" s="6" t="n">
        <v>43384</v>
      </c>
    </row>
    <row r="11">
      <c r="A11" s="9" t="n">
        <v>1936</v>
      </c>
      <c r="B11" s="6" t="n">
        <v>69085</v>
      </c>
      <c r="C11" s="6" t="n">
        <v>12051</v>
      </c>
      <c r="D11" s="9" t="n">
        <v>213</v>
      </c>
      <c r="E11" s="6" t="n">
        <v>2925</v>
      </c>
      <c r="F11" s="9" t="n">
        <v>67</v>
      </c>
      <c r="G11" s="6" t="n">
        <v>93228</v>
      </c>
    </row>
    <row r="12">
      <c r="A12" t="inlineStr">
        <is>
          <t>1937 (Budget Estimate)</t>
        </is>
      </c>
      <c r="B12" s="6" t="n">
        <v>72827</v>
      </c>
      <c r="C12" s="6" t="n">
        <v>13351</v>
      </c>
      <c r="D12" s="9" t="n">
        <v>213</v>
      </c>
      <c r="E12" s="6" t="n">
        <v>3198</v>
      </c>
      <c r="F12" s="9" t="n">
        <v>69</v>
      </c>
      <c r="G12" s="6" t="n">
        <v>89589</v>
      </c>
    </row>
    <row r="13">
      <c r="A13" t="inlineStr">
        <is>
          <t>1938 ( " " )</t>
        </is>
      </c>
      <c r="B13" s="6" t="n">
        <v>85156</v>
      </c>
      <c r="C13" s="6" t="n">
        <v>10769</v>
      </c>
      <c r="D13" s="9" t="n">
        <v>474</v>
      </c>
      <c r="E13" t="inlineStr">
        <is>
          <t>—</t>
        </is>
      </c>
      <c r="F13" s="9" t="n">
        <v>49</v>
      </c>
      <c r="G13" s="6" t="n">
        <v>96398</v>
      </c>
    </row>
    <row r="14">
      <c r="A14" t="inlineStr">
        <is>
          <t>1939 ( " " )</t>
        </is>
      </c>
      <c r="B14" s="6" t="n">
        <v>95144</v>
      </c>
      <c r="C14" s="6" t="n">
        <v>11729</v>
      </c>
      <c r="D14" s="9" t="n">
        <v>632</v>
      </c>
      <c r="E14" t="inlineStr">
        <is>
          <t>—</t>
        </is>
      </c>
      <c r="F14" s="9" t="n">
        <v>46</v>
      </c>
      <c r="G14" s="6" t="n">
        <v>107511</v>
      </c>
    </row>
    <row r="15">
      <c r="A15" t="inlineStr">
        <is>
          <t>1940 ( " " )</t>
        </is>
      </c>
      <c r="B15" s="6" t="n">
        <v>160959</v>
      </c>
      <c r="C15" s="6" t="n">
        <v>10203</v>
      </c>
      <c r="D15" s="9" t="n">
        <v>698</v>
      </c>
      <c r="E15" t="inlineStr">
        <is>
          <t>—</t>
        </is>
      </c>
      <c r="F15" s="9" t="n">
        <v>47</v>
      </c>
      <c r="G15" s="6" t="n">
        <v>171907</v>
      </c>
    </row>
    <row r="17">
      <c r="A17" s="2" t="inlineStr">
        <is>
          <t>Transcriber's notes</t>
        </is>
      </c>
    </row>
    <row r="18">
      <c r="A18" t="inlineStr">
        <is>
          <t>Row stubs are printed slightly below their figures (each label sits a half-line lower); figures assigned to labels in sequence. The fourth row's stub is printed only as '(July-Dec.)' — the year (evidently 1935, the six-month fiscal year) is not printed.</t>
        </is>
      </c>
    </row>
    <row r="19">
      <c r="A19" t="inlineStr">
        <is>
          <t>Ditto marks under '(Budget Estimate)' transcribed as ".</t>
        </is>
      </c>
    </row>
    <row r="20">
      <c r="A20" t="inlineStr">
        <is>
          <t>1932: listed columns sum to 41,978; printed 'Total incl. Others' 51,949 — exceeds by 9,971 (others)</t>
        </is>
      </c>
    </row>
    <row r="21">
      <c r="A21" t="inlineStr">
        <is>
          <t>1933: listed columns sum to 75,026; printed 'Total incl. Others' 75,026 — equal</t>
        </is>
      </c>
    </row>
    <row r="22">
      <c r="A22" t="inlineStr">
        <is>
          <t>1934: listed columns sum to 86,236; printed 'Total incl. Others' 86,227 — LESS than listed parts by 9: does NOT reconcile</t>
        </is>
      </c>
    </row>
    <row r="23">
      <c r="A23" t="inlineStr">
        <is>
          <t>(July-Dec.): listed columns sum to 46,555; printed 'Total incl. Others' 43,384 — LESS than listed parts by 3,171: does NOT reconcile</t>
        </is>
      </c>
    </row>
    <row r="24">
      <c r="A24" t="inlineStr">
        <is>
          <t>1936: listed columns sum to 84,341; printed 'Total incl. Others' 93,228 — exceeds by 8,887 (others)</t>
        </is>
      </c>
    </row>
    <row r="25">
      <c r="A25" t="inlineStr">
        <is>
          <t>1937 (Budget Estimate): listed columns sum to 89,658; printed 'Total incl. Others' 89,589 — LESS than listed parts by 69: does NOT reconcile</t>
        </is>
      </c>
    </row>
    <row r="26">
      <c r="A26" t="inlineStr">
        <is>
          <t>1938 ( " " ): listed columns sum to 96,448; printed 'Total incl. Others' 96,398 — LESS than listed parts by 50: does NOT reconcile</t>
        </is>
      </c>
    </row>
    <row r="27">
      <c r="A27" t="inlineStr">
        <is>
          <t>1939 ( " " ): listed columns sum to 107,551; printed 'Total incl. Others' 107,511 — LESS than listed parts by 40: does NOT reconcile</t>
        </is>
      </c>
    </row>
    <row r="28">
      <c r="A28" t="inlineStr">
        <is>
          <t>1940 ( " " ): listed columns sum to 171,907; printed 'Total incl. Others' 171,907 — equal</t>
        </is>
      </c>
    </row>
    <row r="29">
      <c r="A29" t="inlineStr">
        <is>
          <t>Cross-check with Table 2(A) customs rows (informational): Import/Export duties agree for 1937-1940; Table 2 'Total incl. others' 89,658 / 96,448 / 107,551 / 171,907 (1937-40) vs Table 7 89,589 / 96,398 / 107,511 / 171,907. Leader dots confirm row alignment; all non-reconciling cells re-read once.</t>
        </is>
      </c>
    </row>
  </sheetData>
  <hyperlinks>
    <hyperlink xmlns:r="http://schemas.openxmlformats.org/officeDocument/2006/relationships" ref="A4"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O9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Deposits &amp; Loans of Financing Organs in Manchoukuo</t>
        </is>
      </c>
    </row>
    <row r="2">
      <c r="A2" t="inlineStr">
        <is>
          <t>Banking and Currency · printed pp. 242, 243</t>
        </is>
      </c>
    </row>
    <row r="3">
      <c r="A3" s="3" t="inlineStr">
        <is>
          <t>← Contents</t>
        </is>
      </c>
    </row>
    <row r="5">
      <c r="A5" s="2" t="inlineStr">
        <is>
          <t>(A) Deposits (¥1,000)</t>
        </is>
      </c>
    </row>
    <row r="6">
      <c r="A6" s="5" t="inlineStr">
        <is>
          <t>End of</t>
        </is>
      </c>
      <c r="B6" s="5" t="inlineStr">
        <is>
          <t>Central Bk. of Manchou</t>
        </is>
      </c>
      <c r="C6" s="5" t="inlineStr">
        <is>
          <t>Ind. Bk. of Manchou</t>
        </is>
      </c>
      <c r="D6" s="5" t="inlineStr">
        <is>
          <t>Ordinary Bks.</t>
        </is>
      </c>
      <c r="E6" s="5" t="inlineStr">
        <is>
          <t>Japanese Bks.</t>
        </is>
      </c>
      <c r="F6" s="5" t="inlineStr">
        <is>
          <t>Chinese Bks.</t>
        </is>
      </c>
      <c r="G6" s="5" t="inlineStr">
        <is>
          <t>European Bks.</t>
        </is>
      </c>
      <c r="H6" s="5" t="inlineStr">
        <is>
          <t>All Bks.</t>
        </is>
      </c>
      <c r="I6" s="5" t="inlineStr">
        <is>
          <t>Credit Assns. — Kohno Gassakusha</t>
        </is>
      </c>
      <c r="J6" s="5" t="inlineStr">
        <is>
          <t>Credit Assns. — Shoko Kinyu Gassakusha</t>
        </is>
      </c>
      <c r="K6" s="5" t="inlineStr">
        <is>
          <t>Credit Assns. — Kinyu Kumiai</t>
        </is>
      </c>
      <c r="L6" s="5" t="inlineStr">
        <is>
          <t>Postal Savings — Manchou</t>
        </is>
      </c>
      <c r="M6" s="5" t="inlineStr">
        <is>
          <t>Postal Savings — Japanese</t>
        </is>
      </c>
      <c r="N6" s="5" t="inlineStr">
        <is>
          <t>Grand Total</t>
        </is>
      </c>
      <c r="O6" s="5" t="inlineStr">
        <is>
          <t>Indice</t>
        </is>
      </c>
    </row>
    <row r="7">
      <c r="A7" s="9" t="n">
        <v>1936</v>
      </c>
      <c r="B7" s="6" t="n">
        <v>196784</v>
      </c>
      <c r="C7" t="inlineStr">
        <is>
          <t>—</t>
        </is>
      </c>
      <c r="D7" s="6" t="n">
        <v>13042</v>
      </c>
      <c r="E7" s="6" t="n">
        <v>444249</v>
      </c>
      <c r="F7" s="6" t="n">
        <v>25918</v>
      </c>
      <c r="G7" s="6" t="n">
        <v>12447</v>
      </c>
      <c r="H7" s="6" t="n">
        <v>692440</v>
      </c>
      <c r="I7" s="6" t="n">
        <v>5783</v>
      </c>
      <c r="J7" s="6" t="n">
        <v>1630</v>
      </c>
      <c r="K7" s="6" t="n">
        <v>6938</v>
      </c>
      <c r="L7" s="6" t="n">
        <v>7107</v>
      </c>
      <c r="M7" s="6" t="n">
        <v>49670</v>
      </c>
      <c r="N7" s="6" t="n">
        <v>763568</v>
      </c>
      <c r="O7" s="8" t="n">
        <v>100</v>
      </c>
    </row>
    <row r="8">
      <c r="A8" s="9" t="n">
        <v>1937</v>
      </c>
      <c r="B8" s="6" t="n">
        <v>223637</v>
      </c>
      <c r="C8" s="6" t="n">
        <v>244270</v>
      </c>
      <c r="D8" s="6" t="n">
        <v>32676</v>
      </c>
      <c r="E8" s="6" t="n">
        <v>132785</v>
      </c>
      <c r="F8" s="6" t="n">
        <v>20183</v>
      </c>
      <c r="G8" s="6" t="n">
        <v>16234</v>
      </c>
      <c r="H8" s="6" t="n">
        <v>669785</v>
      </c>
      <c r="I8" s="6" t="n">
        <v>11138</v>
      </c>
      <c r="J8" s="6" t="n">
        <v>2120</v>
      </c>
      <c r="K8" s="6" t="n">
        <v>9818</v>
      </c>
      <c r="L8" s="6" t="n">
        <v>17304</v>
      </c>
      <c r="M8" s="6" t="n">
        <v>56836</v>
      </c>
      <c r="N8" s="6" t="n">
        <v>767001</v>
      </c>
      <c r="O8" s="8" t="n">
        <v>100.4</v>
      </c>
    </row>
    <row r="9">
      <c r="A9" s="9" t="n">
        <v>1938</v>
      </c>
      <c r="B9" s="6" t="n">
        <v>300246</v>
      </c>
      <c r="C9" s="6" t="n">
        <v>388150</v>
      </c>
      <c r="D9" s="6" t="n">
        <v>47912</v>
      </c>
      <c r="E9" s="6" t="n">
        <v>132584</v>
      </c>
      <c r="F9" s="6" t="n">
        <v>15838</v>
      </c>
      <c r="G9" s="6" t="n">
        <v>16528</v>
      </c>
      <c r="H9" s="6" t="n">
        <v>900758</v>
      </c>
      <c r="I9" s="6" t="n">
        <v>19829</v>
      </c>
      <c r="J9" s="6" t="n">
        <v>3076</v>
      </c>
      <c r="K9" s="6" t="n">
        <v>15095</v>
      </c>
      <c r="L9" s="6" t="n">
        <v>51613</v>
      </c>
      <c r="M9" s="6" t="n">
        <v>57942</v>
      </c>
      <c r="N9" s="6" t="n">
        <v>1048313</v>
      </c>
      <c r="O9" s="8" t="n">
        <v>137.3</v>
      </c>
    </row>
    <row r="10">
      <c r="A10" s="9" t="n">
        <v>1939</v>
      </c>
      <c r="B10" s="6" t="n">
        <v>593606</v>
      </c>
      <c r="C10" s="6" t="n">
        <v>568691</v>
      </c>
      <c r="D10" s="6" t="n">
        <v>101901</v>
      </c>
      <c r="E10" s="6" t="n">
        <v>202674</v>
      </c>
      <c r="F10" s="6" t="n">
        <v>17068</v>
      </c>
      <c r="G10" s="6" t="n">
        <v>20114</v>
      </c>
      <c r="H10" s="6" t="n">
        <v>1504054</v>
      </c>
      <c r="I10" s="6" t="n">
        <v>39762</v>
      </c>
      <c r="J10" s="6" t="n">
        <v>5793</v>
      </c>
      <c r="K10" s="6" t="n">
        <v>26475</v>
      </c>
      <c r="L10" s="6" t="n">
        <v>102731</v>
      </c>
      <c r="M10" s="6" t="n">
        <v>58800</v>
      </c>
      <c r="N10" s="6" t="n">
        <v>1737615</v>
      </c>
      <c r="O10" s="8" t="n">
        <v>227.6</v>
      </c>
    </row>
    <row r="11">
      <c r="A11" s="9" t="n">
        <v>1940</v>
      </c>
      <c r="B11" s="6" t="n">
        <v>429138</v>
      </c>
      <c r="C11" s="6" t="n">
        <v>739411</v>
      </c>
      <c r="D11" s="6" t="n">
        <v>201958</v>
      </c>
      <c r="E11" s="6" t="n">
        <v>273533</v>
      </c>
      <c r="F11" s="6" t="n">
        <v>18410</v>
      </c>
      <c r="G11" s="6" t="n">
        <v>19154</v>
      </c>
      <c r="H11" s="6" t="n">
        <v>1681604</v>
      </c>
      <c r="I11" s="6" t="n">
        <v>56501</v>
      </c>
      <c r="J11" s="6" t="n">
        <v>52419</v>
      </c>
      <c r="K11" s="6" t="n">
        <v>16304</v>
      </c>
      <c r="L11" s="6" t="n">
        <v>168142</v>
      </c>
      <c r="M11" s="6" t="n">
        <v>62113</v>
      </c>
      <c r="N11" s="6" t="n">
        <v>2037083</v>
      </c>
      <c r="O11" s="8" t="n">
        <v>266.8</v>
      </c>
    </row>
    <row r="12">
      <c r="A12" t="inlineStr">
        <is>
          <t>„ March</t>
        </is>
      </c>
      <c r="B12" s="6" t="n">
        <v>738524</v>
      </c>
      <c r="C12" s="6" t="n">
        <v>797074</v>
      </c>
      <c r="D12" s="6" t="n">
        <v>209255</v>
      </c>
      <c r="E12" s="6" t="n">
        <v>214011</v>
      </c>
      <c r="F12" s="6" t="n">
        <v>20050</v>
      </c>
      <c r="G12" s="6" t="n">
        <v>22485</v>
      </c>
      <c r="H12" s="6" t="n">
        <v>2001399</v>
      </c>
      <c r="I12" s="6" t="n">
        <v>74718</v>
      </c>
      <c r="J12" s="6" t="n">
        <v>62420</v>
      </c>
      <c r="K12" s="6" t="n">
        <v>18110</v>
      </c>
      <c r="L12" s="6" t="n">
        <v>181568</v>
      </c>
      <c r="M12" s="6" t="n">
        <v>63989</v>
      </c>
      <c r="N12" s="6" t="n">
        <v>2572204</v>
      </c>
      <c r="O12" s="8" t="n">
        <v>336.8</v>
      </c>
    </row>
    <row r="13">
      <c r="A13" t="inlineStr">
        <is>
          <t>Manc'kuo</t>
        </is>
      </c>
      <c r="B13" s="6" t="n">
        <v>730640</v>
      </c>
      <c r="C13" s="6" t="n">
        <v>673258</v>
      </c>
      <c r="D13" s="6" t="n">
        <v>209255</v>
      </c>
      <c r="E13" s="6" t="n">
        <v>84088</v>
      </c>
      <c r="F13" s="6" t="n">
        <v>14561</v>
      </c>
      <c r="G13" s="6" t="n">
        <v>19014</v>
      </c>
      <c r="H13" s="6" t="n">
        <v>1730816</v>
      </c>
      <c r="I13" s="6" t="n">
        <v>74718</v>
      </c>
      <c r="J13" s="6" t="n">
        <v>62420</v>
      </c>
      <c r="K13" t="inlineStr">
        <is>
          <t>—</t>
        </is>
      </c>
      <c r="L13" s="6" t="n">
        <v>181568</v>
      </c>
      <c r="M13" s="6" t="n">
        <v>39641</v>
      </c>
      <c r="N13" s="6" t="n">
        <v>2089163</v>
      </c>
      <c r="O13" t="inlineStr">
        <is>
          <t>—</t>
        </is>
      </c>
    </row>
    <row r="14">
      <c r="A14" t="inlineStr">
        <is>
          <t>Kwantung</t>
        </is>
      </c>
      <c r="B14" s="6" t="n">
        <v>7884</v>
      </c>
      <c r="C14" s="6" t="n">
        <v>123816</v>
      </c>
      <c r="D14" t="inlineStr">
        <is>
          <t>—</t>
        </is>
      </c>
      <c r="E14" s="6" t="n">
        <v>129923</v>
      </c>
      <c r="F14" s="6" t="n">
        <v>5489</v>
      </c>
      <c r="G14" s="6" t="n">
        <v>3471</v>
      </c>
      <c r="H14" s="6" t="n">
        <v>270583</v>
      </c>
      <c r="I14" t="inlineStr">
        <is>
          <t>—</t>
        </is>
      </c>
      <c r="J14" t="inlineStr">
        <is>
          <t>—</t>
        </is>
      </c>
      <c r="K14" s="6" t="n">
        <v>18110</v>
      </c>
      <c r="L14" t="inlineStr">
        <is>
          <t>—</t>
        </is>
      </c>
      <c r="M14" s="6" t="n">
        <v>24348</v>
      </c>
      <c r="N14" s="6" t="n">
        <v>483041</v>
      </c>
      <c r="O14" t="inlineStr">
        <is>
          <t>—</t>
        </is>
      </c>
    </row>
    <row r="16">
      <c r="A16" s="2" t="inlineStr">
        <is>
          <t>(B) Loans</t>
        </is>
      </c>
    </row>
    <row r="17">
      <c r="A17" s="5" t="inlineStr">
        <is>
          <t>End of</t>
        </is>
      </c>
      <c r="B17" s="5" t="inlineStr">
        <is>
          <t>Central Bk. of Manchou</t>
        </is>
      </c>
      <c r="C17" s="5" t="inlineStr">
        <is>
          <t>Ind. Bk. of Manchou</t>
        </is>
      </c>
      <c r="D17" s="5" t="inlineStr">
        <is>
          <t>Ordinary Bks.</t>
        </is>
      </c>
      <c r="E17" s="5" t="inlineStr">
        <is>
          <t>Japanese Bks.</t>
        </is>
      </c>
      <c r="F17" s="5" t="inlineStr">
        <is>
          <t>Chinese Bks.</t>
        </is>
      </c>
      <c r="G17" s="5" t="inlineStr">
        <is>
          <t>European Bks.</t>
        </is>
      </c>
      <c r="H17" s="5" t="inlineStr">
        <is>
          <t>All Bks.</t>
        </is>
      </c>
      <c r="I17" s="5" t="inlineStr">
        <is>
          <t>Credit Assns. — Kohno Gassakusha</t>
        </is>
      </c>
      <c r="J17" s="5" t="inlineStr">
        <is>
          <t>Credit Assns. — Shoko Kinyu Gassakusha</t>
        </is>
      </c>
      <c r="K17" s="5" t="inlineStr">
        <is>
          <t>Credit Assns. — Kinyu Kumiai</t>
        </is>
      </c>
      <c r="L17" s="5" t="inlineStr">
        <is>
          <t>Credit Assns. — Total</t>
        </is>
      </c>
      <c r="M17" s="5" t="inlineStr">
        <is>
          <t>Grand Total</t>
        </is>
      </c>
      <c r="N17" s="5" t="inlineStr">
        <is>
          <t>Indice</t>
        </is>
      </c>
      <c r="O17" s="5" t="n"/>
    </row>
    <row r="18">
      <c r="A18" s="9" t="n">
        <v>1936</v>
      </c>
      <c r="B18" s="6" t="n">
        <v>174541</v>
      </c>
      <c r="C18" t="inlineStr">
        <is>
          <t>—</t>
        </is>
      </c>
      <c r="D18" s="6" t="n">
        <v>36586</v>
      </c>
      <c r="E18" s="6" t="n">
        <v>368012</v>
      </c>
      <c r="F18" s="6" t="n">
        <v>23540</v>
      </c>
      <c r="G18" s="6" t="n">
        <v>24457</v>
      </c>
      <c r="H18" s="6" t="n">
        <v>627136</v>
      </c>
      <c r="I18" s="6" t="n">
        <v>8905</v>
      </c>
      <c r="J18" s="6" t="n">
        <v>4186</v>
      </c>
      <c r="K18" s="6" t="n">
        <v>9860</v>
      </c>
      <c r="L18" s="6" t="n">
        <v>22951</v>
      </c>
      <c r="M18" s="6" t="n">
        <v>650087</v>
      </c>
      <c r="N18" s="8" t="n">
        <v>100</v>
      </c>
    </row>
    <row r="19">
      <c r="A19" s="9" t="n">
        <v>1937</v>
      </c>
      <c r="B19" s="6" t="n">
        <v>183776</v>
      </c>
      <c r="C19" s="6" t="n">
        <v>258995</v>
      </c>
      <c r="D19" s="6" t="n">
        <v>57288</v>
      </c>
      <c r="E19" s="6" t="n">
        <v>162917</v>
      </c>
      <c r="F19" s="6" t="n">
        <v>17866</v>
      </c>
      <c r="G19" s="6" t="n">
        <v>30070</v>
      </c>
      <c r="H19" s="6" t="n">
        <v>710912</v>
      </c>
      <c r="I19" s="6" t="n">
        <v>15099</v>
      </c>
      <c r="J19" s="6" t="n">
        <v>4879</v>
      </c>
      <c r="K19" s="6" t="n">
        <v>12664</v>
      </c>
      <c r="L19" s="6" t="n">
        <v>32642</v>
      </c>
      <c r="M19" s="6" t="n">
        <v>743554</v>
      </c>
      <c r="N19" s="8" t="n">
        <v>114.4</v>
      </c>
    </row>
    <row r="20">
      <c r="A20" s="9" t="n">
        <v>1938</v>
      </c>
      <c r="B20" s="6" t="n">
        <v>329187</v>
      </c>
      <c r="C20" s="6" t="n">
        <v>412419</v>
      </c>
      <c r="D20" s="6" t="n">
        <v>71800</v>
      </c>
      <c r="E20" s="6" t="n">
        <v>290223</v>
      </c>
      <c r="F20" s="6" t="n">
        <v>14901</v>
      </c>
      <c r="G20" s="6" t="n">
        <v>22247</v>
      </c>
      <c r="H20" s="6" t="n">
        <v>1140777</v>
      </c>
      <c r="I20" s="6" t="n">
        <v>27153</v>
      </c>
      <c r="J20" s="6" t="n">
        <v>7744</v>
      </c>
      <c r="K20" s="6" t="n">
        <v>14596</v>
      </c>
      <c r="L20" s="6" t="n">
        <v>49493</v>
      </c>
      <c r="M20" s="6" t="n">
        <v>1190270</v>
      </c>
      <c r="N20" s="8" t="n">
        <v>183.1</v>
      </c>
    </row>
    <row r="21">
      <c r="A21" s="9" t="n">
        <v>1939</v>
      </c>
      <c r="B21" s="6" t="n">
        <v>667192</v>
      </c>
      <c r="C21" s="6" t="n">
        <v>497373</v>
      </c>
      <c r="D21" s="6" t="n">
        <v>98730</v>
      </c>
      <c r="E21" s="6" t="n">
        <v>509722</v>
      </c>
      <c r="F21" s="6" t="n">
        <v>14874</v>
      </c>
      <c r="G21" s="6" t="n">
        <v>11154</v>
      </c>
      <c r="H21" s="6" t="n">
        <v>2092045</v>
      </c>
      <c r="I21" s="6" t="n">
        <v>60064</v>
      </c>
      <c r="J21" s="6" t="n">
        <v>11223</v>
      </c>
      <c r="K21" s="6" t="n">
        <v>19070</v>
      </c>
      <c r="L21" s="6" t="n">
        <v>90070</v>
      </c>
      <c r="M21" s="6" t="n">
        <v>2182402</v>
      </c>
      <c r="N21" s="8" t="n">
        <v>335.7</v>
      </c>
    </row>
    <row r="22">
      <c r="A22" s="9" t="n">
        <v>1940</v>
      </c>
      <c r="B22" s="6" t="n">
        <v>469924</v>
      </c>
      <c r="C22" s="6" t="n">
        <v>1294574</v>
      </c>
      <c r="D22" s="6" t="n">
        <v>168141</v>
      </c>
      <c r="E22" s="6" t="n">
        <v>770494</v>
      </c>
      <c r="F22" s="6" t="n">
        <v>12880</v>
      </c>
      <c r="G22" s="6" t="n">
        <v>4584</v>
      </c>
      <c r="H22" s="6" t="n">
        <v>2720597</v>
      </c>
      <c r="I22" s="6" t="n">
        <v>64077</v>
      </c>
      <c r="J22" s="6" t="n">
        <v>37641</v>
      </c>
      <c r="K22" s="6" t="n">
        <v>12559</v>
      </c>
      <c r="L22" s="6" t="n">
        <v>114277</v>
      </c>
      <c r="M22" s="6" t="n">
        <v>2814874</v>
      </c>
      <c r="N22" s="8" t="n">
        <v>436.1</v>
      </c>
    </row>
    <row r="23">
      <c r="A23" t="inlineStr">
        <is>
          <t>„ March</t>
        </is>
      </c>
      <c r="B23" s="6" t="n">
        <v>470503</v>
      </c>
      <c r="C23" s="6" t="n">
        <v>1410017</v>
      </c>
      <c r="D23" s="6" t="n">
        <v>213920</v>
      </c>
      <c r="E23" s="6" t="n">
        <v>679826</v>
      </c>
      <c r="F23" s="6" t="n">
        <v>15048</v>
      </c>
      <c r="G23" s="6" t="n">
        <v>4703</v>
      </c>
      <c r="H23" s="6" t="n">
        <v>2794017</v>
      </c>
      <c r="I23" s="6" t="n">
        <v>81659</v>
      </c>
      <c r="J23" s="6" t="n">
        <v>47906</v>
      </c>
      <c r="K23" s="6" t="n">
        <v>13215</v>
      </c>
      <c r="L23" s="6" t="n">
        <v>142780</v>
      </c>
      <c r="M23" s="6" t="n">
        <v>2936797</v>
      </c>
      <c r="N23" s="8" t="n">
        <v>451.7</v>
      </c>
    </row>
    <row r="24">
      <c r="A24" t="inlineStr">
        <is>
          <t>Manc'kuo</t>
        </is>
      </c>
      <c r="B24" s="6" t="n">
        <v>465457</v>
      </c>
      <c r="C24" s="6" t="n">
        <v>1338086</v>
      </c>
      <c r="D24" s="6" t="n">
        <v>213920</v>
      </c>
      <c r="E24" s="6" t="n">
        <v>260798</v>
      </c>
      <c r="F24" s="6" t="n">
        <v>13560</v>
      </c>
      <c r="G24" s="6" t="n">
        <v>3152</v>
      </c>
      <c r="H24" s="6" t="n">
        <v>2294973</v>
      </c>
      <c r="I24" s="6" t="n">
        <v>81659</v>
      </c>
      <c r="J24" s="6" t="n">
        <v>47906</v>
      </c>
      <c r="K24" t="inlineStr">
        <is>
          <t>—</t>
        </is>
      </c>
      <c r="L24" s="6" t="n">
        <v>129565</v>
      </c>
      <c r="M24" s="6" t="n">
        <v>2424538</v>
      </c>
      <c r="N24" t="inlineStr">
        <is>
          <t>—</t>
        </is>
      </c>
    </row>
    <row r="25">
      <c r="A25" t="inlineStr">
        <is>
          <t>Kwantung</t>
        </is>
      </c>
      <c r="B25" s="6" t="n">
        <v>5046</v>
      </c>
      <c r="C25" s="6" t="n">
        <v>71931</v>
      </c>
      <c r="D25" t="inlineStr">
        <is>
          <t>—</t>
        </is>
      </c>
      <c r="E25" s="6" t="n">
        <v>419028</v>
      </c>
      <c r="F25" s="6" t="n">
        <v>1488</v>
      </c>
      <c r="G25" s="6" t="n">
        <v>1551</v>
      </c>
      <c r="H25" s="6" t="n">
        <v>499044</v>
      </c>
      <c r="I25" t="inlineStr">
        <is>
          <t>—</t>
        </is>
      </c>
      <c r="J25" t="inlineStr">
        <is>
          <t>—</t>
        </is>
      </c>
      <c r="K25" s="6" t="n">
        <v>13215</v>
      </c>
      <c r="L25" s="6" t="n">
        <v>13215</v>
      </c>
      <c r="M25" s="6" t="n">
        <v>512259</v>
      </c>
      <c r="N25" t="inlineStr">
        <is>
          <t>—</t>
        </is>
      </c>
    </row>
    <row r="27">
      <c r="A27" s="2" t="inlineStr">
        <is>
          <t>Transcriber's notes</t>
        </is>
      </c>
    </row>
    <row r="28">
      <c r="A28" t="inlineStr">
        <is>
          <t>Each part is printed in two blocks (bank columns, then credit associations/postal savings/totals; (B) second block on p.243 headed '(Continued)'); merged row-by-row on the shared row labels.</t>
        </is>
      </c>
    </row>
    <row r="29">
      <c r="A29" t="inlineStr">
        <is>
          <t>Row '„ March' is printed with a ditto mark under 1940; it evidently means March of the following year (1941), and the Manc'kuo and Kwantung rows are its breakdown.</t>
        </is>
      </c>
    </row>
    <row r="30">
      <c r="A30" t="inlineStr">
        <is>
          <t>In (B) the second block's figures are printed slightly offset (about half a line) from the year labels on p.243; aligned by order (8 figure rows to 8 labels).</t>
        </is>
      </c>
    </row>
    <row r="31">
      <c r="A31" t="inlineStr">
        <is>
          <t>(A) 1936 All Bks.: printed 692,440, parts sum to 692,440 — reconciles</t>
        </is>
      </c>
    </row>
    <row r="32">
      <c r="A32" t="inlineStr">
        <is>
          <t>(A) 1936 Grand Total: printed 763,568, parts sum to 763,568 — reconciles</t>
        </is>
      </c>
    </row>
    <row r="33">
      <c r="A33" t="inlineStr">
        <is>
          <t>(A) 1937 All Bks.: printed 669,785, parts sum to 669,785 — reconciles</t>
        </is>
      </c>
    </row>
    <row r="34">
      <c r="A34" t="inlineStr">
        <is>
          <t>(A) 1937 Grand Total: printed 767,001, parts sum to 767,001 — reconciles</t>
        </is>
      </c>
    </row>
    <row r="35">
      <c r="A35" t="inlineStr">
        <is>
          <t>(A) 1938 All Bks.: printed 900,758, parts sum to 901,258 — does NOT reconcile (diff -500)</t>
        </is>
      </c>
    </row>
    <row r="36">
      <c r="A36" t="inlineStr">
        <is>
          <t>(A) 1938 Grand Total: printed 1,048,313, parts sum to 1,048,313 — reconciles</t>
        </is>
      </c>
    </row>
    <row r="37">
      <c r="A37" t="inlineStr">
        <is>
          <t>(A) 1939 All Bks.: printed 1,504,054, parts sum to 1,504,054 — reconciles</t>
        </is>
      </c>
    </row>
    <row r="38">
      <c r="A38" t="inlineStr">
        <is>
          <t>(A) 1939 Grand Total: printed 1,737,615, parts sum to 1,737,615 — reconciles</t>
        </is>
      </c>
    </row>
    <row r="39">
      <c r="A39" t="inlineStr">
        <is>
          <t>(A) 1940 All Bks.: printed 1,681,604, parts sum to 1,681,604 — reconciles</t>
        </is>
      </c>
    </row>
    <row r="40">
      <c r="A40" t="inlineStr">
        <is>
          <t>(A) 1940 Grand Total: printed 2,037,083, parts sum to 2,037,083 — reconciles</t>
        </is>
      </c>
    </row>
    <row r="41">
      <c r="A41" t="inlineStr">
        <is>
          <t>(A) „ March All Bks.: printed 2,001,399, parts sum to 2,001,399 — reconciles</t>
        </is>
      </c>
    </row>
    <row r="42">
      <c r="A42" t="inlineStr">
        <is>
          <t>(A) „ March Grand Total: printed 2,572,204, parts sum to 2,402,204 — does NOT reconcile (diff 170,000)</t>
        </is>
      </c>
    </row>
    <row r="43">
      <c r="A43" t="inlineStr">
        <is>
          <t>(A) Manc'kuo All Bks.: printed 1,730,816, parts sum to 1,730,816 — reconciles</t>
        </is>
      </c>
    </row>
    <row r="44">
      <c r="A44" t="inlineStr">
        <is>
          <t>(A) Manc'kuo Grand Total: printed 2,089,163, parts sum to 2,089,163 — reconciles</t>
        </is>
      </c>
    </row>
    <row r="45">
      <c r="A45" t="inlineStr">
        <is>
          <t>(A) Kwantung All Bks.: printed 270,583, parts sum to 270,583 — reconciles</t>
        </is>
      </c>
    </row>
    <row r="46">
      <c r="A46" t="inlineStr">
        <is>
          <t>(A) Kwantung Grand Total: printed 483,041, parts sum to 313,041 — does NOT reconcile (diff 170,000)</t>
        </is>
      </c>
    </row>
    <row r="47">
      <c r="A47" t="inlineStr">
        <is>
          <t>(B) 1936 All Bks.: printed 627,136, parts sum to 627,136 — reconciles</t>
        </is>
      </c>
    </row>
    <row r="48">
      <c r="A48" t="inlineStr">
        <is>
          <t>(B) 1936 Credit Assns. Total: printed 22,951, parts sum to 22,951 — reconciles</t>
        </is>
      </c>
    </row>
    <row r="49">
      <c r="A49" t="inlineStr">
        <is>
          <t>(B) 1936 Grand Total: printed 650,087, parts sum to 650,087 — reconciles</t>
        </is>
      </c>
    </row>
    <row r="50">
      <c r="A50" t="inlineStr">
        <is>
          <t>(B) 1937 All Bks.: printed 710,912, parts sum to 710,912 — reconciles</t>
        </is>
      </c>
    </row>
    <row r="51">
      <c r="A51" t="inlineStr">
        <is>
          <t>(B) 1937 Credit Assns. Total: printed 32,642, parts sum to 32,642 — reconciles</t>
        </is>
      </c>
    </row>
    <row r="52">
      <c r="A52" t="inlineStr">
        <is>
          <t>(B) 1937 Grand Total: printed 743,554, parts sum to 743,554 — reconciles</t>
        </is>
      </c>
    </row>
    <row r="53">
      <c r="A53" t="inlineStr">
        <is>
          <t>(B) 1938 All Bks.: printed 1,140,777, parts sum to 1,140,777 — reconciles</t>
        </is>
      </c>
    </row>
    <row r="54">
      <c r="A54" t="inlineStr">
        <is>
          <t>(B) 1938 Credit Assns. Total: printed 49,493, parts sum to 49,493 — reconciles</t>
        </is>
      </c>
    </row>
    <row r="55">
      <c r="A55" t="inlineStr">
        <is>
          <t>(B) 1938 Grand Total: printed 1,190,270, parts sum to 1,190,270 — reconciles</t>
        </is>
      </c>
    </row>
    <row r="56">
      <c r="A56" t="inlineStr">
        <is>
          <t>(B) 1939 All Bks.: printed 2,092,045, parts sum to 1,799,045 — does NOT reconcile (diff 293,000)</t>
        </is>
      </c>
    </row>
    <row r="57">
      <c r="A57" t="inlineStr">
        <is>
          <t>(B) 1939 Credit Assns. Total: printed 90,070, parts sum to 90,357 — does NOT reconcile (diff -287)</t>
        </is>
      </c>
    </row>
    <row r="58">
      <c r="A58" t="inlineStr">
        <is>
          <t>(B) 1939 Grand Total: printed 2,182,402, parts sum to 2,182,115 — does NOT reconcile (diff 287)</t>
        </is>
      </c>
    </row>
    <row r="59">
      <c r="A59" t="inlineStr">
        <is>
          <t>(B) 1940 All Bks.: printed 2,720,597, parts sum to 2,720,597 — reconciles</t>
        </is>
      </c>
    </row>
    <row r="60">
      <c r="A60" t="inlineStr">
        <is>
          <t>(B) 1940 Credit Assns. Total: printed 114,277, parts sum to 114,277 — reconciles</t>
        </is>
      </c>
    </row>
    <row r="61">
      <c r="A61" t="inlineStr">
        <is>
          <t>(B) 1940 Grand Total: printed 2,814,874, parts sum to 2,834,874 — does NOT reconcile (diff -20,000)</t>
        </is>
      </c>
    </row>
    <row r="62">
      <c r="A62" t="inlineStr">
        <is>
          <t>(B) „ March All Bks.: printed 2,794,017, parts sum to 2,794,017 — reconciles</t>
        </is>
      </c>
    </row>
    <row r="63">
      <c r="A63" t="inlineStr">
        <is>
          <t>(B) „ March Credit Assns. Total: printed 142,780, parts sum to 142,780 — reconciles</t>
        </is>
      </c>
    </row>
    <row r="64">
      <c r="A64" t="inlineStr">
        <is>
          <t>(B) „ March Grand Total: printed 2,936,797, parts sum to 2,936,797 — reconciles</t>
        </is>
      </c>
    </row>
    <row r="65">
      <c r="A65" t="inlineStr">
        <is>
          <t>(B) Manc'kuo All Bks.: printed 2,294,973, parts sum to 2,294,973 — reconciles</t>
        </is>
      </c>
    </row>
    <row r="66">
      <c r="A66" t="inlineStr">
        <is>
          <t>(B) Manc'kuo Credit Assns. Total: printed 129,565, parts sum to 129,565 — reconciles</t>
        </is>
      </c>
    </row>
    <row r="67">
      <c r="A67" t="inlineStr">
        <is>
          <t>(B) Manc'kuo Grand Total: printed 2,424,538, parts sum to 2,424,538 — reconciles</t>
        </is>
      </c>
    </row>
    <row r="68">
      <c r="A68" t="inlineStr">
        <is>
          <t>(B) Kwantung All Bks.: printed 499,044, parts sum to 499,044 — reconciles</t>
        </is>
      </c>
    </row>
    <row r="69">
      <c r="A69" t="inlineStr">
        <is>
          <t>(B) Kwantung Credit Assns. Total: printed 13,215, parts sum to 13,215 — reconciles</t>
        </is>
      </c>
    </row>
    <row r="70">
      <c r="A70" t="inlineStr">
        <is>
          <t>(B) Kwantung Grand Total: printed 512,259, parts sum to 512,259 — reconciles</t>
        </is>
      </c>
    </row>
    <row r="71">
      <c r="A71" t="inlineStr">
        <is>
          <t>(A) col 1 „ March = Manc'kuo + Kwantung: printed 738,524, parts sum to 738,524 — reconciles</t>
        </is>
      </c>
    </row>
    <row r="72">
      <c r="A72" t="inlineStr">
        <is>
          <t>(A) col 2 „ March = Manc'kuo + Kwantung: printed 797,074, parts sum to 797,074 — reconciles</t>
        </is>
      </c>
    </row>
    <row r="73">
      <c r="A73" t="inlineStr">
        <is>
          <t>(A) col 3 „ March = Manc'kuo + Kwantung: printed 209,255, parts sum to 209,255 — reconciles</t>
        </is>
      </c>
    </row>
    <row r="74">
      <c r="A74" t="inlineStr">
        <is>
          <t>(A) col 4 „ March = Manc'kuo + Kwantung: printed 214,011, parts sum to 214,011 — reconciles</t>
        </is>
      </c>
    </row>
    <row r="75">
      <c r="A75" t="inlineStr">
        <is>
          <t>(A) col 5 „ March = Manc'kuo + Kwantung: printed 20,050, parts sum to 20,050 — reconciles</t>
        </is>
      </c>
    </row>
    <row r="76">
      <c r="A76" t="inlineStr">
        <is>
          <t>(A) col 6 „ March = Manc'kuo + Kwantung: printed 22,485, parts sum to 22,485 — reconciles</t>
        </is>
      </c>
    </row>
    <row r="77">
      <c r="A77" t="inlineStr">
        <is>
          <t>(A) col 7 „ March = Manc'kuo + Kwantung: printed 2,001,399, parts sum to 2,001,399 — reconciles</t>
        </is>
      </c>
    </row>
    <row r="78">
      <c r="A78" t="inlineStr">
        <is>
          <t>(A) col 8 „ March = Manc'kuo + Kwantung: printed 74,718, parts sum to 74,718 — reconciles</t>
        </is>
      </c>
    </row>
    <row r="79">
      <c r="A79" t="inlineStr">
        <is>
          <t>(A) col 9 „ March = Manc'kuo + Kwantung: printed 62,420, parts sum to 62,420 — reconciles</t>
        </is>
      </c>
    </row>
    <row r="80">
      <c r="A80" t="inlineStr">
        <is>
          <t>(A) col 10 „ March = Manc'kuo + Kwantung: printed 18,110, parts sum to 18,110 — reconciles</t>
        </is>
      </c>
    </row>
    <row r="81">
      <c r="A81" t="inlineStr">
        <is>
          <t>(A) col 11 „ March = Manc'kuo + Kwantung: printed 181,568, parts sum to 181,568 — reconciles</t>
        </is>
      </c>
    </row>
    <row r="82">
      <c r="A82" t="inlineStr">
        <is>
          <t>(A) col 12 „ March = Manc'kuo + Kwantung: printed 63,989, parts sum to 63,989 — reconciles</t>
        </is>
      </c>
    </row>
    <row r="83">
      <c r="A83" t="inlineStr">
        <is>
          <t>(A) col 13 „ March = Manc'kuo + Kwantung: printed 2,572,204, parts sum to 2,572,204 — reconciles</t>
        </is>
      </c>
    </row>
    <row r="84">
      <c r="A84" t="inlineStr">
        <is>
          <t>(B) col 1 „ March = Manc'kuo + Kwantung: printed 470,503, parts sum to 470,503 — reconciles</t>
        </is>
      </c>
    </row>
    <row r="85">
      <c r="A85" t="inlineStr">
        <is>
          <t>(B) col 2 „ March = Manc'kuo + Kwantung: printed 1,410,017, parts sum to 1,410,017 — reconciles</t>
        </is>
      </c>
    </row>
    <row r="86">
      <c r="A86" t="inlineStr">
        <is>
          <t>(B) col 3 „ March = Manc'kuo + Kwantung: printed 213,920, parts sum to 213,920 — reconciles</t>
        </is>
      </c>
    </row>
    <row r="87">
      <c r="A87" t="inlineStr">
        <is>
          <t>(B) col 4 „ March = Manc'kuo + Kwantung: printed 679,826, parts sum to 679,826 — reconciles</t>
        </is>
      </c>
    </row>
    <row r="88">
      <c r="A88" t="inlineStr">
        <is>
          <t>(B) col 5 „ March = Manc'kuo + Kwantung: printed 15,048, parts sum to 15,048 — reconciles</t>
        </is>
      </c>
    </row>
    <row r="89">
      <c r="A89" t="inlineStr">
        <is>
          <t>(B) col 6 „ March = Manc'kuo + Kwantung: printed 4,703, parts sum to 4,703 — reconciles</t>
        </is>
      </c>
    </row>
    <row r="90">
      <c r="A90" t="inlineStr">
        <is>
          <t>(B) col 7 „ March = Manc'kuo + Kwantung: printed 2,794,017, parts sum to 2,794,017 — reconciles</t>
        </is>
      </c>
    </row>
    <row r="91">
      <c r="A91" t="inlineStr">
        <is>
          <t>(B) col 8 „ March = Manc'kuo + Kwantung: printed 81,659, parts sum to 81,659 — reconciles</t>
        </is>
      </c>
    </row>
    <row r="92">
      <c r="A92" t="inlineStr">
        <is>
          <t>(B) col 9 „ March = Manc'kuo + Kwantung: printed 47,906, parts sum to 47,906 — reconciles</t>
        </is>
      </c>
    </row>
    <row r="93">
      <c r="A93" t="inlineStr">
        <is>
          <t>(B) col 10 „ March = Manc'kuo + Kwantung: printed 13,215, parts sum to 13,215 — reconciles</t>
        </is>
      </c>
    </row>
    <row r="94">
      <c r="A94" t="inlineStr">
        <is>
          <t>(B) col 11 „ March = Manc'kuo + Kwantung: printed 142,780, parts sum to 142,780 — reconciles</t>
        </is>
      </c>
    </row>
    <row r="95">
      <c r="A95" t="inlineStr">
        <is>
          <t>(B) col 12 „ March = Manc'kuo + Kwantung: printed 2,936,797, parts sum to 2,936,797 — reconciles</t>
        </is>
      </c>
    </row>
  </sheetData>
  <hyperlinks>
    <hyperlink xmlns:r="http://schemas.openxmlformats.org/officeDocument/2006/relationships" ref="A3"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Statistics of Banks in Principal Cities</t>
        </is>
      </c>
    </row>
    <row r="2">
      <c r="A2" t="inlineStr">
        <is>
          <t>Banking and Currency · printed pp. 243</t>
        </is>
      </c>
    </row>
    <row r="3">
      <c r="A3" t="inlineStr">
        <is>
          <t>(In M¥1,000)</t>
        </is>
      </c>
    </row>
    <row r="4">
      <c r="A4" s="3" t="inlineStr">
        <is>
          <t>← Contents</t>
        </is>
      </c>
    </row>
    <row r="6">
      <c r="A6" s="2" t="inlineStr">
        <is>
          <t>(A) Deposits</t>
        </is>
      </c>
    </row>
    <row r="7">
      <c r="A7" s="5" t="inlineStr">
        <is>
          <t>Date</t>
        </is>
      </c>
      <c r="B7" s="5" t="inlineStr">
        <is>
          <t>Fixed Deposits</t>
        </is>
      </c>
      <c r="C7" s="5" t="inlineStr">
        <is>
          <t>Current Deposits</t>
        </is>
      </c>
      <c r="D7" s="5" t="inlineStr">
        <is>
          <t>Special Current</t>
        </is>
      </c>
      <c r="E7" s="5" t="inlineStr">
        <is>
          <t>Notice</t>
        </is>
      </c>
      <c r="F7" s="5" t="inlineStr">
        <is>
          <t>Others</t>
        </is>
      </c>
      <c r="G7" s="5" t="inlineStr">
        <is>
          <t>Total</t>
        </is>
      </c>
    </row>
    <row r="8">
      <c r="A8" t="inlineStr">
        <is>
          <t>1937 Dec.</t>
        </is>
      </c>
      <c r="B8" s="6" t="n">
        <v>156271</v>
      </c>
      <c r="C8" s="6" t="n">
        <v>153649</v>
      </c>
      <c r="D8" s="6" t="n">
        <v>51817</v>
      </c>
      <c r="E8" s="6" t="n">
        <v>54713</v>
      </c>
      <c r="F8" s="6" t="n">
        <v>179550</v>
      </c>
      <c r="G8" s="6" t="n">
        <v>596000</v>
      </c>
    </row>
    <row r="9">
      <c r="A9" t="inlineStr">
        <is>
          <t>1938 Dec.</t>
        </is>
      </c>
      <c r="B9" s="6" t="n">
        <v>189637</v>
      </c>
      <c r="C9" s="6" t="n">
        <v>192958</v>
      </c>
      <c r="D9" s="6" t="n">
        <v>81089</v>
      </c>
      <c r="E9" s="6" t="n">
        <v>110806</v>
      </c>
      <c r="F9" s="6" t="n">
        <v>245966</v>
      </c>
      <c r="G9" s="6" t="n">
        <v>820458</v>
      </c>
    </row>
    <row r="10">
      <c r="A10" t="inlineStr">
        <is>
          <t>1939 June</t>
        </is>
      </c>
      <c r="B10" s="6" t="n">
        <v>272302</v>
      </c>
      <c r="C10" s="6" t="n">
        <v>291925</v>
      </c>
      <c r="D10" s="6" t="n">
        <v>97824</v>
      </c>
      <c r="E10" s="6" t="n">
        <v>146232</v>
      </c>
      <c r="F10" s="6" t="n">
        <v>172156</v>
      </c>
      <c r="G10" s="6" t="n">
        <v>980438</v>
      </c>
    </row>
    <row r="11">
      <c r="A11" t="inlineStr">
        <is>
          <t>„ Dec.</t>
        </is>
      </c>
      <c r="B11" s="6" t="n">
        <v>272953</v>
      </c>
      <c r="C11" s="6" t="n">
        <v>363904</v>
      </c>
      <c r="D11" s="6" t="n">
        <v>142875</v>
      </c>
      <c r="E11" s="6" t="n">
        <v>134789</v>
      </c>
      <c r="F11" s="6" t="n">
        <v>502875</v>
      </c>
      <c r="G11" s="6" t="n">
        <v>1417396</v>
      </c>
    </row>
    <row r="12">
      <c r="A12" t="inlineStr">
        <is>
          <t>1940 June</t>
        </is>
      </c>
      <c r="B12" s="6" t="n">
        <v>289439</v>
      </c>
      <c r="C12" s="6" t="n">
        <v>395853</v>
      </c>
      <c r="D12" s="6" t="n">
        <v>163015</v>
      </c>
      <c r="E12" s="6" t="n">
        <v>158810</v>
      </c>
      <c r="F12" s="6" t="n">
        <v>203072</v>
      </c>
      <c r="G12" s="6" t="n">
        <v>1210189</v>
      </c>
    </row>
    <row r="13">
      <c r="A13" t="inlineStr">
        <is>
          <t>„ Dec.</t>
        </is>
      </c>
      <c r="B13" s="6" t="n">
        <v>316436</v>
      </c>
      <c r="C13" s="6" t="n">
        <v>457389</v>
      </c>
      <c r="D13" s="6" t="n">
        <v>218495</v>
      </c>
      <c r="E13" s="6" t="n">
        <v>177196</v>
      </c>
      <c r="F13" s="6" t="n">
        <v>243951</v>
      </c>
      <c r="G13" s="6" t="n">
        <v>1413467</v>
      </c>
    </row>
    <row r="15">
      <c r="A15" s="2" t="inlineStr">
        <is>
          <t>(B) Loans</t>
        </is>
      </c>
    </row>
    <row r="16">
      <c r="A16" s="5" t="inlineStr">
        <is>
          <t>Date</t>
        </is>
      </c>
      <c r="B16" s="5" t="inlineStr">
        <is>
          <t>Advances</t>
        </is>
      </c>
      <c r="C16" s="5" t="inlineStr">
        <is>
          <t>Over-draft</t>
        </is>
      </c>
      <c r="D16" s="5" t="inlineStr">
        <is>
          <t>Bills Discounted</t>
        </is>
      </c>
      <c r="E16" s="5" t="inlineStr">
        <is>
          <t>Others</t>
        </is>
      </c>
      <c r="F16" s="5" t="inlineStr">
        <is>
          <t>Total</t>
        </is>
      </c>
      <c r="G16" s="5" t="n"/>
    </row>
    <row r="17">
      <c r="A17" t="inlineStr">
        <is>
          <t>1937 Dec.</t>
        </is>
      </c>
      <c r="B17" s="6" t="n">
        <v>275282</v>
      </c>
      <c r="C17" s="6" t="n">
        <v>178003</v>
      </c>
      <c r="D17" s="6" t="n">
        <v>56600</v>
      </c>
      <c r="E17" s="6" t="n">
        <v>126556</v>
      </c>
      <c r="F17" s="6" t="n">
        <v>636441</v>
      </c>
    </row>
    <row r="18">
      <c r="A18" t="inlineStr">
        <is>
          <t>1938 Dec.</t>
        </is>
      </c>
      <c r="B18" s="6" t="n">
        <v>398763</v>
      </c>
      <c r="C18" s="6" t="n">
        <v>353719</v>
      </c>
      <c r="D18" s="6" t="n">
        <v>122022</v>
      </c>
      <c r="E18" s="6" t="n">
        <v>216039</v>
      </c>
      <c r="F18" s="6" t="n">
        <v>1090545</v>
      </c>
    </row>
    <row r="19">
      <c r="A19" t="inlineStr">
        <is>
          <t>1939 June</t>
        </is>
      </c>
      <c r="B19" s="6" t="n">
        <v>612198</v>
      </c>
      <c r="C19" s="6" t="n">
        <v>405367</v>
      </c>
      <c r="D19" s="6" t="n">
        <v>150285</v>
      </c>
      <c r="E19" s="6" t="n">
        <v>165289</v>
      </c>
      <c r="F19" s="6" t="n">
        <v>1349956</v>
      </c>
    </row>
    <row r="20">
      <c r="A20" t="inlineStr">
        <is>
          <t>„ Dec.</t>
        </is>
      </c>
      <c r="B20" s="6" t="n">
        <v>838268</v>
      </c>
      <c r="C20" s="6" t="n">
        <v>495510</v>
      </c>
      <c r="D20" s="6" t="n">
        <v>390673</v>
      </c>
      <c r="E20" s="6" t="n">
        <v>419637</v>
      </c>
      <c r="F20" s="6" t="n">
        <v>2144088</v>
      </c>
    </row>
    <row r="21">
      <c r="A21" t="inlineStr">
        <is>
          <t>1940 June</t>
        </is>
      </c>
      <c r="B21" s="6" t="n">
        <v>1033354</v>
      </c>
      <c r="C21" s="6" t="n">
        <v>657323</v>
      </c>
      <c r="D21" s="6" t="n">
        <v>546068</v>
      </c>
      <c r="E21" s="6" t="n">
        <v>321391</v>
      </c>
      <c r="F21" s="6" t="n">
        <v>2599135</v>
      </c>
    </row>
    <row r="22">
      <c r="A22" t="inlineStr">
        <is>
          <t>„ Dec.</t>
        </is>
      </c>
      <c r="B22" s="6" t="n">
        <v>1532424</v>
      </c>
      <c r="C22" s="6" t="n">
        <v>640560</v>
      </c>
      <c r="D22" s="6" t="n">
        <v>324633</v>
      </c>
      <c r="E22" s="6" t="n">
        <v>121998</v>
      </c>
      <c r="F22" s="6" t="n">
        <v>2619614</v>
      </c>
    </row>
    <row r="24">
      <c r="A24" s="2" t="inlineStr">
        <is>
          <t>Footnotes</t>
        </is>
      </c>
    </row>
    <row r="25">
      <c r="A25" t="inlineStr">
        <is>
          <t>Note: The above statistics are for 11 principal cities, consisting of Hsinking, Mukden, Harbin, Tsitsihar, Kirin, Antung, Yingkow, Chinchow, Mutankiang, Chiamussu and Dairen. Figures for 1937 are exclusive of Chinchow, Mutankiang and Chiamussu, while figures of the Central Bank of Manchou are inclusive of Government accounts.</t>
        </is>
      </c>
    </row>
    <row r="27">
      <c r="A27" s="2" t="inlineStr">
        <is>
          <t>Transcriber's notes</t>
        </is>
      </c>
    </row>
    <row r="28">
      <c r="A28" t="inlineStr">
        <is>
          <t>(A) 1937 Dec. Total: printed 596,000, parts sum to 596,000 — reconciles</t>
        </is>
      </c>
    </row>
    <row r="29">
      <c r="A29" t="inlineStr">
        <is>
          <t>(A) 1938 Dec. Total: printed 820,458, parts sum to 820,456 — does NOT reconcile (diff 2)</t>
        </is>
      </c>
    </row>
    <row r="30">
      <c r="A30" t="inlineStr">
        <is>
          <t>(A) 1939 June Total: printed 980,438, parts sum to 980,439 — does NOT reconcile (diff -1)</t>
        </is>
      </c>
    </row>
    <row r="31">
      <c r="A31" t="inlineStr">
        <is>
          <t>(A) „ Dec. Total: printed 1,417,396, parts sum to 1,417,396 — reconciles</t>
        </is>
      </c>
    </row>
    <row r="32">
      <c r="A32" t="inlineStr">
        <is>
          <t>(A) 1940 June Total: printed 1,210,189, parts sum to 1,210,189 — reconciles</t>
        </is>
      </c>
    </row>
    <row r="33">
      <c r="A33" t="inlineStr">
        <is>
          <t>(A) „ Dec. Total: printed 1,413,467, parts sum to 1,413,467 — reconciles</t>
        </is>
      </c>
    </row>
    <row r="34">
      <c r="A34" t="inlineStr">
        <is>
          <t>(B) 1937 Dec. Total: printed 636,441, parts sum to 636,441 — reconciles</t>
        </is>
      </c>
    </row>
    <row r="35">
      <c r="A35" t="inlineStr">
        <is>
          <t>(B) 1938 Dec. Total: printed 1,090,545, parts sum to 1,090,543 — does NOT reconcile (diff 2)</t>
        </is>
      </c>
    </row>
    <row r="36">
      <c r="A36" t="inlineStr">
        <is>
          <t>(B) 1939 June Total: printed 1,349,956, parts sum to 1,333,139 — does NOT reconcile (diff 16,817)</t>
        </is>
      </c>
    </row>
    <row r="37">
      <c r="A37" t="inlineStr">
        <is>
          <t>(B) „ Dec. Total: printed 2,144,088, parts sum to 2,144,088 — reconciles</t>
        </is>
      </c>
    </row>
    <row r="38">
      <c r="A38" t="inlineStr">
        <is>
          <t>(B) 1940 June Total: printed 2,599,135, parts sum to 2,558,136 — does NOT reconcile (diff 40,999)</t>
        </is>
      </c>
    </row>
    <row r="39">
      <c r="A39" t="inlineStr">
        <is>
          <t>(B) „ Dec. Total: printed 2,619,614, parts sum to 2,619,615 — does NOT reconcile (diff -1)</t>
        </is>
      </c>
    </row>
  </sheetData>
  <hyperlinks>
    <hyperlink xmlns:r="http://schemas.openxmlformats.org/officeDocument/2006/relationships" ref="A4"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2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Principal Accounts of the Central Bank of Manchou</t>
        </is>
      </c>
    </row>
    <row r="2">
      <c r="A2" t="inlineStr">
        <is>
          <t>Banking and Currency · printed pp. 244, 245</t>
        </is>
      </c>
    </row>
    <row r="3">
      <c r="A3" t="inlineStr">
        <is>
          <t>(In M¥1,000)</t>
        </is>
      </c>
    </row>
    <row r="4">
      <c r="A4" s="3" t="inlineStr">
        <is>
          <t>← Contents</t>
        </is>
      </c>
    </row>
    <row r="6">
      <c r="A6" s="5" t="inlineStr">
        <is>
          <t>Date</t>
        </is>
      </c>
      <c r="B6" s="5" t="inlineStr">
        <is>
          <t>Capital — Authorized</t>
        </is>
      </c>
      <c r="C6" s="5" t="inlineStr">
        <is>
          <t>Capital — Paid-up</t>
        </is>
      </c>
      <c r="D6" s="5" t="inlineStr">
        <is>
          <t>Reserves</t>
        </is>
      </c>
      <c r="E6" s="5" t="inlineStr">
        <is>
          <t>Notes issued</t>
        </is>
      </c>
      <c r="F6" s="5" t="inlineStr">
        <is>
          <t>Deposits — Gov't deposits</t>
        </is>
      </c>
      <c r="G6" s="5" t="inlineStr">
        <is>
          <t>Deposits — General deposits</t>
        </is>
      </c>
      <c r="H6" s="5" t="inlineStr">
        <is>
          <t>Debts</t>
        </is>
      </c>
      <c r="I6" s="5" t="inlineStr">
        <is>
          <t>Advances — Advance to Gov't</t>
        </is>
      </c>
      <c r="J6" s="5" t="inlineStr">
        <is>
          <t>Advances — General advance</t>
        </is>
      </c>
      <c r="K6" s="5" t="inlineStr">
        <is>
          <t>Securities</t>
        </is>
      </c>
      <c r="L6" s="5" t="inlineStr">
        <is>
          <t>Bullion &amp; foreign currencies</t>
        </is>
      </c>
    </row>
    <row r="7">
      <c r="A7" t="inlineStr">
        <is>
          <t>1932 Dec.</t>
        </is>
      </c>
      <c r="B7" s="6" t="n">
        <v>30000</v>
      </c>
      <c r="C7" s="6" t="n">
        <v>7500</v>
      </c>
      <c r="D7" t="inlineStr">
        <is>
          <t>—</t>
        </is>
      </c>
      <c r="E7" s="6" t="n">
        <v>151865</v>
      </c>
      <c r="F7" s="6" t="n">
        <v>20258</v>
      </c>
      <c r="G7" s="6" t="n">
        <v>20032</v>
      </c>
      <c r="H7" s="6" t="n">
        <v>21212</v>
      </c>
      <c r="I7" s="6" t="n">
        <v>23500</v>
      </c>
      <c r="J7" s="6" t="n">
        <v>100427</v>
      </c>
      <c r="K7" s="6" t="n">
        <v>44709</v>
      </c>
      <c r="L7" s="6" t="n">
        <v>24214</v>
      </c>
    </row>
    <row r="8">
      <c r="A8" t="inlineStr">
        <is>
          <t>1933 June</t>
        </is>
      </c>
      <c r="B8" s="6" t="n">
        <v>30000</v>
      </c>
      <c r="C8" s="6" t="n">
        <v>7500</v>
      </c>
      <c r="D8" s="9" t="n">
        <v>120</v>
      </c>
      <c r="E8" s="6" t="n">
        <v>112263</v>
      </c>
      <c r="F8" s="6" t="n">
        <v>53079</v>
      </c>
      <c r="G8" s="6" t="n">
        <v>43943</v>
      </c>
      <c r="H8" s="6" t="n">
        <v>20202</v>
      </c>
      <c r="I8" s="6" t="n">
        <v>19100</v>
      </c>
      <c r="J8" s="6" t="n">
        <v>89767</v>
      </c>
      <c r="K8" s="6" t="n">
        <v>48106</v>
      </c>
      <c r="L8" s="6" t="n">
        <v>17498</v>
      </c>
    </row>
    <row r="9">
      <c r="A9" t="inlineStr">
        <is>
          <t>„ Dec.</t>
        </is>
      </c>
      <c r="B9" s="6" t="n">
        <v>30000</v>
      </c>
      <c r="C9" s="6" t="n">
        <v>15000</v>
      </c>
      <c r="D9" s="9" t="n">
        <v>285</v>
      </c>
      <c r="E9" s="6" t="n">
        <v>129223</v>
      </c>
      <c r="F9" s="6" t="n">
        <v>32852</v>
      </c>
      <c r="G9" s="6" t="n">
        <v>38674</v>
      </c>
      <c r="H9" s="6" t="n">
        <v>18264</v>
      </c>
      <c r="I9" s="6" t="n">
        <v>19100</v>
      </c>
      <c r="J9" s="6" t="n">
        <v>84798</v>
      </c>
      <c r="K9" s="6" t="n">
        <v>50320</v>
      </c>
      <c r="L9" s="6" t="n">
        <v>27985</v>
      </c>
    </row>
    <row r="10">
      <c r="A10" t="inlineStr">
        <is>
          <t>1934 June</t>
        </is>
      </c>
      <c r="B10" s="6" t="n">
        <v>30000</v>
      </c>
      <c r="C10" s="6" t="n">
        <v>15000</v>
      </c>
      <c r="D10" s="9" t="n">
        <v>525</v>
      </c>
      <c r="E10" s="6" t="n">
        <v>100540</v>
      </c>
      <c r="F10" s="6" t="n">
        <v>54867</v>
      </c>
      <c r="G10" s="6" t="n">
        <v>72311</v>
      </c>
      <c r="H10" s="6" t="n">
        <v>18348</v>
      </c>
      <c r="I10" s="6" t="n">
        <v>19100</v>
      </c>
      <c r="J10" s="6" t="n">
        <v>90904</v>
      </c>
      <c r="K10" s="6" t="n">
        <v>57289</v>
      </c>
      <c r="L10" s="6" t="n">
        <v>37080</v>
      </c>
    </row>
    <row r="11">
      <c r="A11" t="inlineStr">
        <is>
          <t>„ Dec.</t>
        </is>
      </c>
      <c r="B11" s="10" t="n">
        <v>30</v>
      </c>
      <c r="C11" s="10" t="n">
        <v>15</v>
      </c>
      <c r="D11" s="9" t="n">
        <v>777</v>
      </c>
      <c r="E11" s="6" t="n">
        <v>168332</v>
      </c>
      <c r="F11" s="6" t="n">
        <v>51210</v>
      </c>
      <c r="G11" s="6" t="n">
        <v>50160</v>
      </c>
      <c r="H11" s="6" t="n">
        <v>20669</v>
      </c>
      <c r="I11" s="6" t="n">
        <v>24600</v>
      </c>
      <c r="J11" s="6" t="n">
        <v>140492</v>
      </c>
      <c r="K11" s="6" t="n">
        <v>58973</v>
      </c>
      <c r="L11" s="6" t="n">
        <v>38538</v>
      </c>
    </row>
    <row r="12">
      <c r="A12" t="inlineStr">
        <is>
          <t>1935 June</t>
        </is>
      </c>
      <c r="B12" s="6" t="n">
        <v>30000</v>
      </c>
      <c r="C12" s="6" t="n">
        <v>15000</v>
      </c>
      <c r="D12" s="6" t="n">
        <v>1050</v>
      </c>
      <c r="E12" s="6" t="n">
        <v>113692</v>
      </c>
      <c r="F12" s="6" t="n">
        <v>73476</v>
      </c>
      <c r="G12" s="6" t="n">
        <v>63870</v>
      </c>
      <c r="H12" s="6" t="n">
        <v>17307</v>
      </c>
      <c r="I12" s="6" t="n">
        <v>34746</v>
      </c>
      <c r="J12" s="6" t="n">
        <v>112736</v>
      </c>
      <c r="K12" s="6" t="n">
        <v>58653</v>
      </c>
      <c r="L12" s="6" t="n">
        <v>40490</v>
      </c>
    </row>
    <row r="13">
      <c r="A13" t="inlineStr">
        <is>
          <t>„ Dec.</t>
        </is>
      </c>
      <c r="B13" s="6" t="n">
        <v>30000</v>
      </c>
      <c r="C13" s="6" t="n">
        <v>15000</v>
      </c>
      <c r="D13" s="6" t="n">
        <v>1380</v>
      </c>
      <c r="E13" s="6" t="n">
        <v>178655</v>
      </c>
      <c r="F13" s="6" t="n">
        <v>73734</v>
      </c>
      <c r="G13" s="6" t="n">
        <v>78199</v>
      </c>
      <c r="H13" s="6" t="n">
        <v>18000</v>
      </c>
      <c r="I13" s="6" t="n">
        <v>52946</v>
      </c>
      <c r="J13" s="6" t="n">
        <v>118054</v>
      </c>
      <c r="K13" s="6" t="n">
        <v>60050</v>
      </c>
      <c r="L13" s="6" t="n">
        <v>50448</v>
      </c>
    </row>
    <row r="14">
      <c r="A14" t="inlineStr">
        <is>
          <t>1936 June</t>
        </is>
      </c>
      <c r="B14" s="6" t="n">
        <v>30000</v>
      </c>
      <c r="C14" s="6" t="n">
        <v>15000</v>
      </c>
      <c r="D14" s="6" t="n">
        <v>1730</v>
      </c>
      <c r="E14" s="6" t="n">
        <v>133864</v>
      </c>
      <c r="F14" s="6" t="n">
        <v>99864</v>
      </c>
      <c r="G14" s="6" t="n">
        <v>88101</v>
      </c>
      <c r="H14" s="6" t="n">
        <v>16000</v>
      </c>
      <c r="I14" s="6" t="n">
        <v>51256</v>
      </c>
      <c r="J14" s="6" t="n">
        <v>105684</v>
      </c>
      <c r="K14" s="6" t="n">
        <v>53441</v>
      </c>
      <c r="L14" s="6" t="n">
        <v>44294</v>
      </c>
    </row>
    <row r="15">
      <c r="A15" t="inlineStr">
        <is>
          <t>„ Dec.</t>
        </is>
      </c>
      <c r="B15" s="6" t="n">
        <v>30000</v>
      </c>
      <c r="C15" s="6" t="n">
        <v>15000</v>
      </c>
      <c r="D15" s="6" t="n">
        <v>2080</v>
      </c>
      <c r="E15" s="6" t="n">
        <v>254243</v>
      </c>
      <c r="F15" s="6" t="n">
        <v>113576</v>
      </c>
      <c r="G15" s="6" t="n">
        <v>112005</v>
      </c>
      <c r="H15" s="6" t="n">
        <v>16000</v>
      </c>
      <c r="I15" s="6" t="n">
        <v>61700</v>
      </c>
      <c r="J15" s="6" t="n">
        <v>135659</v>
      </c>
      <c r="K15" s="6" t="n">
        <v>88588</v>
      </c>
      <c r="L15" s="6" t="n">
        <v>43423</v>
      </c>
    </row>
    <row r="16">
      <c r="A16" t="inlineStr">
        <is>
          <t>1937 June</t>
        </is>
      </c>
      <c r="B16" s="6" t="n">
        <v>30000</v>
      </c>
      <c r="C16" s="6" t="n">
        <v>15000</v>
      </c>
      <c r="D16" s="6" t="n">
        <v>2430</v>
      </c>
      <c r="E16" s="6" t="n">
        <v>178728</v>
      </c>
      <c r="F16" s="6" t="n">
        <v>108875</v>
      </c>
      <c r="G16" s="6" t="n">
        <v>139749</v>
      </c>
      <c r="H16" s="6" t="n">
        <v>14000</v>
      </c>
      <c r="I16" s="6" t="n">
        <v>42500</v>
      </c>
      <c r="J16" s="6" t="n">
        <v>137799</v>
      </c>
      <c r="K16" s="6" t="n">
        <v>99372</v>
      </c>
      <c r="L16" s="6" t="n">
        <v>46738</v>
      </c>
    </row>
    <row r="17">
      <c r="A17" t="inlineStr">
        <is>
          <t>„ Dec.</t>
        </is>
      </c>
      <c r="B17" s="6" t="n">
        <v>30000</v>
      </c>
      <c r="C17" s="6" t="n">
        <v>15000</v>
      </c>
      <c r="D17" s="6" t="n">
        <v>2880</v>
      </c>
      <c r="E17" s="6" t="n">
        <v>307489</v>
      </c>
      <c r="F17" s="6" t="n">
        <v>133095</v>
      </c>
      <c r="G17" s="6" t="n">
        <v>132485</v>
      </c>
      <c r="H17" s="6" t="n">
        <v>14000</v>
      </c>
      <c r="I17" s="6" t="n">
        <v>36855</v>
      </c>
      <c r="J17" s="6" t="n">
        <v>175714</v>
      </c>
      <c r="K17" s="6" t="n">
        <v>194134</v>
      </c>
      <c r="L17" s="6" t="n">
        <v>54012</v>
      </c>
    </row>
    <row r="18">
      <c r="A18" t="inlineStr">
        <is>
          <t>1938 June</t>
        </is>
      </c>
      <c r="B18" s="6" t="n">
        <v>30000</v>
      </c>
      <c r="C18" s="6" t="n">
        <v>15000</v>
      </c>
      <c r="D18" s="6" t="n">
        <v>3330</v>
      </c>
      <c r="E18" s="6" t="n">
        <v>274634</v>
      </c>
      <c r="F18" s="6" t="n">
        <v>133933</v>
      </c>
      <c r="G18" s="6" t="n">
        <v>169850</v>
      </c>
      <c r="H18" s="6" t="n">
        <v>12000</v>
      </c>
      <c r="I18" s="6" t="n">
        <v>32555</v>
      </c>
      <c r="J18" s="6" t="n">
        <v>213406</v>
      </c>
      <c r="K18" s="6" t="n">
        <v>269738</v>
      </c>
      <c r="L18" s="6" t="n">
        <v>27959</v>
      </c>
    </row>
    <row r="19">
      <c r="A19" t="inlineStr">
        <is>
          <t>„ Dec.</t>
        </is>
      </c>
      <c r="B19" s="6" t="n">
        <v>30000</v>
      </c>
      <c r="C19" s="6" t="n">
        <v>15000</v>
      </c>
      <c r="D19" s="6" t="n">
        <v>3780</v>
      </c>
      <c r="E19" s="6" t="n">
        <v>425738</v>
      </c>
      <c r="F19" s="6" t="n">
        <v>164631</v>
      </c>
      <c r="G19" s="6" t="n">
        <v>222218</v>
      </c>
      <c r="H19" s="6" t="n">
        <v>12000</v>
      </c>
      <c r="I19" s="6" t="n">
        <v>109493</v>
      </c>
      <c r="J19" s="6" t="n">
        <v>310504</v>
      </c>
      <c r="K19" s="6" t="n">
        <v>323950</v>
      </c>
      <c r="L19" s="6" t="n">
        <v>107468</v>
      </c>
    </row>
    <row r="20">
      <c r="A20" t="inlineStr">
        <is>
          <t>1939 June</t>
        </is>
      </c>
      <c r="B20" s="6" t="n">
        <v>30000</v>
      </c>
      <c r="C20" s="6" t="n">
        <v>15000</v>
      </c>
      <c r="D20" s="6" t="n">
        <v>5030</v>
      </c>
      <c r="E20" s="6" t="n">
        <v>387887</v>
      </c>
      <c r="F20" s="6" t="n">
        <v>140801</v>
      </c>
      <c r="G20" s="6" t="n">
        <v>250988</v>
      </c>
      <c r="H20" s="6" t="n">
        <v>10000</v>
      </c>
      <c r="I20" s="10" t="n">
        <v>109.493</v>
      </c>
      <c r="J20" s="6" t="n">
        <v>348046</v>
      </c>
      <c r="K20" s="6" t="n">
        <v>315426</v>
      </c>
      <c r="L20" s="6" t="n">
        <v>60452</v>
      </c>
    </row>
    <row r="21">
      <c r="A21" t="inlineStr">
        <is>
          <t>„ Dec.</t>
        </is>
      </c>
      <c r="B21" s="6" t="n">
        <v>30000</v>
      </c>
      <c r="C21" s="6" t="n">
        <v>15000</v>
      </c>
      <c r="D21" s="6" t="n">
        <v>8000</v>
      </c>
      <c r="E21" s="6" t="n">
        <v>623621</v>
      </c>
      <c r="F21" s="6" t="n">
        <v>455373</v>
      </c>
      <c r="G21" s="6" t="n">
        <v>296976</v>
      </c>
      <c r="H21" s="6" t="n">
        <v>10000</v>
      </c>
      <c r="I21" s="6" t="n">
        <v>390036</v>
      </c>
      <c r="J21" s="6" t="n">
        <v>481104</v>
      </c>
      <c r="K21" s="6" t="n">
        <v>417369</v>
      </c>
      <c r="L21" t="inlineStr">
        <is>
          <t>—</t>
        </is>
      </c>
    </row>
    <row r="22">
      <c r="A22" t="inlineStr">
        <is>
          <t>1940 June</t>
        </is>
      </c>
      <c r="B22" s="6" t="n">
        <v>30000</v>
      </c>
      <c r="C22" s="6" t="n">
        <v>15000</v>
      </c>
      <c r="D22" s="6" t="n">
        <v>11100</v>
      </c>
      <c r="E22" s="6" t="n">
        <v>632214</v>
      </c>
      <c r="F22" s="6" t="n">
        <v>134501</v>
      </c>
      <c r="G22" s="6" t="n">
        <v>433590</v>
      </c>
      <c r="H22" s="6" t="n">
        <v>8000</v>
      </c>
      <c r="I22" s="6" t="n">
        <v>340086</v>
      </c>
      <c r="J22" s="6" t="n">
        <v>689079</v>
      </c>
      <c r="K22" s="6" t="n">
        <v>416680</v>
      </c>
      <c r="L22" t="inlineStr">
        <is>
          <t>—</t>
        </is>
      </c>
    </row>
    <row r="23">
      <c r="A23" t="inlineStr">
        <is>
          <t>„ Dec.</t>
        </is>
      </c>
      <c r="B23" s="6" t="n">
        <v>30000</v>
      </c>
      <c r="C23" s="6" t="n">
        <v>15000</v>
      </c>
      <c r="D23" s="6" t="n">
        <v>16030</v>
      </c>
      <c r="E23" s="6" t="n">
        <v>947051</v>
      </c>
      <c r="F23" s="6" t="n">
        <v>145100</v>
      </c>
      <c r="G23" s="6" t="n">
        <v>380155</v>
      </c>
      <c r="H23" s="6" t="n">
        <v>8000</v>
      </c>
      <c r="I23" s="6" t="n">
        <v>98335</v>
      </c>
      <c r="J23" s="6" t="n">
        <v>774126</v>
      </c>
      <c r="K23" s="6" t="n">
        <v>850687</v>
      </c>
      <c r="L23" t="inlineStr">
        <is>
          <t>—</t>
        </is>
      </c>
    </row>
    <row r="24">
      <c r="A24" t="inlineStr">
        <is>
          <t>1941 Feb.</t>
        </is>
      </c>
      <c r="B24" s="6" t="n">
        <v>30000</v>
      </c>
      <c r="C24" s="6" t="n">
        <v>15000</v>
      </c>
      <c r="D24" s="6" t="n">
        <v>21600</v>
      </c>
      <c r="E24" s="6" t="n">
        <v>869987</v>
      </c>
      <c r="F24" s="6" t="n">
        <v>114202</v>
      </c>
      <c r="G24" s="6" t="n">
        <v>378302</v>
      </c>
      <c r="H24" s="6" t="n">
        <v>8000</v>
      </c>
      <c r="I24" s="6" t="n">
        <v>145765</v>
      </c>
      <c r="J24" s="6" t="n">
        <v>806090</v>
      </c>
      <c r="K24" s="6" t="n">
        <v>849799</v>
      </c>
      <c r="L24" t="inlineStr">
        <is>
          <t>—</t>
        </is>
      </c>
    </row>
    <row r="26">
      <c r="A26" s="2" t="inlineStr">
        <is>
          <t>Transcriber's notes</t>
        </is>
      </c>
    </row>
    <row r="27">
      <c r="A27" t="inlineStr">
        <is>
          <t>Printed in two column blocks: the first (Capital to Deposits) runs 1932 Dec.–1934 Dec. on p.244 and continues '(Continued)' on p.245 for 1935 June–1941 Feb.; the second block (Debts to Bullion), headed '(Continued)', gives all dates on p.245. Merged into one table on the shared date rows.</t>
        </is>
      </c>
    </row>
    <row r="28">
      <c r="A28" t="inlineStr">
        <is>
          <t>1934 Dec. Capital figures printed '30.000' and '15.000' with a full stop in place of the comma; 1939 June 'Advance to Gov't' printed '109.493'. Transcribed as printed.</t>
        </is>
      </c>
    </row>
    <row r="29">
      <c r="A29" t="inlineStr">
        <is>
          <t>No totals printed.</t>
        </is>
      </c>
    </row>
  </sheetData>
  <hyperlinks>
    <hyperlink xmlns:r="http://schemas.openxmlformats.org/officeDocument/2006/relationships" ref="A4" r:id="rId1"/>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Interest Rates at the Central Bank of Manchou</t>
        </is>
      </c>
    </row>
    <row r="2">
      <c r="A2" t="inlineStr">
        <is>
          <t>Banking and Currency · printed pp. 245, 246</t>
        </is>
      </c>
    </row>
    <row r="3">
      <c r="A3" t="inlineStr">
        <is>
          <t>(% per Annum)</t>
        </is>
      </c>
    </row>
    <row r="4">
      <c r="A4" s="3" t="inlineStr">
        <is>
          <t>← Contents</t>
        </is>
      </c>
    </row>
    <row r="6">
      <c r="A6" s="2" t="inlineStr">
        <is>
          <t>(A) Deposits</t>
        </is>
      </c>
    </row>
    <row r="7">
      <c r="A7" s="5" t="inlineStr">
        <is>
          <t>Date</t>
        </is>
      </c>
      <c r="B7" s="5" t="inlineStr">
        <is>
          <t>Fixed — Three Months</t>
        </is>
      </c>
      <c r="C7" s="5" t="inlineStr">
        <is>
          <t>Fixed — Six Months</t>
        </is>
      </c>
      <c r="D7" s="5" t="inlineStr">
        <is>
          <t>Fixed — One Year</t>
        </is>
      </c>
      <c r="E7" s="5" t="inlineStr">
        <is>
          <t>Current Account</t>
        </is>
      </c>
      <c r="F7" s="5" t="inlineStr">
        <is>
          <t>Special Current Account</t>
        </is>
      </c>
      <c r="G7" s="5" t="inlineStr">
        <is>
          <t>Deposit at Notice</t>
        </is>
      </c>
    </row>
    <row r="8">
      <c r="A8" t="inlineStr">
        <is>
          <t>1932 Sept. 1</t>
        </is>
      </c>
      <c r="B8" s="8" t="n">
        <v>4.8</v>
      </c>
      <c r="C8" s="8" t="n">
        <v>6</v>
      </c>
      <c r="D8" s="8" t="n">
        <v>7.2</v>
      </c>
      <c r="E8" s="10" t="n">
        <v>1.825</v>
      </c>
      <c r="F8" s="10" t="n">
        <v>3.029</v>
      </c>
      <c r="G8" s="10" t="n">
        <v>3.65</v>
      </c>
    </row>
    <row r="9">
      <c r="A9" t="inlineStr">
        <is>
          <t>1933 July 1</t>
        </is>
      </c>
      <c r="B9" s="8" t="n">
        <v>3.6</v>
      </c>
      <c r="C9" s="8" t="n">
        <v>4.8</v>
      </c>
      <c r="D9" s="8" t="n">
        <v>6</v>
      </c>
      <c r="E9" s="10" t="n">
        <v>1.095</v>
      </c>
      <c r="F9" s="10" t="n">
        <v>2.555</v>
      </c>
      <c r="G9" s="10" t="n">
        <v>2.92</v>
      </c>
    </row>
    <row r="10">
      <c r="A10" t="inlineStr">
        <is>
          <t>1934 May 1</t>
        </is>
      </c>
      <c r="B10" s="8" t="n">
        <v>3.5</v>
      </c>
      <c r="C10" s="8" t="n">
        <v>4.5</v>
      </c>
      <c r="D10" s="8" t="n">
        <v>5</v>
      </c>
      <c r="E10" s="10" t="n">
        <v>1.095</v>
      </c>
      <c r="F10" s="10" t="n">
        <v>2.555</v>
      </c>
      <c r="G10" s="10" t="n">
        <v>2.92</v>
      </c>
    </row>
    <row r="11">
      <c r="A11" t="inlineStr">
        <is>
          <t>1935 Apr. 1</t>
        </is>
      </c>
      <c r="B11" t="inlineStr">
        <is>
          <t>—</t>
        </is>
      </c>
      <c r="C11" s="8" t="n">
        <v>5</v>
      </c>
      <c r="D11" s="8" t="n">
        <v>6</v>
      </c>
      <c r="E11" s="10" t="n">
        <v>1.095</v>
      </c>
      <c r="F11" s="10" t="n">
        <v>2.92</v>
      </c>
      <c r="G11" s="10" t="n">
        <v>3.65</v>
      </c>
    </row>
    <row r="12">
      <c r="A12" t="inlineStr">
        <is>
          <t>1936 Jan. 1</t>
        </is>
      </c>
      <c r="B12" t="inlineStr">
        <is>
          <t>—</t>
        </is>
      </c>
      <c r="C12" s="8" t="n">
        <v>4.5</v>
      </c>
      <c r="D12" s="8" t="n">
        <v>4.5</v>
      </c>
      <c r="E12" s="10" t="n">
        <v>1.095</v>
      </c>
      <c r="F12" s="10" t="n">
        <v>2.92</v>
      </c>
      <c r="G12" s="10" t="n">
        <v>3.65</v>
      </c>
    </row>
    <row r="13">
      <c r="A13" t="inlineStr">
        <is>
          <t>1936 May 1</t>
        </is>
      </c>
      <c r="B13" t="inlineStr">
        <is>
          <t>—</t>
        </is>
      </c>
      <c r="C13" s="8" t="n">
        <v>4.2</v>
      </c>
      <c r="D13" s="8" t="n">
        <v>4.2</v>
      </c>
      <c r="E13" s="10" t="n">
        <v>1.095</v>
      </c>
      <c r="F13" s="10" t="n">
        <v>2.555</v>
      </c>
      <c r="G13" s="10" t="n">
        <v>3.285</v>
      </c>
    </row>
    <row r="14">
      <c r="A14" t="inlineStr">
        <is>
          <t>1937 Jan. 1</t>
        </is>
      </c>
      <c r="B14" t="inlineStr">
        <is>
          <t>—</t>
        </is>
      </c>
      <c r="C14" s="8" t="n">
        <v>3.8</v>
      </c>
      <c r="D14" s="8" t="n">
        <v>3.8</v>
      </c>
      <c r="E14" s="10" t="n">
        <v>0.73</v>
      </c>
      <c r="F14" s="10" t="n">
        <v>2.19</v>
      </c>
      <c r="G14" s="10" t="n">
        <v>2.555</v>
      </c>
    </row>
    <row r="15">
      <c r="A15" t="inlineStr">
        <is>
          <t>1938 Nov. 1</t>
        </is>
      </c>
      <c r="B15" t="inlineStr">
        <is>
          <t>—</t>
        </is>
      </c>
      <c r="C15" s="8" t="n">
        <v>3.6</v>
      </c>
      <c r="D15" s="8" t="n">
        <v>3.6</v>
      </c>
      <c r="E15" s="10" t="n">
        <v>0.73</v>
      </c>
      <c r="F15" s="10" t="n">
        <v>2.19</v>
      </c>
      <c r="G15" s="10" t="n">
        <v>2.555</v>
      </c>
    </row>
    <row r="17">
      <c r="A17" s="2" t="inlineStr">
        <is>
          <t>(B) Loans</t>
        </is>
      </c>
    </row>
    <row r="18">
      <c r="A18" s="5" t="inlineStr">
        <is>
          <t>Secured by:</t>
        </is>
      </c>
      <c r="B18" s="5" t="inlineStr">
        <is>
          <t>Government Bonds</t>
        </is>
      </c>
      <c r="C18" s="5" t="inlineStr">
        <is>
          <t>Discounts</t>
        </is>
      </c>
      <c r="D18" s="5" t="inlineStr">
        <is>
          <t>Gold &amp; Silver</t>
        </is>
      </c>
      <c r="E18" s="5" t="inlineStr">
        <is>
          <t>Other Bonds &amp; Shares</t>
        </is>
      </c>
      <c r="F18" s="5" t="inlineStr">
        <is>
          <t>Commodities</t>
        </is>
      </c>
      <c r="G18" s="5" t="inlineStr">
        <is>
          <t>Warehoused cereals</t>
        </is>
      </c>
      <c r="H18" s="5" t="inlineStr">
        <is>
          <t>Real Estate</t>
        </is>
      </c>
      <c r="I18" s="5" t="inlineStr">
        <is>
          <t>Other Reliable securities</t>
        </is>
      </c>
      <c r="J18" s="5" t="inlineStr">
        <is>
          <t>Overdrafts</t>
        </is>
      </c>
    </row>
    <row r="19">
      <c r="A19" t="inlineStr">
        <is>
          <t>1932 Sept. 1</t>
        </is>
      </c>
      <c r="B19" t="inlineStr">
        <is>
          <t>—</t>
        </is>
      </c>
      <c r="C19" s="10" t="n">
        <v>10.329</v>
      </c>
      <c r="D19" t="inlineStr">
        <is>
          <t>—</t>
        </is>
      </c>
      <c r="E19" s="10" t="n">
        <v>10.329</v>
      </c>
      <c r="F19" s="10" t="n">
        <v>12.045</v>
      </c>
      <c r="G19" s="10" t="n">
        <v>12.045</v>
      </c>
      <c r="H19" s="10" t="n">
        <v>12.045</v>
      </c>
      <c r="I19" s="10" t="n">
        <v>12.045</v>
      </c>
      <c r="J19" s="10" t="n">
        <v>13.14</v>
      </c>
    </row>
    <row r="20">
      <c r="A20" t="inlineStr">
        <is>
          <t>1933 July 1</t>
        </is>
      </c>
      <c r="B20" t="inlineStr">
        <is>
          <t>—</t>
        </is>
      </c>
      <c r="C20" s="10" t="n">
        <v>8.029999999999999</v>
      </c>
      <c r="D20" s="10" t="n">
        <v>8.029999999999999</v>
      </c>
      <c r="E20" s="10" t="n">
        <v>8.395</v>
      </c>
      <c r="F20" s="10" t="n">
        <v>9.125</v>
      </c>
      <c r="G20" s="10" t="n">
        <v>9.125</v>
      </c>
      <c r="H20" s="10" t="n">
        <v>9.125</v>
      </c>
      <c r="I20" s="10" t="n">
        <v>9.125</v>
      </c>
      <c r="J20" s="10" t="n">
        <v>9.125</v>
      </c>
    </row>
    <row r="21">
      <c r="A21" t="inlineStr">
        <is>
          <t>1934 May 1</t>
        </is>
      </c>
      <c r="B21" t="inlineStr">
        <is>
          <t>—</t>
        </is>
      </c>
      <c r="C21" s="10" t="n">
        <v>6.935</v>
      </c>
      <c r="D21" s="10" t="n">
        <v>6.935</v>
      </c>
      <c r="E21" s="10" t="n">
        <v>7.3</v>
      </c>
      <c r="F21" s="10" t="n">
        <v>8.029999999999999</v>
      </c>
      <c r="G21" s="10" t="n">
        <v>8.029999999999999</v>
      </c>
      <c r="H21" s="10" t="n">
        <v>8.029999999999999</v>
      </c>
      <c r="I21" s="10" t="n">
        <v>8.029999999999999</v>
      </c>
      <c r="J21" s="10" t="n">
        <v>8.029999999999999</v>
      </c>
    </row>
    <row r="22">
      <c r="A22" t="inlineStr">
        <is>
          <t>1935 May 11</t>
        </is>
      </c>
      <c r="B22" s="10" t="n">
        <v>5.84</v>
      </c>
      <c r="C22" s="10" t="n">
        <v>6.205</v>
      </c>
      <c r="D22" s="10" t="n">
        <v>6.205</v>
      </c>
      <c r="E22" s="10" t="n">
        <v>6.57</v>
      </c>
      <c r="F22" s="10" t="n">
        <v>7.3</v>
      </c>
      <c r="G22" s="10" t="n">
        <v>7.3</v>
      </c>
      <c r="H22" s="10" t="n">
        <v>7.3</v>
      </c>
      <c r="I22" s="10" t="n">
        <v>7.3</v>
      </c>
      <c r="J22" s="10" t="n">
        <v>7.3</v>
      </c>
    </row>
    <row r="23">
      <c r="A23" t="inlineStr">
        <is>
          <t>1937 Jan. 4</t>
        </is>
      </c>
      <c r="B23" s="10" t="n">
        <v>4.745</v>
      </c>
      <c r="C23" s="10" t="n">
        <v>5.475</v>
      </c>
      <c r="D23" s="10" t="n">
        <v>5.475</v>
      </c>
      <c r="E23" s="10" t="n">
        <v>5.475</v>
      </c>
      <c r="F23" s="10" t="n">
        <v>6.57</v>
      </c>
      <c r="G23" s="10" t="n">
        <v>6.57</v>
      </c>
      <c r="H23" s="10" t="n">
        <v>6.57</v>
      </c>
      <c r="I23" s="10" t="n">
        <v>6.57</v>
      </c>
      <c r="J23" s="10" t="n">
        <v>6.57</v>
      </c>
    </row>
    <row r="25">
      <c r="A25" s="2" t="inlineStr">
        <is>
          <t>Transcriber's notes</t>
        </is>
      </c>
    </row>
    <row r="26">
      <c r="A26" t="inlineStr">
        <is>
          <t>(A) rows 1932 Sept. 1–1935 Apr. 1 on p.245; rows 1936 Jan. 1–1938 Nov. 1 on p.246 headed '(Continued)'. Merged.</t>
        </is>
      </c>
    </row>
    <row r="27">
      <c r="A27" t="inlineStr">
        <is>
          <t>Decimal points in the rate columns on p.245 are printed low and some resemble commas (e.g. '1,825'); transcribed as decimal points since these are rates per annum.</t>
        </is>
      </c>
    </row>
    <row r="28">
      <c r="A28" t="inlineStr">
        <is>
          <t>On p.246 the 'Deposit at Notice' and '(B) Overdrafts' columns are printed at the gutter edge and slightly offset vertically from their rows; aligned by order (4 and 5 values respectively).</t>
        </is>
      </c>
    </row>
    <row r="29">
      <c r="A29" t="inlineStr">
        <is>
          <t>No totals printed.</t>
        </is>
      </c>
    </row>
  </sheetData>
  <hyperlinks>
    <hyperlink xmlns:r="http://schemas.openxmlformats.org/officeDocument/2006/relationships" ref="A4"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Principal Accounts of the Industrial Bank of Manchou</t>
        </is>
      </c>
    </row>
    <row r="2">
      <c r="A2" t="inlineStr">
        <is>
          <t>Banking and Currency · printed pp. 247</t>
        </is>
      </c>
    </row>
    <row r="3">
      <c r="A3" t="inlineStr">
        <is>
          <t>(Cap. 30,000: 15,000 paid up) (In M¥1,000)</t>
        </is>
      </c>
    </row>
    <row r="4">
      <c r="A4" s="3" t="inlineStr">
        <is>
          <t>← Contents</t>
        </is>
      </c>
    </row>
    <row r="6">
      <c r="A6" s="5" t="inlineStr">
        <is>
          <t>Date</t>
        </is>
      </c>
      <c r="B6" s="5" t="inlineStr">
        <is>
          <t>Reserves</t>
        </is>
      </c>
      <c r="C6" s="5" t="inlineStr">
        <is>
          <t>Debentures issued</t>
        </is>
      </c>
      <c r="D6" s="5" t="inlineStr">
        <is>
          <t>Deposits</t>
        </is>
      </c>
      <c r="E6" s="5" t="inlineStr">
        <is>
          <t>Advances</t>
        </is>
      </c>
      <c r="F6" s="5" t="inlineStr">
        <is>
          <t>Securities</t>
        </is>
      </c>
      <c r="G6" s="5" t="inlineStr">
        <is>
          <t>Cash on Hand</t>
        </is>
      </c>
    </row>
    <row r="7">
      <c r="A7" t="inlineStr">
        <is>
          <t>1937 June</t>
        </is>
      </c>
      <c r="B7" t="inlineStr">
        <is>
          <t>—</t>
        </is>
      </c>
      <c r="C7" t="inlineStr">
        <is>
          <t>—</t>
        </is>
      </c>
      <c r="D7" s="6" t="n">
        <v>211137</v>
      </c>
      <c r="E7" s="6" t="n">
        <v>186284</v>
      </c>
      <c r="F7" s="6" t="n">
        <v>75395</v>
      </c>
      <c r="G7" s="6" t="n">
        <v>34563</v>
      </c>
    </row>
    <row r="8">
      <c r="A8" t="inlineStr">
        <is>
          <t>„ Dec.</t>
        </is>
      </c>
      <c r="B8" s="9" t="n">
        <v>350</v>
      </c>
      <c r="C8" t="inlineStr">
        <is>
          <t>—</t>
        </is>
      </c>
      <c r="D8" s="6" t="n">
        <v>244270</v>
      </c>
      <c r="E8" s="6" t="n">
        <v>258995</v>
      </c>
      <c r="F8" s="6" t="n">
        <v>81203</v>
      </c>
      <c r="G8" s="6" t="n">
        <v>15242</v>
      </c>
    </row>
    <row r="9">
      <c r="A9" t="inlineStr">
        <is>
          <t>1938 June</t>
        </is>
      </c>
      <c r="B9" s="9" t="n">
        <v>925</v>
      </c>
      <c r="C9" s="6" t="n">
        <v>1995</v>
      </c>
      <c r="D9" s="6" t="n">
        <v>331336</v>
      </c>
      <c r="E9" s="6" t="n">
        <v>288528</v>
      </c>
      <c r="F9" s="6" t="n">
        <v>150213</v>
      </c>
      <c r="G9" s="6" t="n">
        <v>12728</v>
      </c>
    </row>
    <row r="10">
      <c r="A10" t="inlineStr">
        <is>
          <t>„ Dec.</t>
        </is>
      </c>
      <c r="B10" s="6" t="n">
        <v>1535</v>
      </c>
      <c r="C10" s="6" t="n">
        <v>15987</v>
      </c>
      <c r="D10" s="6" t="n">
        <v>388150</v>
      </c>
      <c r="E10" s="6" t="n">
        <v>412419</v>
      </c>
      <c r="F10" s="6" t="n">
        <v>120616</v>
      </c>
      <c r="G10" s="6" t="n">
        <v>10865</v>
      </c>
    </row>
    <row r="11">
      <c r="A11" t="inlineStr">
        <is>
          <t>1939 June</t>
        </is>
      </c>
      <c r="B11" s="6" t="n">
        <v>2145</v>
      </c>
      <c r="C11" s="6" t="n">
        <v>28975</v>
      </c>
      <c r="D11" s="6" t="n">
        <v>529300</v>
      </c>
      <c r="E11" s="6" t="n">
        <v>527242</v>
      </c>
      <c r="F11" s="6" t="n">
        <v>120481</v>
      </c>
      <c r="G11" s="6" t="n">
        <v>31920</v>
      </c>
    </row>
    <row r="12">
      <c r="A12" t="inlineStr">
        <is>
          <t>„ Dec.</t>
        </is>
      </c>
      <c r="B12" s="6" t="n">
        <v>2795</v>
      </c>
      <c r="C12" s="6" t="n">
        <v>41956</v>
      </c>
      <c r="D12" s="6" t="n">
        <v>568691</v>
      </c>
      <c r="E12" s="6" t="n">
        <v>790373</v>
      </c>
      <c r="F12" s="6" t="n">
        <v>115942</v>
      </c>
      <c r="G12" s="6" t="n">
        <v>15639</v>
      </c>
    </row>
    <row r="13">
      <c r="A13" t="inlineStr">
        <is>
          <t>1940 June</t>
        </is>
      </c>
      <c r="B13" s="6" t="n">
        <v>3695</v>
      </c>
      <c r="C13" s="6" t="n">
        <v>74934</v>
      </c>
      <c r="D13" s="6" t="n">
        <v>627343</v>
      </c>
      <c r="E13" s="6" t="n">
        <v>1011927</v>
      </c>
      <c r="F13" s="6" t="n">
        <v>139944</v>
      </c>
      <c r="G13" s="6" t="n">
        <v>18143</v>
      </c>
    </row>
    <row r="14">
      <c r="A14" t="inlineStr">
        <is>
          <t>„ Dec.</t>
        </is>
      </c>
      <c r="B14" s="6" t="n">
        <v>4595</v>
      </c>
      <c r="C14" s="6" t="n">
        <v>93900</v>
      </c>
      <c r="D14" s="6" t="n">
        <v>739411</v>
      </c>
      <c r="E14" s="6" t="n">
        <v>1294574</v>
      </c>
      <c r="F14" s="6" t="n">
        <v>144177</v>
      </c>
      <c r="G14" s="6" t="n">
        <v>22285</v>
      </c>
    </row>
    <row r="15">
      <c r="A15" t="inlineStr">
        <is>
          <t>1941 Feb.</t>
        </is>
      </c>
      <c r="B15" s="6" t="n">
        <v>8195</v>
      </c>
      <c r="C15" s="6" t="n">
        <v>104798</v>
      </c>
      <c r="D15" s="6" t="n">
        <v>764508</v>
      </c>
      <c r="E15" s="6" t="n">
        <v>1356104</v>
      </c>
      <c r="F15" s="6" t="n">
        <v>144483</v>
      </c>
      <c r="G15" s="6" t="n">
        <v>18054</v>
      </c>
    </row>
    <row r="17">
      <c r="A17" s="2" t="inlineStr">
        <is>
          <t>Transcriber's notes</t>
        </is>
      </c>
    </row>
    <row r="18">
      <c r="A18" t="inlineStr">
        <is>
          <t>No totals printed.</t>
        </is>
      </c>
    </row>
  </sheetData>
  <hyperlinks>
    <hyperlink xmlns:r="http://schemas.openxmlformats.org/officeDocument/2006/relationships" ref="A4"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C4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Principal Banks in Manchoukuo</t>
        </is>
      </c>
    </row>
    <row r="2">
      <c r="A2" t="inlineStr">
        <is>
          <t>Banking and Currency · printed pp. 248</t>
        </is>
      </c>
    </row>
    <row r="3">
      <c r="A3" t="inlineStr">
        <is>
          <t>(1939)</t>
        </is>
      </c>
    </row>
    <row r="4">
      <c r="A4" s="3" t="inlineStr">
        <is>
          <t>← Contents</t>
        </is>
      </c>
    </row>
    <row r="6">
      <c r="A6" s="5" t="inlineStr">
        <is>
          <t>Bank</t>
        </is>
      </c>
      <c r="B6" s="5" t="inlineStr">
        <is>
          <t>Head Office</t>
        </is>
      </c>
      <c r="C6" s="5" t="inlineStr">
        <is>
          <t>Capital (M¥1,000)</t>
        </is>
      </c>
    </row>
    <row r="7">
      <c r="A7" t="inlineStr">
        <is>
          <t>Special Banks:</t>
        </is>
      </c>
      <c r="B7" t="inlineStr"/>
      <c r="C7" t="inlineStr"/>
    </row>
    <row r="8">
      <c r="A8" t="inlineStr">
        <is>
          <t>Central Bank of Manchou</t>
        </is>
      </c>
      <c r="B8" t="inlineStr">
        <is>
          <t>Hsinking</t>
        </is>
      </c>
      <c r="C8" t="inlineStr">
        <is>
          <t>M¥30,000</t>
        </is>
      </c>
    </row>
    <row r="9">
      <c r="A9" t="inlineStr">
        <is>
          <t>Industrial Bank of Manchou</t>
        </is>
      </c>
      <c r="B9" t="inlineStr">
        <is>
          <t>„</t>
        </is>
      </c>
      <c r="C9" s="6" t="n">
        <v>30000</v>
      </c>
    </row>
    <row r="10">
      <c r="A10" t="inlineStr">
        <is>
          <t>Domestic Banks:</t>
        </is>
      </c>
      <c r="B10" t="inlineStr"/>
      <c r="C10" t="inlineStr"/>
    </row>
    <row r="11">
      <c r="A11" t="inlineStr">
        <is>
          <t>Mukden Commercial &amp; Industrial Bank</t>
        </is>
      </c>
      <c r="B11" t="inlineStr">
        <is>
          <t>Mukden</t>
        </is>
      </c>
      <c r="C11" s="6" t="n">
        <v>2200</v>
      </c>
    </row>
    <row r="12">
      <c r="A12" t="inlineStr">
        <is>
          <t>Mukden Commercial Bank</t>
        </is>
      </c>
      <c r="B12" t="inlineStr">
        <is>
          <t>„</t>
        </is>
      </c>
      <c r="C12" s="6" t="n">
        <v>1000</v>
      </c>
    </row>
    <row r="13">
      <c r="A13" t="inlineStr">
        <is>
          <t>Mukden Exchange Bank</t>
        </is>
      </c>
      <c r="B13" t="inlineStr">
        <is>
          <t>„</t>
        </is>
      </c>
      <c r="C13" s="6" t="n">
        <v>1000</v>
      </c>
    </row>
    <row r="14">
      <c r="A14" t="inlineStr">
        <is>
          <t>Shihhokung Bank</t>
        </is>
      </c>
      <c r="B14" t="inlineStr">
        <is>
          <t>„</t>
        </is>
      </c>
      <c r="C14" s="9" t="n">
        <v>500</v>
      </c>
    </row>
    <row r="15">
      <c r="A15" t="inlineStr">
        <is>
          <t>Nikka Bank</t>
        </is>
      </c>
      <c r="B15" t="inlineStr">
        <is>
          <t>Tiehling</t>
        </is>
      </c>
      <c r="C15" s="9" t="n">
        <v>500</v>
      </c>
    </row>
    <row r="16">
      <c r="A16" t="inlineStr">
        <is>
          <t>Yingkow Commercial Bank</t>
        </is>
      </c>
      <c r="B16" t="inlineStr">
        <is>
          <t>Yingkow</t>
        </is>
      </c>
      <c r="C16" s="6" t="n">
        <v>1000</v>
      </c>
    </row>
    <row r="17">
      <c r="A17" t="inlineStr">
        <is>
          <t>Chenhsing Bank</t>
        </is>
      </c>
      <c r="B17" t="inlineStr">
        <is>
          <t>„</t>
        </is>
      </c>
      <c r="C17" s="6" t="n">
        <v>1175</v>
      </c>
    </row>
    <row r="18">
      <c r="A18" t="inlineStr">
        <is>
          <t>Kungcheng Bank</t>
        </is>
      </c>
      <c r="B18" t="inlineStr">
        <is>
          <t>Kirin</t>
        </is>
      </c>
      <c r="C18" s="6" t="n">
        <v>1000</v>
      </c>
    </row>
    <row r="19">
      <c r="A19" t="inlineStr">
        <is>
          <t>Eastern Frontier Commercial Bank</t>
        </is>
      </c>
      <c r="B19" t="inlineStr">
        <is>
          <t>Antung</t>
        </is>
      </c>
      <c r="C19" s="6" t="n">
        <v>2500</v>
      </c>
    </row>
    <row r="20">
      <c r="A20" t="inlineStr">
        <is>
          <t>Hsiehcheng Bank</t>
        </is>
      </c>
      <c r="B20" t="inlineStr">
        <is>
          <t>„</t>
        </is>
      </c>
      <c r="C20" s="6" t="n">
        <v>1000</v>
      </c>
    </row>
    <row r="21">
      <c r="A21" t="inlineStr">
        <is>
          <t>Mutankiang Commercial Bank</t>
        </is>
      </c>
      <c r="B21" t="inlineStr">
        <is>
          <t>Mutankiang</t>
        </is>
      </c>
      <c r="C21" s="9" t="n">
        <v>500</v>
      </c>
    </row>
    <row r="22">
      <c r="A22" t="inlineStr">
        <is>
          <t>Kengtsu Bank</t>
        </is>
      </c>
      <c r="B22" t="inlineStr">
        <is>
          <t>Harbin</t>
        </is>
      </c>
      <c r="C22" s="9" t="n">
        <v>500</v>
      </c>
    </row>
    <row r="23">
      <c r="A23" t="inlineStr">
        <is>
          <t>Futeh Bank</t>
        </is>
      </c>
      <c r="B23" t="inlineStr">
        <is>
          <t>„</t>
        </is>
      </c>
      <c r="C23" s="9" t="n">
        <v>500</v>
      </c>
    </row>
    <row r="24">
      <c r="A24" t="inlineStr">
        <is>
          <t>Chungtai Bank</t>
        </is>
      </c>
      <c r="B24" t="inlineStr">
        <is>
          <t>„</t>
        </is>
      </c>
      <c r="C24" s="9" t="n">
        <v>500</v>
      </c>
    </row>
    <row r="25">
      <c r="A25" t="inlineStr">
        <is>
          <t>Tienho Bank</t>
        </is>
      </c>
      <c r="B25" t="inlineStr">
        <is>
          <t>„</t>
        </is>
      </c>
      <c r="C25" s="9" t="n">
        <v>500</v>
      </c>
    </row>
    <row r="26">
      <c r="A26" t="inlineStr">
        <is>
          <t>Harbin Commercial Bank</t>
        </is>
      </c>
      <c r="B26" t="inlineStr">
        <is>
          <t>„</t>
        </is>
      </c>
      <c r="C26" s="9" t="n">
        <v>500</v>
      </c>
    </row>
    <row r="27">
      <c r="A27" t="inlineStr">
        <is>
          <t>Ifa Bank</t>
        </is>
      </c>
      <c r="B27" t="inlineStr">
        <is>
          <t>Hsinking</t>
        </is>
      </c>
      <c r="C27" s="6" t="n">
        <v>1000</v>
      </c>
    </row>
    <row r="28">
      <c r="A28" t="inlineStr">
        <is>
          <t>Itung Commercial Bank</t>
        </is>
      </c>
      <c r="B28" t="inlineStr">
        <is>
          <t>„</t>
        </is>
      </c>
      <c r="C28" s="6" t="n">
        <v>1000</v>
      </c>
    </row>
    <row r="29">
      <c r="A29" t="inlineStr">
        <is>
          <t>Hsinking Bank</t>
        </is>
      </c>
      <c r="B29" t="inlineStr">
        <is>
          <t>„</t>
        </is>
      </c>
      <c r="C29" s="6" t="n">
        <v>1000</v>
      </c>
    </row>
    <row r="30">
      <c r="A30" t="inlineStr">
        <is>
          <t>Japanese Banks:</t>
        </is>
      </c>
      <c r="B30" t="inlineStr"/>
      <c r="C30" t="inlineStr"/>
    </row>
    <row r="31">
      <c r="A31" t="inlineStr">
        <is>
          <t>Yokohama Specie Bank</t>
        </is>
      </c>
      <c r="B31" t="inlineStr">
        <is>
          <t>Japan</t>
        </is>
      </c>
      <c r="C31" t="inlineStr">
        <is>
          <t>¥100,000</t>
        </is>
      </c>
    </row>
    <row r="32">
      <c r="A32" t="inlineStr">
        <is>
          <t>Oriental Development Co.</t>
        </is>
      </c>
      <c r="B32" t="inlineStr">
        <is>
          <t>„</t>
        </is>
      </c>
      <c r="C32" s="6" t="n">
        <v>50000</v>
      </c>
    </row>
    <row r="33">
      <c r="A33" t="inlineStr">
        <is>
          <t>Other Banks:</t>
        </is>
      </c>
      <c r="B33" t="inlineStr"/>
      <c r="C33" t="inlineStr"/>
    </row>
    <row r="34">
      <c r="A34" t="inlineStr">
        <is>
          <t>Bank of China</t>
        </is>
      </c>
      <c r="B34" t="inlineStr">
        <is>
          <t>China</t>
        </is>
      </c>
      <c r="C34" t="inlineStr">
        <is>
          <t>S$40,000</t>
        </is>
      </c>
    </row>
    <row r="35">
      <c r="A35" t="inlineStr">
        <is>
          <t>Bank of Communications</t>
        </is>
      </c>
      <c r="B35" t="inlineStr">
        <is>
          <t>„</t>
        </is>
      </c>
      <c r="C35" s="6" t="n">
        <v>10000</v>
      </c>
    </row>
    <row r="36">
      <c r="A36" t="inlineStr">
        <is>
          <t>Hongkong Shanghai Bank</t>
        </is>
      </c>
      <c r="B36" t="inlineStr">
        <is>
          <t>Hongkong</t>
        </is>
      </c>
      <c r="C36" t="inlineStr">
        <is>
          <t>HT50,000</t>
        </is>
      </c>
    </row>
    <row r="37">
      <c r="A37" t="inlineStr">
        <is>
          <t>Chartered Bank of India, Australia &amp; China</t>
        </is>
      </c>
      <c r="B37" t="inlineStr">
        <is>
          <t>London</t>
        </is>
      </c>
      <c r="C37" t="inlineStr">
        <is>
          <t>£3,000</t>
        </is>
      </c>
    </row>
    <row r="38">
      <c r="A38" t="inlineStr">
        <is>
          <t>National City Bank of N.Y.</t>
        </is>
      </c>
      <c r="B38" t="inlineStr">
        <is>
          <t>U.S.A.</t>
        </is>
      </c>
      <c r="C38" t="inlineStr">
        <is>
          <t>US$127,500</t>
        </is>
      </c>
    </row>
    <row r="40">
      <c r="A40" s="2" t="inlineStr">
        <is>
          <t>Transcriber's notes</t>
        </is>
      </c>
    </row>
    <row r="41">
      <c r="A41" t="inlineStr">
        <is>
          <t>'„' = ditto mark as printed in the Head Office column.</t>
        </is>
      </c>
    </row>
    <row r="42">
      <c r="A42" t="inlineStr">
        <is>
          <t>Capital figures carry the currency prefix as printed (M¥, ¥, S$, HT, £, US$); unit heading reads '(M¥1,000)'.</t>
        </is>
      </c>
    </row>
    <row r="43">
      <c r="A43" t="inlineStr">
        <is>
          <t>No totals printed.</t>
        </is>
      </c>
    </row>
  </sheetData>
  <hyperlinks>
    <hyperlink xmlns:r="http://schemas.openxmlformats.org/officeDocument/2006/relationships" ref="A4" r:id="rId1"/>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Other Financial Organs</t>
        </is>
      </c>
    </row>
    <row r="2">
      <c r="A2" t="inlineStr">
        <is>
          <t>Banking and Currency · printed pp. 249</t>
        </is>
      </c>
    </row>
    <row r="3">
      <c r="A3" t="inlineStr">
        <is>
          <t>(M¥1,000)</t>
        </is>
      </c>
    </row>
    <row r="4">
      <c r="A4" s="3" t="inlineStr">
        <is>
          <t>← Contents</t>
        </is>
      </c>
    </row>
    <row r="6">
      <c r="A6" s="2" t="inlineStr">
        <is>
          <t>(A) Kohno Gassaku-sha</t>
        </is>
      </c>
    </row>
    <row r="7">
      <c r="A7" s="5" t="inlineStr">
        <is>
          <t>Date</t>
        </is>
      </c>
      <c r="B7" s="5" t="inlineStr">
        <is>
          <t>Member Cos.</t>
        </is>
      </c>
      <c r="C7" s="5" t="inlineStr">
        <is>
          <t>Reserves</t>
        </is>
      </c>
      <c r="D7" s="5" t="inlineStr">
        <is>
          <t>Loans</t>
        </is>
      </c>
      <c r="E7" s="5" t="inlineStr">
        <is>
          <t>Deposits — Gov't Bk.</t>
        </is>
      </c>
      <c r="F7" s="5" t="inlineStr">
        <is>
          <t>Deposits — Other Bks.</t>
        </is>
      </c>
      <c r="G7" s="5" t="inlineStr">
        <is>
          <t>Advances</t>
        </is>
      </c>
    </row>
    <row r="8">
      <c r="A8" t="inlineStr">
        <is>
          <t>1940 May</t>
        </is>
      </c>
      <c r="B8" s="9" t="n">
        <v>186</v>
      </c>
      <c r="C8" s="6" t="n">
        <v>1450</v>
      </c>
      <c r="D8" s="6" t="n">
        <v>154678</v>
      </c>
      <c r="E8" s="6" t="n">
        <v>30622</v>
      </c>
      <c r="F8" s="6" t="n">
        <v>50140</v>
      </c>
      <c r="G8" s="6" t="n">
        <v>149889</v>
      </c>
    </row>
    <row r="9">
      <c r="A9" t="inlineStr">
        <is>
          <t>„ June</t>
        </is>
      </c>
      <c r="B9" s="9" t="n">
        <v>185</v>
      </c>
      <c r="C9" s="6" t="n">
        <v>1753</v>
      </c>
      <c r="D9" s="6" t="n">
        <v>173206</v>
      </c>
      <c r="E9" s="6" t="n">
        <v>25439</v>
      </c>
      <c r="F9" s="6" t="n">
        <v>53467</v>
      </c>
      <c r="G9" s="6" t="n">
        <v>175013</v>
      </c>
    </row>
    <row r="10">
      <c r="A10" t="inlineStr">
        <is>
          <t>„ July</t>
        </is>
      </c>
      <c r="B10" s="9" t="n">
        <v>186</v>
      </c>
      <c r="C10" s="6" t="n">
        <v>1835</v>
      </c>
      <c r="D10" s="6" t="n">
        <v>179882</v>
      </c>
      <c r="E10" s="6" t="n">
        <v>22494</v>
      </c>
      <c r="F10" s="6" t="n">
        <v>54221</v>
      </c>
      <c r="G10" s="6" t="n">
        <v>185242</v>
      </c>
    </row>
    <row r="11">
      <c r="A11" t="inlineStr">
        <is>
          <t>„ Aug.</t>
        </is>
      </c>
      <c r="B11" s="9" t="n">
        <v>186</v>
      </c>
      <c r="C11" s="6" t="n">
        <v>2042</v>
      </c>
      <c r="D11" s="6" t="n">
        <v>182305</v>
      </c>
      <c r="E11" s="6" t="n">
        <v>21242</v>
      </c>
      <c r="F11" s="6" t="n">
        <v>53334</v>
      </c>
      <c r="G11" s="6" t="n">
        <v>187423</v>
      </c>
    </row>
    <row r="12">
      <c r="A12" t="inlineStr">
        <is>
          <t>„ Sept.</t>
        </is>
      </c>
      <c r="B12" s="9" t="n">
        <v>186</v>
      </c>
      <c r="C12" s="6" t="n">
        <v>2498</v>
      </c>
      <c r="D12" s="6" t="n">
        <v>183239</v>
      </c>
      <c r="E12" s="6" t="n">
        <v>19022</v>
      </c>
      <c r="F12" s="6" t="n">
        <v>52852</v>
      </c>
      <c r="G12" s="6" t="n">
        <v>186353</v>
      </c>
    </row>
    <row r="13">
      <c r="A13" t="inlineStr">
        <is>
          <t>„ Oct.</t>
        </is>
      </c>
      <c r="B13" s="9" t="n">
        <v>186</v>
      </c>
      <c r="C13" s="6" t="n">
        <v>6582</v>
      </c>
      <c r="D13" s="6" t="n">
        <v>198575</v>
      </c>
      <c r="E13" s="6" t="n">
        <v>26210</v>
      </c>
      <c r="F13" s="6" t="n">
        <v>52854</v>
      </c>
      <c r="G13" s="6" t="n">
        <v>182807</v>
      </c>
    </row>
    <row r="14">
      <c r="A14" t="inlineStr">
        <is>
          <t>„ Nov.</t>
        </is>
      </c>
      <c r="B14" s="9" t="n">
        <v>186</v>
      </c>
      <c r="C14" s="6" t="n">
        <v>9557</v>
      </c>
      <c r="D14" s="6" t="n">
        <v>184116</v>
      </c>
      <c r="E14" s="6" t="n">
        <v>38896</v>
      </c>
      <c r="F14" s="6" t="n">
        <v>60815</v>
      </c>
      <c r="G14" s="6" t="n">
        <v>152052</v>
      </c>
    </row>
    <row r="15">
      <c r="A15" t="inlineStr">
        <is>
          <t>„ Dec.</t>
        </is>
      </c>
      <c r="B15" s="9" t="n">
        <v>186</v>
      </c>
      <c r="C15" s="6" t="n">
        <v>9192</v>
      </c>
      <c r="D15" s="6" t="n">
        <v>102946</v>
      </c>
      <c r="E15" s="6" t="n">
        <v>49173</v>
      </c>
      <c r="F15" s="6" t="n">
        <v>56501</v>
      </c>
      <c r="G15" s="6" t="n">
        <v>64077</v>
      </c>
    </row>
    <row r="16">
      <c r="A16" t="inlineStr">
        <is>
          <t>1941 Jan.</t>
        </is>
      </c>
      <c r="B16" s="9" t="n">
        <v>185</v>
      </c>
      <c r="C16" s="6" t="n">
        <v>8302</v>
      </c>
      <c r="D16" s="6" t="n">
        <v>92846</v>
      </c>
      <c r="E16" s="6" t="n">
        <v>51968</v>
      </c>
      <c r="F16" s="6" t="n">
        <v>65702</v>
      </c>
      <c r="G16" s="6" t="n">
        <v>58680</v>
      </c>
    </row>
    <row r="18">
      <c r="A18" s="2" t="inlineStr">
        <is>
          <t>(B) Shoko Kinyu Gassakusha</t>
        </is>
      </c>
    </row>
    <row r="19">
      <c r="A19" s="5" t="inlineStr">
        <is>
          <t>Date</t>
        </is>
      </c>
      <c r="B19" s="5" t="inlineStr">
        <is>
          <t>Member Cos.</t>
        </is>
      </c>
      <c r="C19" s="5" t="inlineStr">
        <is>
          <t>Members</t>
        </is>
      </c>
      <c r="D19" s="5" t="inlineStr">
        <is>
          <t>Capital</t>
        </is>
      </c>
      <c r="E19" s="5" t="inlineStr">
        <is>
          <t>Loans</t>
        </is>
      </c>
      <c r="F19" s="5" t="inlineStr">
        <is>
          <t>Deposits</t>
        </is>
      </c>
      <c r="G19" s="5" t="inlineStr">
        <is>
          <t>Advances</t>
        </is>
      </c>
    </row>
    <row r="20">
      <c r="A20" t="inlineStr">
        <is>
          <t>1940 May</t>
        </is>
      </c>
      <c r="B20" s="9" t="n">
        <v>33</v>
      </c>
      <c r="C20" s="6" t="n">
        <v>23437</v>
      </c>
      <c r="D20" s="6" t="n">
        <v>1555</v>
      </c>
      <c r="E20" s="6" t="n">
        <v>12677</v>
      </c>
      <c r="F20" s="6" t="n">
        <v>30387</v>
      </c>
      <c r="G20" s="6" t="n">
        <v>29851</v>
      </c>
    </row>
    <row r="21">
      <c r="A21" t="inlineStr">
        <is>
          <t>„ June</t>
        </is>
      </c>
      <c r="B21" s="9" t="n">
        <v>33</v>
      </c>
      <c r="C21" s="6" t="n">
        <v>24027</v>
      </c>
      <c r="D21" s="6" t="n">
        <v>1568</v>
      </c>
      <c r="E21" s="6" t="n">
        <v>13319</v>
      </c>
      <c r="F21" s="6" t="n">
        <v>32329</v>
      </c>
      <c r="G21" s="6" t="n">
        <v>31762</v>
      </c>
    </row>
    <row r="22">
      <c r="A22" t="inlineStr">
        <is>
          <t>„ July</t>
        </is>
      </c>
      <c r="B22" s="9" t="n">
        <v>33</v>
      </c>
      <c r="C22" s="6" t="n">
        <v>24638</v>
      </c>
      <c r="D22" s="6" t="n">
        <v>1577</v>
      </c>
      <c r="E22" s="6" t="n">
        <v>12867</v>
      </c>
      <c r="F22" s="6" t="n">
        <v>34189</v>
      </c>
      <c r="G22" s="6" t="n">
        <v>32158</v>
      </c>
    </row>
    <row r="23">
      <c r="A23" t="inlineStr">
        <is>
          <t>„ Aug.</t>
        </is>
      </c>
      <c r="B23" s="9" t="n">
        <v>33</v>
      </c>
      <c r="C23" s="6" t="n">
        <v>24898</v>
      </c>
      <c r="D23" s="6" t="n">
        <v>1572</v>
      </c>
      <c r="E23" s="6" t="n">
        <v>11806</v>
      </c>
      <c r="F23" s="6" t="n">
        <v>36884</v>
      </c>
      <c r="G23" s="6" t="n">
        <v>32558</v>
      </c>
    </row>
    <row r="24">
      <c r="A24" t="inlineStr">
        <is>
          <t>„ Sept.</t>
        </is>
      </c>
      <c r="B24" s="9" t="n">
        <v>33</v>
      </c>
      <c r="C24" s="6" t="n">
        <v>25206</v>
      </c>
      <c r="D24" s="6" t="n">
        <v>1580</v>
      </c>
      <c r="E24" s="6" t="n">
        <v>11538</v>
      </c>
      <c r="F24" s="6" t="n">
        <v>38388</v>
      </c>
      <c r="G24" s="6" t="n">
        <v>32592</v>
      </c>
    </row>
    <row r="25">
      <c r="A25" t="inlineStr">
        <is>
          <t>„ Oct.</t>
        </is>
      </c>
      <c r="B25" s="9" t="n">
        <v>33</v>
      </c>
      <c r="C25" s="6" t="n">
        <v>20964</v>
      </c>
      <c r="D25" s="6" t="n">
        <v>1569</v>
      </c>
      <c r="E25" s="6" t="n">
        <v>10553</v>
      </c>
      <c r="F25" s="6" t="n">
        <v>41948</v>
      </c>
      <c r="G25" s="6" t="n">
        <v>32289</v>
      </c>
    </row>
    <row r="26">
      <c r="A26" t="inlineStr">
        <is>
          <t>„ Nov.</t>
        </is>
      </c>
      <c r="B26" s="9" t="n">
        <v>34</v>
      </c>
      <c r="C26" s="6" t="n">
        <v>26958</v>
      </c>
      <c r="D26" s="6" t="n">
        <v>1476</v>
      </c>
      <c r="E26" s="6" t="n">
        <v>10509</v>
      </c>
      <c r="F26" s="6" t="n">
        <v>45674</v>
      </c>
      <c r="G26" s="6" t="n">
        <v>33892</v>
      </c>
    </row>
    <row r="27">
      <c r="A27" t="inlineStr">
        <is>
          <t>„ Dec.</t>
        </is>
      </c>
      <c r="B27" s="9" t="n">
        <v>35</v>
      </c>
      <c r="C27" s="6" t="n">
        <v>27646</v>
      </c>
      <c r="D27" s="6" t="n">
        <v>1411</v>
      </c>
      <c r="E27" s="6" t="n">
        <v>11714</v>
      </c>
      <c r="F27" s="6" t="n">
        <v>52419</v>
      </c>
      <c r="G27" s="6" t="n">
        <v>37641</v>
      </c>
    </row>
    <row r="28">
      <c r="A28" t="inlineStr">
        <is>
          <t>1941 Jan.</t>
        </is>
      </c>
      <c r="B28" s="9" t="n">
        <v>35</v>
      </c>
      <c r="C28" s="6" t="n">
        <v>28371</v>
      </c>
      <c r="D28" s="6" t="n">
        <v>1337</v>
      </c>
      <c r="E28" s="6" t="n">
        <v>12692</v>
      </c>
      <c r="F28" s="6" t="n">
        <v>55516</v>
      </c>
      <c r="G28" s="6" t="n">
        <v>41403</v>
      </c>
    </row>
    <row r="29">
      <c r="A29" t="inlineStr">
        <is>
          <t>„ Feb.</t>
        </is>
      </c>
      <c r="B29" s="9" t="n">
        <v>35</v>
      </c>
      <c r="C29" s="6" t="n">
        <v>28966</v>
      </c>
      <c r="D29" s="9" t="n">
        <v>809</v>
      </c>
      <c r="E29" s="6" t="n">
        <v>13082</v>
      </c>
      <c r="F29" s="6" t="n">
        <v>58969</v>
      </c>
      <c r="G29" s="6" t="n">
        <v>42725</v>
      </c>
    </row>
    <row r="31">
      <c r="A31" s="2" t="inlineStr">
        <is>
          <t>(C) Kinyu Kumiai (Kwantung)</t>
        </is>
      </c>
    </row>
    <row r="32">
      <c r="A32" s="5" t="inlineStr">
        <is>
          <t>End of:</t>
        </is>
      </c>
      <c r="B32" s="5" t="inlineStr">
        <is>
          <t>No. of Assns.</t>
        </is>
      </c>
      <c r="C32" s="5" t="inlineStr">
        <is>
          <t>Members</t>
        </is>
      </c>
      <c r="D32" s="5" t="inlineStr">
        <is>
          <t>Capital</t>
        </is>
      </c>
      <c r="E32" s="5" t="inlineStr">
        <is>
          <t>Loans</t>
        </is>
      </c>
      <c r="F32" s="5" t="inlineStr">
        <is>
          <t>Deposits</t>
        </is>
      </c>
      <c r="G32" s="5" t="inlineStr">
        <is>
          <t>Advances</t>
        </is>
      </c>
    </row>
    <row r="33">
      <c r="A33" s="9" t="n">
        <v>1936</v>
      </c>
      <c r="B33" s="9" t="n">
        <v>8</v>
      </c>
      <c r="C33" s="6" t="n">
        <v>9942</v>
      </c>
      <c r="D33" s="9" t="n">
        <v>248</v>
      </c>
      <c r="E33" s="9" t="n">
        <v>860</v>
      </c>
      <c r="F33" s="6" t="n">
        <v>3582</v>
      </c>
      <c r="G33" s="6" t="n">
        <v>3985</v>
      </c>
    </row>
    <row r="34">
      <c r="A34" s="9" t="n">
        <v>1937</v>
      </c>
      <c r="B34" s="9" t="n">
        <v>8</v>
      </c>
      <c r="C34" s="6" t="n">
        <v>11079</v>
      </c>
      <c r="D34" s="9" t="n">
        <v>280</v>
      </c>
      <c r="E34" s="6" t="n">
        <v>1730</v>
      </c>
      <c r="F34" s="6" t="n">
        <v>3763</v>
      </c>
      <c r="G34" s="6" t="n">
        <v>5604</v>
      </c>
    </row>
    <row r="35">
      <c r="A35" s="9" t="n">
        <v>1938</v>
      </c>
      <c r="B35" s="9" t="n">
        <v>11</v>
      </c>
      <c r="C35" s="6" t="n">
        <v>14585</v>
      </c>
      <c r="D35" s="9" t="n">
        <v>328</v>
      </c>
      <c r="E35" s="6" t="n">
        <v>2701</v>
      </c>
      <c r="F35" s="6" t="n">
        <v>6911</v>
      </c>
      <c r="G35" s="6" t="n">
        <v>6852</v>
      </c>
    </row>
    <row r="36">
      <c r="A36" s="9" t="n">
        <v>1939</v>
      </c>
      <c r="B36" s="9" t="n">
        <v>11</v>
      </c>
      <c r="C36" s="6" t="n">
        <v>18105</v>
      </c>
      <c r="D36" s="9" t="n">
        <v>372</v>
      </c>
      <c r="E36" s="6" t="n">
        <v>3442</v>
      </c>
      <c r="F36" s="6" t="n">
        <v>10977</v>
      </c>
      <c r="G36" s="6" t="n">
        <v>9355</v>
      </c>
    </row>
    <row r="37">
      <c r="A37" s="9" t="n">
        <v>1940</v>
      </c>
      <c r="B37" s="9" t="n">
        <v>11</v>
      </c>
      <c r="C37" s="6" t="n">
        <v>26059</v>
      </c>
      <c r="D37" s="9" t="n">
        <v>467</v>
      </c>
      <c r="E37" s="6" t="n">
        <v>4441</v>
      </c>
      <c r="F37" s="6" t="n">
        <v>16304</v>
      </c>
      <c r="G37" s="6" t="n">
        <v>12559</v>
      </c>
    </row>
    <row r="38">
      <c r="A38" t="inlineStr">
        <is>
          <t>1941 Feb.</t>
        </is>
      </c>
      <c r="B38" s="9" t="n">
        <v>11</v>
      </c>
      <c r="C38" s="6" t="n">
        <v>27396</v>
      </c>
      <c r="D38" s="9" t="n">
        <v>483</v>
      </c>
      <c r="E38" s="6" t="n">
        <v>4381</v>
      </c>
      <c r="F38" s="6" t="n">
        <v>17368</v>
      </c>
      <c r="G38" s="6" t="n">
        <v>13025</v>
      </c>
    </row>
    <row r="40">
      <c r="A40" s="2" t="inlineStr">
        <is>
          <t>Transcriber's notes</t>
        </is>
      </c>
    </row>
    <row r="41">
      <c r="A41" t="inlineStr">
        <is>
          <t>In (A) the figure rows are printed about half a line above the date labels; aligned by order (9 figure rows to 9 labels).</t>
        </is>
      </c>
    </row>
    <row r="42">
      <c r="A42" t="inlineStr">
        <is>
          <t>No totals printed.</t>
        </is>
      </c>
    </row>
  </sheetData>
  <hyperlinks>
    <hyperlink xmlns:r="http://schemas.openxmlformats.org/officeDocument/2006/relationships" ref="A4" r:id="rId1"/>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12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8. Loans Classified by Purposes</t>
        </is>
      </c>
    </row>
    <row r="2">
      <c r="A2" t="inlineStr">
        <is>
          <t>Banking and Currency · printed pp. 250</t>
        </is>
      </c>
    </row>
    <row r="3">
      <c r="A3" t="inlineStr">
        <is>
          <t>(M¥1,000)</t>
        </is>
      </c>
    </row>
    <row r="4">
      <c r="A4" s="3" t="inlineStr">
        <is>
          <t>← Contents</t>
        </is>
      </c>
    </row>
    <row r="6">
      <c r="A6" s="5" t="inlineStr">
        <is>
          <t>Bank / Date</t>
        </is>
      </c>
      <c r="B6" s="5" t="inlineStr">
        <is>
          <t>Commerce</t>
        </is>
      </c>
      <c r="C6" s="5" t="inlineStr">
        <is>
          <t>Industries</t>
        </is>
      </c>
      <c r="D6" s="5" t="inlineStr">
        <is>
          <t>Agriculture</t>
        </is>
      </c>
      <c r="E6" s="5" t="inlineStr">
        <is>
          <t>Mining</t>
        </is>
      </c>
      <c r="F6" s="5" t="inlineStr">
        <is>
          <t>Others</t>
        </is>
      </c>
      <c r="G6" s="5" t="inlineStr">
        <is>
          <t>Total</t>
        </is>
      </c>
    </row>
    <row r="7">
      <c r="A7" t="inlineStr">
        <is>
          <t>Industrial Bank of Manchou</t>
        </is>
      </c>
      <c r="B7" t="inlineStr"/>
      <c r="C7" t="inlineStr"/>
      <c r="D7" t="inlineStr"/>
      <c r="E7" t="inlineStr"/>
      <c r="F7" t="inlineStr"/>
      <c r="G7" t="inlineStr"/>
    </row>
    <row r="8">
      <c r="A8" t="inlineStr">
        <is>
          <t>1937 June</t>
        </is>
      </c>
      <c r="B8" s="6" t="n">
        <v>118692</v>
      </c>
      <c r="C8" s="6" t="n">
        <v>24178</v>
      </c>
      <c r="D8" s="6" t="n">
        <v>2042</v>
      </c>
      <c r="E8" t="inlineStr">
        <is>
          <t>—</t>
        </is>
      </c>
      <c r="F8" s="6" t="n">
        <v>41370</v>
      </c>
      <c r="G8" s="6" t="n">
        <v>186284</v>
      </c>
    </row>
    <row r="9">
      <c r="A9" t="inlineStr">
        <is>
          <t>„ Dec.</t>
        </is>
      </c>
      <c r="B9" s="6" t="n">
        <v>137680</v>
      </c>
      <c r="C9" s="6" t="n">
        <v>44270</v>
      </c>
      <c r="D9" s="6" t="n">
        <v>2578</v>
      </c>
      <c r="E9" s="6" t="n">
        <v>1921</v>
      </c>
      <c r="F9" s="6" t="n">
        <v>54845</v>
      </c>
      <c r="G9" s="6" t="n">
        <v>241294</v>
      </c>
    </row>
    <row r="10">
      <c r="A10" t="inlineStr">
        <is>
          <t>1938 June</t>
        </is>
      </c>
      <c r="B10" s="6" t="n">
        <v>126352</v>
      </c>
      <c r="C10" s="6" t="n">
        <v>63680</v>
      </c>
      <c r="D10" s="6" t="n">
        <v>2882</v>
      </c>
      <c r="E10" s="6" t="n">
        <v>5510</v>
      </c>
      <c r="F10" s="6" t="n">
        <v>72826</v>
      </c>
      <c r="G10" s="6" t="n">
        <v>271151</v>
      </c>
    </row>
    <row r="11">
      <c r="A11" t="inlineStr">
        <is>
          <t>„ Dec.</t>
        </is>
      </c>
      <c r="B11" s="6" t="n">
        <v>170234</v>
      </c>
      <c r="C11" s="6" t="n">
        <v>110714</v>
      </c>
      <c r="D11" s="6" t="n">
        <v>6849</v>
      </c>
      <c r="E11" s="6" t="n">
        <v>8111</v>
      </c>
      <c r="F11" s="6" t="n">
        <v>99590</v>
      </c>
      <c r="G11" s="6" t="n">
        <v>395498</v>
      </c>
    </row>
    <row r="12">
      <c r="A12" t="inlineStr">
        <is>
          <t>1939 June</t>
        </is>
      </c>
      <c r="B12" s="6" t="n">
        <v>182244</v>
      </c>
      <c r="C12" s="6" t="n">
        <v>113838</v>
      </c>
      <c r="D12" s="6" t="n">
        <v>6105</v>
      </c>
      <c r="E12" s="6" t="n">
        <v>9526</v>
      </c>
      <c r="F12" s="6" t="n">
        <v>119559</v>
      </c>
      <c r="G12" s="6" t="n">
        <v>431269</v>
      </c>
    </row>
    <row r="13">
      <c r="A13" t="inlineStr">
        <is>
          <t>„ Dec.</t>
        </is>
      </c>
      <c r="B13" s="6" t="n">
        <v>191736</v>
      </c>
      <c r="C13" s="6" t="n">
        <v>321813</v>
      </c>
      <c r="D13" s="6" t="n">
        <v>7638</v>
      </c>
      <c r="E13" s="6" t="n">
        <v>70052</v>
      </c>
      <c r="F13" s="6" t="n">
        <v>199133</v>
      </c>
      <c r="G13" s="6" t="n">
        <v>790873</v>
      </c>
    </row>
    <row r="14">
      <c r="A14" t="inlineStr">
        <is>
          <t>Ordinary Banks</t>
        </is>
      </c>
      <c r="B14" t="inlineStr"/>
      <c r="C14" t="inlineStr"/>
      <c r="D14" t="inlineStr"/>
      <c r="E14" t="inlineStr"/>
      <c r="F14" t="inlineStr"/>
      <c r="G14" t="inlineStr"/>
    </row>
    <row r="15">
      <c r="A15" t="inlineStr">
        <is>
          <t>1937 June</t>
        </is>
      </c>
      <c r="B15" s="6" t="n">
        <v>30574</v>
      </c>
      <c r="C15" s="6" t="n">
        <v>3275</v>
      </c>
      <c r="D15" s="9" t="n">
        <v>435</v>
      </c>
      <c r="E15" t="inlineStr">
        <is>
          <t>—</t>
        </is>
      </c>
      <c r="F15" s="6" t="n">
        <v>5562</v>
      </c>
      <c r="G15" s="6" t="n">
        <v>39847</v>
      </c>
    </row>
    <row r="16">
      <c r="A16" t="inlineStr">
        <is>
          <t>„ Dec.</t>
        </is>
      </c>
      <c r="B16" s="6" t="n">
        <v>32429</v>
      </c>
      <c r="C16" s="6" t="n">
        <v>4486</v>
      </c>
      <c r="D16" s="9" t="n">
        <v>364</v>
      </c>
      <c r="E16" s="9" t="n">
        <v>11</v>
      </c>
      <c r="F16" s="6" t="n">
        <v>3057</v>
      </c>
      <c r="G16" s="6" t="n">
        <v>40347</v>
      </c>
    </row>
    <row r="17">
      <c r="A17" t="inlineStr">
        <is>
          <t>1938 June</t>
        </is>
      </c>
      <c r="B17" s="6" t="n">
        <v>55952</v>
      </c>
      <c r="C17" s="6" t="n">
        <v>6680</v>
      </c>
      <c r="D17" s="9" t="n">
        <v>686</v>
      </c>
      <c r="E17" s="9" t="n">
        <v>47</v>
      </c>
      <c r="F17" s="6" t="n">
        <v>4562</v>
      </c>
      <c r="G17" s="6" t="n">
        <v>67928</v>
      </c>
    </row>
    <row r="18">
      <c r="A18" t="inlineStr">
        <is>
          <t>„ Dec.</t>
        </is>
      </c>
      <c r="B18" s="6" t="n">
        <v>59362</v>
      </c>
      <c r="C18" s="6" t="n">
        <v>8050</v>
      </c>
      <c r="D18" s="9" t="n">
        <v>605</v>
      </c>
      <c r="E18" s="9" t="n">
        <v>43</v>
      </c>
      <c r="F18" s="6" t="n">
        <v>4035</v>
      </c>
      <c r="G18" s="6" t="n">
        <v>72097</v>
      </c>
    </row>
    <row r="19">
      <c r="A19" t="inlineStr">
        <is>
          <t>1939 June</t>
        </is>
      </c>
      <c r="B19" s="6" t="n">
        <v>46471</v>
      </c>
      <c r="C19" s="6" t="n">
        <v>7018</v>
      </c>
      <c r="D19" s="9" t="n">
        <v>464</v>
      </c>
      <c r="E19" s="9" t="n">
        <v>44</v>
      </c>
      <c r="F19" s="6" t="n">
        <v>3303</v>
      </c>
      <c r="G19" s="6" t="n">
        <v>57300</v>
      </c>
    </row>
    <row r="20">
      <c r="A20" t="inlineStr">
        <is>
          <t>„ Dec.</t>
        </is>
      </c>
      <c r="B20" s="6" t="n">
        <v>85248</v>
      </c>
      <c r="C20" s="6" t="n">
        <v>9708</v>
      </c>
      <c r="D20" s="9" t="n">
        <v>518</v>
      </c>
      <c r="E20" s="9" t="n">
        <v>56</v>
      </c>
      <c r="F20" s="6" t="n">
        <v>3155</v>
      </c>
      <c r="G20" s="6" t="n">
        <v>98685</v>
      </c>
    </row>
    <row r="21">
      <c r="A21" t="inlineStr">
        <is>
          <t>Japanese Banks</t>
        </is>
      </c>
      <c r="B21" t="inlineStr"/>
      <c r="C21" t="inlineStr"/>
      <c r="D21" t="inlineStr"/>
      <c r="E21" t="inlineStr"/>
      <c r="F21" t="inlineStr"/>
      <c r="G21" t="inlineStr"/>
    </row>
    <row r="22">
      <c r="A22" t="inlineStr">
        <is>
          <t>1937 June</t>
        </is>
      </c>
      <c r="B22" s="6" t="n">
        <v>122248</v>
      </c>
      <c r="C22" s="6" t="n">
        <v>3085</v>
      </c>
      <c r="D22" s="6" t="n">
        <v>1743</v>
      </c>
      <c r="E22" t="inlineStr">
        <is>
          <t>—</t>
        </is>
      </c>
      <c r="F22" s="6" t="n">
        <v>5095</v>
      </c>
      <c r="G22" s="6" t="n">
        <v>132170</v>
      </c>
    </row>
    <row r="23">
      <c r="A23" t="inlineStr">
        <is>
          <t>„ Dec.</t>
        </is>
      </c>
      <c r="B23" s="6" t="n">
        <v>196053</v>
      </c>
      <c r="C23" s="6" t="n">
        <v>9770</v>
      </c>
      <c r="D23" s="6" t="n">
        <v>1678</v>
      </c>
      <c r="E23" s="9" t="n">
        <v>30</v>
      </c>
      <c r="F23" s="6" t="n">
        <v>6164</v>
      </c>
      <c r="G23" s="6" t="n">
        <v>213696</v>
      </c>
    </row>
    <row r="24">
      <c r="A24" t="inlineStr">
        <is>
          <t>1938 June</t>
        </is>
      </c>
      <c r="B24" s="6" t="n">
        <v>193128</v>
      </c>
      <c r="C24" s="6" t="n">
        <v>11161</v>
      </c>
      <c r="D24" s="6" t="n">
        <v>1249</v>
      </c>
      <c r="E24" s="9" t="n">
        <v>33</v>
      </c>
      <c r="F24" s="6" t="n">
        <v>4645</v>
      </c>
      <c r="G24" s="6" t="n">
        <v>210183</v>
      </c>
    </row>
    <row r="25">
      <c r="A25" t="inlineStr">
        <is>
          <t>„ Dec.</t>
        </is>
      </c>
      <c r="B25" s="6" t="n">
        <v>325277</v>
      </c>
      <c r="C25" s="6" t="n">
        <v>13437</v>
      </c>
      <c r="D25" s="6" t="n">
        <v>1316</v>
      </c>
      <c r="E25" t="inlineStr">
        <is>
          <t>—</t>
        </is>
      </c>
      <c r="F25" s="6" t="n">
        <v>4357</v>
      </c>
      <c r="G25" s="6" t="n">
        <v>344287</v>
      </c>
    </row>
    <row r="26">
      <c r="A26" t="inlineStr">
        <is>
          <t>1939 June</t>
        </is>
      </c>
      <c r="B26" s="6" t="n">
        <v>307713</v>
      </c>
      <c r="C26" s="6" t="n">
        <v>18217</v>
      </c>
      <c r="D26" s="6" t="n">
        <v>1182</v>
      </c>
      <c r="E26" t="inlineStr">
        <is>
          <t>—</t>
        </is>
      </c>
      <c r="F26" s="6" t="n">
        <v>4314</v>
      </c>
      <c r="G26" s="6" t="n">
        <v>331425</v>
      </c>
    </row>
    <row r="27">
      <c r="A27" t="inlineStr">
        <is>
          <t>„ Dec.</t>
        </is>
      </c>
      <c r="B27" s="6" t="n">
        <v>490711</v>
      </c>
      <c r="C27" s="6" t="n">
        <v>18562</v>
      </c>
      <c r="D27" s="6" t="n">
        <v>1042</v>
      </c>
      <c r="E27" t="inlineStr">
        <is>
          <t>—</t>
        </is>
      </c>
      <c r="F27" s="6" t="n">
        <v>2857</v>
      </c>
      <c r="G27" s="6" t="n">
        <v>513173</v>
      </c>
    </row>
    <row r="28">
      <c r="A28" t="inlineStr">
        <is>
          <t>Chinese Banks</t>
        </is>
      </c>
      <c r="B28" t="inlineStr"/>
      <c r="C28" t="inlineStr"/>
      <c r="D28" t="inlineStr"/>
      <c r="E28" t="inlineStr"/>
      <c r="F28" t="inlineStr"/>
      <c r="G28" t="inlineStr"/>
    </row>
    <row r="29">
      <c r="A29" t="inlineStr">
        <is>
          <t>1937 June</t>
        </is>
      </c>
      <c r="B29" s="6" t="n">
        <v>16957</v>
      </c>
      <c r="C29" s="6" t="n">
        <v>1069</v>
      </c>
      <c r="D29" s="9" t="n">
        <v>194</v>
      </c>
      <c r="E29" t="inlineStr">
        <is>
          <t>—</t>
        </is>
      </c>
      <c r="F29" s="6" t="n">
        <v>2979</v>
      </c>
      <c r="G29" s="6" t="n">
        <v>21199</v>
      </c>
    </row>
    <row r="30">
      <c r="A30" t="inlineStr">
        <is>
          <t>„ Dec.</t>
        </is>
      </c>
      <c r="B30" s="6" t="n">
        <v>12730</v>
      </c>
      <c r="C30" s="9" t="n">
        <v>817</v>
      </c>
      <c r="D30" s="9" t="n">
        <v>270</v>
      </c>
      <c r="E30" t="inlineStr">
        <is>
          <t>—</t>
        </is>
      </c>
      <c r="F30" s="6" t="n">
        <v>3512</v>
      </c>
      <c r="G30" s="6" t="n">
        <v>17330</v>
      </c>
    </row>
    <row r="31">
      <c r="A31" t="inlineStr">
        <is>
          <t>1938 June</t>
        </is>
      </c>
      <c r="B31" s="6" t="n">
        <v>13192</v>
      </c>
      <c r="C31" s="6" t="n">
        <v>1018</v>
      </c>
      <c r="D31" s="9" t="n">
        <v>245</v>
      </c>
      <c r="E31" t="inlineStr">
        <is>
          <t>—</t>
        </is>
      </c>
      <c r="F31" s="6" t="n">
        <v>3199</v>
      </c>
      <c r="G31" s="6" t="n">
        <v>17654</v>
      </c>
    </row>
    <row r="32">
      <c r="A32" t="inlineStr">
        <is>
          <t>„ Dec.</t>
        </is>
      </c>
      <c r="B32" s="6" t="n">
        <v>14239</v>
      </c>
      <c r="C32" s="9" t="n">
        <v>906</v>
      </c>
      <c r="D32" s="9" t="n">
        <v>262</v>
      </c>
      <c r="E32" t="inlineStr">
        <is>
          <t>—</t>
        </is>
      </c>
      <c r="F32" s="6" t="n">
        <v>2952</v>
      </c>
      <c r="G32" s="6" t="n">
        <v>18359</v>
      </c>
    </row>
    <row r="33">
      <c r="A33" t="inlineStr">
        <is>
          <t>1939 June</t>
        </is>
      </c>
      <c r="B33" s="6" t="n">
        <v>10841</v>
      </c>
      <c r="C33" s="6" t="n">
        <v>1247</v>
      </c>
      <c r="D33" s="9" t="n">
        <v>301</v>
      </c>
      <c r="E33" t="inlineStr">
        <is>
          <t>—</t>
        </is>
      </c>
      <c r="F33" s="6" t="n">
        <v>3261</v>
      </c>
      <c r="G33" s="6" t="n">
        <v>15650</v>
      </c>
    </row>
    <row r="34">
      <c r="A34" t="inlineStr">
        <is>
          <t>„ Dec.</t>
        </is>
      </c>
      <c r="B34" s="6" t="n">
        <v>10837</v>
      </c>
      <c r="C34" s="6" t="n">
        <v>1155</v>
      </c>
      <c r="D34" s="9" t="n">
        <v>194</v>
      </c>
      <c r="E34" t="inlineStr">
        <is>
          <t>—</t>
        </is>
      </c>
      <c r="F34" s="6" t="n">
        <v>2567</v>
      </c>
      <c r="G34" s="6" t="n">
        <v>14754</v>
      </c>
    </row>
    <row r="35">
      <c r="A35" t="inlineStr">
        <is>
          <t>European Banks</t>
        </is>
      </c>
      <c r="B35" t="inlineStr"/>
      <c r="C35" t="inlineStr"/>
      <c r="D35" t="inlineStr"/>
      <c r="E35" t="inlineStr"/>
      <c r="F35" t="inlineStr"/>
      <c r="G35" t="inlineStr"/>
    </row>
    <row r="36">
      <c r="A36" t="inlineStr">
        <is>
          <t>1937 June</t>
        </is>
      </c>
      <c r="B36" s="6" t="n">
        <v>20868</v>
      </c>
      <c r="C36" s="9" t="n">
        <v>833</v>
      </c>
      <c r="D36" t="inlineStr">
        <is>
          <t>—</t>
        </is>
      </c>
      <c r="E36" t="inlineStr">
        <is>
          <t>—</t>
        </is>
      </c>
      <c r="F36" s="9" t="n">
        <v>148</v>
      </c>
      <c r="G36" s="6" t="n">
        <v>21849</v>
      </c>
    </row>
    <row r="37">
      <c r="A37" t="inlineStr">
        <is>
          <t>„ Dec.</t>
        </is>
      </c>
      <c r="B37" s="6" t="n">
        <v>21173</v>
      </c>
      <c r="C37" s="9" t="n">
        <v>841</v>
      </c>
      <c r="D37" t="inlineStr">
        <is>
          <t>—</t>
        </is>
      </c>
      <c r="E37" t="inlineStr">
        <is>
          <t>—</t>
        </is>
      </c>
      <c r="F37" s="6" t="n">
        <v>4817</v>
      </c>
      <c r="G37" s="6" t="n">
        <v>26832</v>
      </c>
    </row>
    <row r="38">
      <c r="A38" t="inlineStr">
        <is>
          <t>1938 June</t>
        </is>
      </c>
      <c r="B38" s="6" t="n">
        <v>19876</v>
      </c>
      <c r="C38" s="9" t="n">
        <v>869</v>
      </c>
      <c r="D38" t="inlineStr">
        <is>
          <t>—</t>
        </is>
      </c>
      <c r="E38" t="inlineStr">
        <is>
          <t>—</t>
        </is>
      </c>
      <c r="F38" s="6" t="n">
        <v>3868</v>
      </c>
      <c r="G38" s="6" t="n">
        <v>24616</v>
      </c>
    </row>
    <row r="39">
      <c r="A39" t="inlineStr">
        <is>
          <t>„ Dec.</t>
        </is>
      </c>
      <c r="B39" s="6" t="n">
        <v>13835</v>
      </c>
      <c r="C39" s="9" t="n">
        <v>898</v>
      </c>
      <c r="D39" t="inlineStr">
        <is>
          <t>—</t>
        </is>
      </c>
      <c r="E39" t="inlineStr">
        <is>
          <t>—</t>
        </is>
      </c>
      <c r="F39" s="6" t="n">
        <v>3837</v>
      </c>
      <c r="G39" s="6" t="n">
        <v>18570</v>
      </c>
    </row>
    <row r="40">
      <c r="A40" t="inlineStr">
        <is>
          <t>1939 June</t>
        </is>
      </c>
      <c r="B40" s="6" t="n">
        <v>9942</v>
      </c>
      <c r="C40" s="9" t="n">
        <v>893</v>
      </c>
      <c r="D40" t="inlineStr">
        <is>
          <t>—</t>
        </is>
      </c>
      <c r="E40" t="inlineStr">
        <is>
          <t>—</t>
        </is>
      </c>
      <c r="F40" s="6" t="n">
        <v>8386</v>
      </c>
      <c r="G40" s="6" t="n">
        <v>19221</v>
      </c>
    </row>
    <row r="41">
      <c r="A41" t="inlineStr">
        <is>
          <t>„ Dec.</t>
        </is>
      </c>
      <c r="B41" s="6" t="n">
        <v>10184</v>
      </c>
      <c r="C41" t="inlineStr">
        <is>
          <t>—</t>
        </is>
      </c>
      <c r="D41" t="inlineStr">
        <is>
          <t>—</t>
        </is>
      </c>
      <c r="E41" t="inlineStr">
        <is>
          <t>—</t>
        </is>
      </c>
      <c r="F41" s="9" t="n">
        <v>970</v>
      </c>
      <c r="G41" s="6" t="n">
        <v>11154</v>
      </c>
    </row>
    <row r="42">
      <c r="A42" t="inlineStr">
        <is>
          <t>Total</t>
        </is>
      </c>
      <c r="B42" t="inlineStr"/>
      <c r="C42" t="inlineStr"/>
      <c r="D42" t="inlineStr"/>
      <c r="E42" t="inlineStr"/>
      <c r="F42" t="inlineStr"/>
      <c r="G42" t="inlineStr"/>
    </row>
    <row r="43">
      <c r="A43" t="inlineStr">
        <is>
          <t>1937 June</t>
        </is>
      </c>
      <c r="B43" s="6" t="n">
        <v>309338</v>
      </c>
      <c r="C43" s="6" t="n">
        <v>32441</v>
      </c>
      <c r="D43" s="6" t="n">
        <v>4413</v>
      </c>
      <c r="E43" t="inlineStr">
        <is>
          <t>—</t>
        </is>
      </c>
      <c r="F43" s="6" t="n">
        <v>55157</v>
      </c>
      <c r="G43" s="6" t="n">
        <v>401350</v>
      </c>
    </row>
    <row r="44">
      <c r="A44" t="inlineStr">
        <is>
          <t>„ Dec.</t>
        </is>
      </c>
      <c r="B44" s="6" t="n">
        <v>400065</v>
      </c>
      <c r="C44" s="6" t="n">
        <v>60185</v>
      </c>
      <c r="D44" s="6" t="n">
        <v>4892</v>
      </c>
      <c r="E44" s="6" t="n">
        <v>1962</v>
      </c>
      <c r="F44" s="6" t="n">
        <v>72394</v>
      </c>
      <c r="G44" s="6" t="n">
        <v>539499</v>
      </c>
    </row>
    <row r="45">
      <c r="A45" t="inlineStr">
        <is>
          <t>1939 June</t>
        </is>
      </c>
      <c r="B45" s="6" t="n">
        <v>408504</v>
      </c>
      <c r="C45" s="6" t="n">
        <v>83409</v>
      </c>
      <c r="D45" s="6" t="n">
        <v>5063</v>
      </c>
      <c r="E45" s="6" t="n">
        <v>5458</v>
      </c>
      <c r="F45" s="6" t="n">
        <v>89100</v>
      </c>
      <c r="G45" s="6" t="n">
        <v>591533</v>
      </c>
    </row>
    <row r="46">
      <c r="A46" t="inlineStr">
        <is>
          <t>„ Dec.</t>
        </is>
      </c>
      <c r="B46" s="6" t="n">
        <v>582946</v>
      </c>
      <c r="C46" s="6" t="n">
        <v>134006</v>
      </c>
      <c r="D46" s="6" t="n">
        <v>3933</v>
      </c>
      <c r="E46" s="6" t="n">
        <v>8154</v>
      </c>
      <c r="F46" s="6" t="n">
        <v>114772</v>
      </c>
      <c r="G46" s="6" t="n">
        <v>848811</v>
      </c>
    </row>
    <row r="47">
      <c r="A47" t="inlineStr">
        <is>
          <t>1939 June</t>
        </is>
      </c>
      <c r="B47" s="6" t="n">
        <v>557212</v>
      </c>
      <c r="C47" s="6" t="n">
        <v>141213</v>
      </c>
      <c r="D47" s="6" t="n">
        <v>8051</v>
      </c>
      <c r="E47" s="6" t="n">
        <v>9566</v>
      </c>
      <c r="F47" s="6" t="n">
        <v>138822</v>
      </c>
      <c r="G47" s="6" t="n">
        <v>854865</v>
      </c>
    </row>
    <row r="48">
      <c r="A48" t="inlineStr">
        <is>
          <t>„ Dec.</t>
        </is>
      </c>
      <c r="B48" s="6" t="n">
        <v>788718</v>
      </c>
      <c r="C48" s="6" t="n">
        <v>351237</v>
      </c>
      <c r="D48" s="6" t="n">
        <v>8393</v>
      </c>
      <c r="E48" s="6" t="n">
        <v>70108</v>
      </c>
      <c r="F48" s="6" t="n">
        <v>208682</v>
      </c>
      <c r="G48" s="6" t="n">
        <v>1428138</v>
      </c>
    </row>
    <row r="49">
      <c r="A49" t="inlineStr">
        <is>
          <t>%</t>
        </is>
      </c>
      <c r="B49" s="8" t="n">
        <v>55</v>
      </c>
      <c r="C49" s="8" t="n">
        <v>24.6</v>
      </c>
      <c r="D49" s="8" t="n">
        <v>0.7</v>
      </c>
      <c r="E49" s="8" t="n">
        <v>4.9</v>
      </c>
      <c r="F49" s="8" t="n">
        <v>14.6</v>
      </c>
      <c r="G49" s="8" t="n">
        <v>100</v>
      </c>
    </row>
    <row r="51">
      <c r="A51" s="2" t="inlineStr">
        <is>
          <t>Transcriber's notes</t>
        </is>
      </c>
    </row>
    <row r="52">
      <c r="A52" t="inlineStr">
        <is>
          <t>Bank groups are printed as braced row-groups; rendered here as heading rows followed by their date rows.</t>
        </is>
      </c>
    </row>
    <row r="53">
      <c r="A53" t="inlineStr">
        <is>
          <t>Total group: the third date label is printed '1939 June' (evidently a misprint for 1938 June, as the sequence is 1937 June, „ Dec., 1939 June, „ Dec., 1939 June, „ Dec.); transcribed as printed.</t>
        </is>
      </c>
    </row>
    <row r="54">
      <c r="A54" t="inlineStr">
        <is>
          <t>European Banks 1939 Dec. Others printed with a stray mark before '970' ('·970'); transcribed as 970 (10,184 + 970 = 11,154 matches the row total).</t>
        </is>
      </c>
    </row>
    <row r="55">
      <c r="A55" t="inlineStr">
        <is>
          <t>The final '%' row belongs to the Total group (share of 1939 Dec. total).</t>
        </is>
      </c>
    </row>
    <row r="56">
      <c r="A56" t="inlineStr">
        <is>
          <t>Industrial Bank of Manchou 1937 June row Total: printed 186,284, parts sum to 186,282 — does NOT reconcile (diff 2)</t>
        </is>
      </c>
    </row>
    <row r="57">
      <c r="A57" t="inlineStr">
        <is>
          <t>Industrial Bank of Manchou „ Dec. row Total: printed 241,294, parts sum to 241,294 — reconciles</t>
        </is>
      </c>
    </row>
    <row r="58">
      <c r="A58" t="inlineStr">
        <is>
          <t>Industrial Bank of Manchou 1938 June row Total: printed 271,151, parts sum to 271,250 — does NOT reconcile (diff -99)</t>
        </is>
      </c>
    </row>
    <row r="59">
      <c r="A59" t="inlineStr">
        <is>
          <t>Industrial Bank of Manchou „ Dec. row Total: printed 395,498, parts sum to 395,498 — reconciles</t>
        </is>
      </c>
    </row>
    <row r="60">
      <c r="A60" t="inlineStr">
        <is>
          <t>Industrial Bank of Manchou 1939 June row Total: printed 431,269, parts sum to 431,272 — does NOT reconcile (diff -3)</t>
        </is>
      </c>
    </row>
    <row r="61">
      <c r="A61" t="inlineStr">
        <is>
          <t>Industrial Bank of Manchou „ Dec. row Total: printed 790,873, parts sum to 790,372 — does NOT reconcile (diff 501)</t>
        </is>
      </c>
    </row>
    <row r="62">
      <c r="A62" t="inlineStr">
        <is>
          <t>Ordinary Banks 1937 June row Total: printed 39,847, parts sum to 39,846 — does NOT reconcile (diff 1)</t>
        </is>
      </c>
    </row>
    <row r="63">
      <c r="A63" t="inlineStr">
        <is>
          <t>Ordinary Banks „ Dec. row Total: printed 40,347, parts sum to 40,347 — reconciles</t>
        </is>
      </c>
    </row>
    <row r="64">
      <c r="A64" t="inlineStr">
        <is>
          <t>Ordinary Banks 1938 June row Total: printed 67,928, parts sum to 67,927 — does NOT reconcile (diff 1)</t>
        </is>
      </c>
    </row>
    <row r="65">
      <c r="A65" t="inlineStr">
        <is>
          <t>Ordinary Banks „ Dec. row Total: printed 72,097, parts sum to 72,095 — does NOT reconcile (diff 2)</t>
        </is>
      </c>
    </row>
    <row r="66">
      <c r="A66" t="inlineStr">
        <is>
          <t>Ordinary Banks 1939 June row Total: printed 57,300, parts sum to 57,300 — reconciles</t>
        </is>
      </c>
    </row>
    <row r="67">
      <c r="A67" t="inlineStr">
        <is>
          <t>Ordinary Banks „ Dec. row Total: printed 98,685, parts sum to 98,685 — reconciles</t>
        </is>
      </c>
    </row>
    <row r="68">
      <c r="A68" t="inlineStr">
        <is>
          <t>Japanese Banks 1937 June row Total: printed 132,170, parts sum to 132,171 — does NOT reconcile (diff -1)</t>
        </is>
      </c>
    </row>
    <row r="69">
      <c r="A69" t="inlineStr">
        <is>
          <t>Japanese Banks „ Dec. row Total: printed 213,696, parts sum to 213,695 — does NOT reconcile (diff 1)</t>
        </is>
      </c>
    </row>
    <row r="70">
      <c r="A70" t="inlineStr">
        <is>
          <t>Japanese Banks 1938 June row Total: printed 210,183, parts sum to 210,216 — does NOT reconcile (diff -33)</t>
        </is>
      </c>
    </row>
    <row r="71">
      <c r="A71" t="inlineStr">
        <is>
          <t>Japanese Banks „ Dec. row Total: printed 344,287, parts sum to 344,387 — does NOT reconcile (diff -100)</t>
        </is>
      </c>
    </row>
    <row r="72">
      <c r="A72" t="inlineStr">
        <is>
          <t>Japanese Banks 1939 June row Total: printed 331,425, parts sum to 331,426 — does NOT reconcile (diff -1)</t>
        </is>
      </c>
    </row>
    <row r="73">
      <c r="A73" t="inlineStr">
        <is>
          <t>Japanese Banks „ Dec. row Total: printed 513,173, parts sum to 513,172 — does NOT reconcile (diff 1)</t>
        </is>
      </c>
    </row>
    <row r="74">
      <c r="A74" t="inlineStr">
        <is>
          <t>Chinese Banks 1937 June row Total: printed 21,199, parts sum to 21,199 — reconciles</t>
        </is>
      </c>
    </row>
    <row r="75">
      <c r="A75" t="inlineStr">
        <is>
          <t>Chinese Banks „ Dec. row Total: printed 17,330, parts sum to 17,329 — does NOT reconcile (diff 1)</t>
        </is>
      </c>
    </row>
    <row r="76">
      <c r="A76" t="inlineStr">
        <is>
          <t>Chinese Banks 1938 June row Total: printed 17,654, parts sum to 17,654 — reconciles</t>
        </is>
      </c>
    </row>
    <row r="77">
      <c r="A77" t="inlineStr">
        <is>
          <t>Chinese Banks „ Dec. row Total: printed 18,359, parts sum to 18,359 — reconciles</t>
        </is>
      </c>
    </row>
    <row r="78">
      <c r="A78" t="inlineStr">
        <is>
          <t>Chinese Banks 1939 June row Total: printed 15,650, parts sum to 15,650 — reconciles</t>
        </is>
      </c>
    </row>
    <row r="79">
      <c r="A79" t="inlineStr">
        <is>
          <t>Chinese Banks „ Dec. row Total: printed 14,754, parts sum to 14,753 — does NOT reconcile (diff 1)</t>
        </is>
      </c>
    </row>
    <row r="80">
      <c r="A80" t="inlineStr">
        <is>
          <t>European Banks 1937 June row Total: printed 21,849, parts sum to 21,849 — reconciles</t>
        </is>
      </c>
    </row>
    <row r="81">
      <c r="A81" t="inlineStr">
        <is>
          <t>European Banks „ Dec. row Total: printed 26,832, parts sum to 26,831 — does NOT reconcile (diff 1)</t>
        </is>
      </c>
    </row>
    <row r="82">
      <c r="A82" t="inlineStr">
        <is>
          <t>European Banks 1938 June row Total: printed 24,616, parts sum to 24,613 — does NOT reconcile (diff 3)</t>
        </is>
      </c>
    </row>
    <row r="83">
      <c r="A83" t="inlineStr">
        <is>
          <t>European Banks „ Dec. row Total: printed 18,570, parts sum to 18,570 — reconciles</t>
        </is>
      </c>
    </row>
    <row r="84">
      <c r="A84" t="inlineStr">
        <is>
          <t>European Banks 1939 June row Total: printed 19,221, parts sum to 19,221 — reconciles</t>
        </is>
      </c>
    </row>
    <row r="85">
      <c r="A85" t="inlineStr">
        <is>
          <t>European Banks „ Dec. row Total: printed 11,154, parts sum to 11,154 — reconciles</t>
        </is>
      </c>
    </row>
    <row r="86">
      <c r="A86" t="inlineStr">
        <is>
          <t>Total 1937 June row Total: printed 401,350, parts sum to 401,349 — does NOT reconcile (diff 1)</t>
        </is>
      </c>
    </row>
    <row r="87">
      <c r="A87" t="inlineStr">
        <is>
          <t>Total „ Dec. row Total: printed 539,499, parts sum to 539,498 — does NOT reconcile (diff 1)</t>
        </is>
      </c>
    </row>
    <row r="88">
      <c r="A88" t="inlineStr">
        <is>
          <t>Total 1939 June row Total: printed 591,533, parts sum to 591,534 — does NOT reconcile (diff -1)</t>
        </is>
      </c>
    </row>
    <row r="89">
      <c r="A89" t="inlineStr">
        <is>
          <t>Total „ Dec. row Total: printed 848,811, parts sum to 843,811 — does NOT reconcile (diff 5,000)</t>
        </is>
      </c>
    </row>
    <row r="90">
      <c r="A90" t="inlineStr">
        <is>
          <t>Total 1939 June row Total: printed 854,865, parts sum to 854,864 — does NOT reconcile (diff 1)</t>
        </is>
      </c>
    </row>
    <row r="91">
      <c r="A91" t="inlineStr">
        <is>
          <t>Total „ Dec. row Total: printed 1,428,138, parts sum to 1,427,138 — does NOT reconcile (diff 1,000)</t>
        </is>
      </c>
    </row>
    <row r="92">
      <c r="A92" t="inlineStr">
        <is>
          <t>Total 1937 June (1937 June) col Commerce = sum of five bank groups: printed 309,338, parts sum to 309,339 — does NOT reconcile (diff -1)</t>
        </is>
      </c>
    </row>
    <row r="93">
      <c r="A93" t="inlineStr">
        <is>
          <t>Total 1937 June (1937 June) col Industries = sum of five bank groups: printed 32,441, parts sum to 32,440 — does NOT reconcile (diff 1)</t>
        </is>
      </c>
    </row>
    <row r="94">
      <c r="A94" t="inlineStr">
        <is>
          <t>Total 1937 June (1937 June) col Agriculture = sum of five bank groups: printed 4,413, parts sum to 4,414 — does NOT reconcile (diff -1)</t>
        </is>
      </c>
    </row>
    <row r="95">
      <c r="A95" t="inlineStr">
        <is>
          <t>Total 1937 June (1937 June) col Mining = sum of five bank groups: printed —, parts sum to 0 — reconciles</t>
        </is>
      </c>
    </row>
    <row r="96">
      <c r="A96" t="inlineStr">
        <is>
          <t>Total 1937 June (1937 June) col Others = sum of five bank groups: printed 55,157, parts sum to 55,154 — does NOT reconcile (diff 3)</t>
        </is>
      </c>
    </row>
    <row r="97">
      <c r="A97" t="inlineStr">
        <is>
          <t>Total 1937 June (1937 June) col Total = sum of five bank groups: printed 401,350, parts sum to 401,349 — does NOT reconcile (diff 1)</t>
        </is>
      </c>
    </row>
    <row r="98">
      <c r="A98" t="inlineStr">
        <is>
          <t>Total „ Dec. („ Dec.) col Commerce = sum of five bank groups: printed 400,065, parts sum to 400,065 — reconciles</t>
        </is>
      </c>
    </row>
    <row r="99">
      <c r="A99" t="inlineStr">
        <is>
          <t>Total „ Dec. („ Dec.) col Industries = sum of five bank groups: printed 60,185, parts sum to 60,184 — does NOT reconcile (diff 1)</t>
        </is>
      </c>
    </row>
    <row r="100">
      <c r="A100" t="inlineStr">
        <is>
          <t>Total „ Dec. („ Dec.) col Agriculture = sum of five bank groups: printed 4,892, parts sum to 4,890 — does NOT reconcile (diff 2)</t>
        </is>
      </c>
    </row>
    <row r="101">
      <c r="A101" t="inlineStr">
        <is>
          <t>Total „ Dec. („ Dec.) col Mining = sum of five bank groups: printed 1,962, parts sum to 1,962 — reconciles</t>
        </is>
      </c>
    </row>
    <row r="102">
      <c r="A102" t="inlineStr">
        <is>
          <t>Total „ Dec. („ Dec.) col Others = sum of five bank groups: printed 72,394, parts sum to 72,395 — does NOT reconcile (diff -1)</t>
        </is>
      </c>
    </row>
    <row r="103">
      <c r="A103" t="inlineStr">
        <is>
          <t>Total „ Dec. („ Dec.) col Total = sum of five bank groups: printed 539,499, parts sum to 539,499 — reconciles</t>
        </is>
      </c>
    </row>
    <row r="104">
      <c r="A104" t="inlineStr">
        <is>
          <t>Total 1939 June (1938 June) col Commerce = sum of five bank groups: printed 408,504, parts sum to 408,500 — does NOT reconcile (diff 4)</t>
        </is>
      </c>
    </row>
    <row r="105">
      <c r="A105" t="inlineStr">
        <is>
          <t>Total 1939 June (1938 June) col Industries = sum of five bank groups: printed 83,409, parts sum to 83,408 — does NOT reconcile (diff 1)</t>
        </is>
      </c>
    </row>
    <row r="106">
      <c r="A106" t="inlineStr">
        <is>
          <t>Total 1939 June (1938 June) col Agriculture = sum of five bank groups: printed 5,063, parts sum to 5,062 — does NOT reconcile (diff 1)</t>
        </is>
      </c>
    </row>
    <row r="107">
      <c r="A107" t="inlineStr">
        <is>
          <t>Total 1939 June (1938 June) col Mining = sum of five bank groups: printed 5,458, parts sum to 5,590 — does NOT reconcile (diff -132)</t>
        </is>
      </c>
    </row>
    <row r="108">
      <c r="A108" t="inlineStr">
        <is>
          <t>Total 1939 June (1938 June) col Others = sum of five bank groups: printed 89,100, parts sum to 89,100 — reconciles</t>
        </is>
      </c>
    </row>
    <row r="109">
      <c r="A109" t="inlineStr">
        <is>
          <t>Total 1939 June (1938 June) col Total = sum of five bank groups: printed 591,533, parts sum to 591,532 — does NOT reconcile (diff 1)</t>
        </is>
      </c>
    </row>
    <row r="110">
      <c r="A110" t="inlineStr">
        <is>
          <t>Total „ Dec. („ Dec.) col Commerce = sum of five bank groups: printed 582,946, parts sum to 582,947 — does NOT reconcile (diff -1)</t>
        </is>
      </c>
    </row>
    <row r="111">
      <c r="A111" t="inlineStr">
        <is>
          <t>Total „ Dec. („ Dec.) col Industries = sum of five bank groups: printed 134,006, parts sum to 134,005 — does NOT reconcile (diff 1)</t>
        </is>
      </c>
    </row>
    <row r="112">
      <c r="A112" t="inlineStr">
        <is>
          <t>Total „ Dec. („ Dec.) col Agriculture = sum of five bank groups: printed 3,933, parts sum to 9,032 — does NOT reconcile (diff -5,099)</t>
        </is>
      </c>
    </row>
    <row r="113">
      <c r="A113" t="inlineStr">
        <is>
          <t>Total „ Dec. („ Dec.) col Mining = sum of five bank groups: printed 8,154, parts sum to 8,154 — reconciles</t>
        </is>
      </c>
    </row>
    <row r="114">
      <c r="A114" t="inlineStr">
        <is>
          <t>Total „ Dec. („ Dec.) col Others = sum of five bank groups: printed 114,772, parts sum to 114,771 — does NOT reconcile (diff 1)</t>
        </is>
      </c>
    </row>
    <row r="115">
      <c r="A115" t="inlineStr">
        <is>
          <t>Total „ Dec. („ Dec.) col Total = sum of five bank groups: printed 848,811, parts sum to 848,811 — reconciles</t>
        </is>
      </c>
    </row>
    <row r="116">
      <c r="A116" t="inlineStr">
        <is>
          <t>Total 1939 June (1939 June) col Commerce = sum of five bank groups: printed 557,212, parts sum to 557,211 — does NOT reconcile (diff 1)</t>
        </is>
      </c>
    </row>
    <row r="117">
      <c r="A117" t="inlineStr">
        <is>
          <t>Total 1939 June (1939 June) col Industries = sum of five bank groups: printed 141,213, parts sum to 141,213 — reconciles</t>
        </is>
      </c>
    </row>
    <row r="118">
      <c r="A118" t="inlineStr">
        <is>
          <t>Total 1939 June (1939 June) col Agriculture = sum of five bank groups: printed 8,051, parts sum to 8,052 — does NOT reconcile (diff -1)</t>
        </is>
      </c>
    </row>
    <row r="119">
      <c r="A119" t="inlineStr">
        <is>
          <t>Total 1939 June (1939 June) col Mining = sum of five bank groups: printed 9,566, parts sum to 9,570 — does NOT reconcile (diff -4)</t>
        </is>
      </c>
    </row>
    <row r="120">
      <c r="A120" t="inlineStr">
        <is>
          <t>Total 1939 June (1939 June) col Others = sum of five bank groups: printed 138,822, parts sum to 138,823 — does NOT reconcile (diff -1)</t>
        </is>
      </c>
    </row>
    <row r="121">
      <c r="A121" t="inlineStr">
        <is>
          <t>Total 1939 June (1939 June) col Total = sum of five bank groups: printed 854,865, parts sum to 854,865 — reconciles</t>
        </is>
      </c>
    </row>
    <row r="122">
      <c r="A122" t="inlineStr">
        <is>
          <t>Total „ Dec. („ Dec.) col Commerce = sum of five bank groups: printed 788,718, parts sum to 788,716 — does NOT reconcile (diff 2)</t>
        </is>
      </c>
    </row>
    <row r="123">
      <c r="A123" t="inlineStr">
        <is>
          <t>Total „ Dec. („ Dec.) col Industries = sum of five bank groups: printed 351,237, parts sum to 351,238 — does NOT reconcile (diff -1)</t>
        </is>
      </c>
    </row>
    <row r="124">
      <c r="A124" t="inlineStr">
        <is>
          <t>Total „ Dec. („ Dec.) col Agriculture = sum of five bank groups: printed 8,393, parts sum to 9,392 — does NOT reconcile (diff -999)</t>
        </is>
      </c>
    </row>
    <row r="125">
      <c r="A125" t="inlineStr">
        <is>
          <t>Total „ Dec. („ Dec.) col Mining = sum of five bank groups: printed 70,108, parts sum to 70,108 — reconciles</t>
        </is>
      </c>
    </row>
    <row r="126">
      <c r="A126" t="inlineStr">
        <is>
          <t>Total „ Dec. („ Dec.) col Others = sum of five bank groups: printed 208,682, parts sum to 208,682 — reconciles</t>
        </is>
      </c>
    </row>
    <row r="127">
      <c r="A127" t="inlineStr">
        <is>
          <t>Total „ Dec. („ Dec.) col Total = sum of five bank groups: printed 1,428,138, parts sum to 1,428,639 — does NOT reconcile (diff -501)</t>
        </is>
      </c>
    </row>
    <row r="128">
      <c r="A128" t="inlineStr">
        <is>
          <t>% row: printed 100.0, parts sum to 99.8 — does NOT reconcile (diff 0.2)</t>
        </is>
      </c>
    </row>
    <row r="129">
      <c r="A129" t="inlineStr">
        <is>
          <t>% row computed from 1939 Dec. Total row: [55.2, 24.6, 0.6, 4.9, 14.6] (printed 55.0, 24.6, 0.7, 4.9, 14.6)</t>
        </is>
      </c>
    </row>
  </sheetData>
  <hyperlinks>
    <hyperlink xmlns:r="http://schemas.openxmlformats.org/officeDocument/2006/relationships" ref="A4" r:id="rId1"/>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9. No. of Monetary Organs</t>
        </is>
      </c>
    </row>
    <row r="2">
      <c r="A2" t="inlineStr">
        <is>
          <t>Banking and Currency · printed pp. 251</t>
        </is>
      </c>
    </row>
    <row r="3">
      <c r="A3" t="inlineStr">
        <is>
          <t>(End of 1939)</t>
        </is>
      </c>
    </row>
    <row r="4">
      <c r="A4" s="3" t="inlineStr">
        <is>
          <t>← Contents</t>
        </is>
      </c>
    </row>
    <row r="6">
      <c r="A6" s="2" t="inlineStr">
        <is>
          <t>(A) Manchoukuo</t>
        </is>
      </c>
    </row>
    <row r="7">
      <c r="A7" s="5" t="inlineStr">
        <is>
          <t>Organ</t>
        </is>
      </c>
      <c r="B7" s="5" t="inlineStr">
        <is>
          <t>Head Office</t>
        </is>
      </c>
      <c r="C7" s="5" t="inlineStr">
        <is>
          <t>Branch Office</t>
        </is>
      </c>
      <c r="D7" s="5" t="inlineStr">
        <is>
          <t>Agents</t>
        </is>
      </c>
      <c r="E7" s="5" t="inlineStr">
        <is>
          <t>Total</t>
        </is>
      </c>
    </row>
    <row r="8">
      <c r="A8" t="inlineStr">
        <is>
          <t>Central Bank of Manchou</t>
        </is>
      </c>
      <c r="B8" s="9" t="n">
        <v>1</v>
      </c>
      <c r="C8" s="9" t="n">
        <v>139</v>
      </c>
      <c r="D8" s="9" t="n">
        <v>4</v>
      </c>
      <c r="E8" s="9" t="n">
        <v>144</v>
      </c>
    </row>
    <row r="9">
      <c r="A9" t="inlineStr">
        <is>
          <t>Industrial Bank of Manchou</t>
        </is>
      </c>
      <c r="B9" s="9" t="n">
        <v>1</v>
      </c>
      <c r="C9" s="9" t="n">
        <v>39</v>
      </c>
      <c r="D9" s="9" t="n">
        <v>5</v>
      </c>
      <c r="E9" s="9" t="n">
        <v>45</v>
      </c>
    </row>
    <row r="10">
      <c r="A10" t="inlineStr">
        <is>
          <t>Ordinary Banks</t>
        </is>
      </c>
      <c r="B10" s="9" t="n">
        <v>45</v>
      </c>
      <c r="C10" s="9" t="n">
        <v>90</v>
      </c>
      <c r="D10" s="9" t="n">
        <v>47</v>
      </c>
      <c r="E10" s="9" t="n">
        <v>182</v>
      </c>
    </row>
    <row r="11">
      <c r="A11" t="inlineStr">
        <is>
          <t>Japanese Banks</t>
        </is>
      </c>
      <c r="B11" t="inlineStr">
        <is>
          <t>—</t>
        </is>
      </c>
      <c r="C11" s="9" t="n">
        <v>10</v>
      </c>
      <c r="D11" t="inlineStr">
        <is>
          <t>—</t>
        </is>
      </c>
      <c r="E11" s="9" t="n">
        <v>10</v>
      </c>
    </row>
    <row r="12">
      <c r="A12" t="inlineStr">
        <is>
          <t>Chinese Banks</t>
        </is>
      </c>
      <c r="B12" t="inlineStr">
        <is>
          <t>—</t>
        </is>
      </c>
      <c r="C12" s="9" t="n">
        <v>15</v>
      </c>
      <c r="D12" s="9" t="n">
        <v>4</v>
      </c>
      <c r="E12" s="9" t="n">
        <v>19</v>
      </c>
    </row>
    <row r="13">
      <c r="A13" t="inlineStr">
        <is>
          <t>European &amp; American Banks</t>
        </is>
      </c>
      <c r="B13" t="inlineStr">
        <is>
          <t>—</t>
        </is>
      </c>
      <c r="C13" s="9" t="n">
        <v>3</v>
      </c>
      <c r="D13" s="9" t="n">
        <v>1</v>
      </c>
      <c r="E13" s="9" t="n">
        <v>4</v>
      </c>
    </row>
    <row r="14">
      <c r="A14" t="inlineStr">
        <is>
          <t>Kinyu Gassaku-sha</t>
        </is>
      </c>
      <c r="B14" s="9" t="n">
        <v>145</v>
      </c>
      <c r="C14" s="9" t="n">
        <v>12</v>
      </c>
      <c r="D14" s="9" t="n">
        <v>219</v>
      </c>
      <c r="E14" s="9" t="n">
        <v>376</v>
      </c>
    </row>
    <row r="15">
      <c r="A15" t="inlineStr">
        <is>
          <t>Kinyu Kai</t>
        </is>
      </c>
      <c r="B15" s="9" t="n">
        <v>39</v>
      </c>
      <c r="C15" s="9" t="n">
        <v>7</v>
      </c>
      <c r="D15" s="9" t="n">
        <v>2</v>
      </c>
      <c r="E15" s="9" t="n">
        <v>48</v>
      </c>
    </row>
    <row r="16">
      <c r="A16" t="inlineStr">
        <is>
          <t>Kinyu Kumiai</t>
        </is>
      </c>
      <c r="B16" s="9" t="n">
        <v>14</v>
      </c>
      <c r="C16" t="inlineStr">
        <is>
          <t>—</t>
        </is>
      </c>
      <c r="D16" t="inlineStr">
        <is>
          <t>—</t>
        </is>
      </c>
      <c r="E16" s="9" t="n">
        <v>14</v>
      </c>
    </row>
    <row r="17">
      <c r="A17" t="inlineStr">
        <is>
          <t>P.O. Savings:</t>
        </is>
      </c>
      <c r="B17" t="inlineStr"/>
      <c r="C17" t="inlineStr"/>
      <c r="D17" t="inlineStr"/>
      <c r="E17" t="inlineStr"/>
    </row>
    <row r="18">
      <c r="A18" t="inlineStr">
        <is>
          <t>Manchoukuo side</t>
        </is>
      </c>
      <c r="B18" s="9" t="n">
        <v>540</v>
      </c>
      <c r="C18" t="inlineStr">
        <is>
          <t>—</t>
        </is>
      </c>
      <c r="D18" s="9" t="n">
        <v>118</v>
      </c>
      <c r="E18" s="9" t="n">
        <v>658</v>
      </c>
    </row>
    <row r="19">
      <c r="A19" t="inlineStr">
        <is>
          <t>Japanese side</t>
        </is>
      </c>
      <c r="B19" s="9" t="n">
        <v>127</v>
      </c>
      <c r="C19" t="inlineStr">
        <is>
          <t>—</t>
        </is>
      </c>
      <c r="D19" t="inlineStr">
        <is>
          <t>—</t>
        </is>
      </c>
      <c r="E19" s="9" t="n">
        <v>127</v>
      </c>
    </row>
    <row r="20">
      <c r="A20" t="inlineStr">
        <is>
          <t>Mujin</t>
        </is>
      </c>
      <c r="B20" s="9" t="n">
        <v>12</v>
      </c>
      <c r="C20" s="9" t="n">
        <v>4</v>
      </c>
      <c r="D20" s="9" t="n">
        <v>4</v>
      </c>
      <c r="E20" s="9" t="n">
        <v>20</v>
      </c>
    </row>
    <row r="21">
      <c r="A21" t="inlineStr">
        <is>
          <t>Total</t>
        </is>
      </c>
      <c r="B21" s="9" t="n">
        <v>924</v>
      </c>
      <c r="C21" s="9" t="n">
        <v>319</v>
      </c>
      <c r="D21" s="9" t="n">
        <v>404</v>
      </c>
      <c r="E21" s="6" t="n">
        <v>1647</v>
      </c>
    </row>
    <row r="23">
      <c r="A23" s="2" t="inlineStr">
        <is>
          <t>(B) Kwantung</t>
        </is>
      </c>
    </row>
    <row r="24">
      <c r="A24" s="5" t="inlineStr">
        <is>
          <t>Organ</t>
        </is>
      </c>
      <c r="B24" s="5" t="inlineStr">
        <is>
          <t>Head Office</t>
        </is>
      </c>
      <c r="C24" s="5" t="inlineStr">
        <is>
          <t>Branch Office</t>
        </is>
      </c>
      <c r="D24" s="5" t="inlineStr">
        <is>
          <t>Agents</t>
        </is>
      </c>
      <c r="E24" s="5" t="inlineStr">
        <is>
          <t>Total</t>
        </is>
      </c>
    </row>
    <row r="25">
      <c r="A25" t="inlineStr">
        <is>
          <t>Central Bank of Manchou</t>
        </is>
      </c>
      <c r="B25" t="inlineStr">
        <is>
          <t>—</t>
        </is>
      </c>
      <c r="C25" s="9" t="n">
        <v>1</v>
      </c>
      <c r="D25" t="inlineStr">
        <is>
          <t>—</t>
        </is>
      </c>
      <c r="E25" s="9" t="n">
        <v>1</v>
      </c>
    </row>
    <row r="26">
      <c r="A26" t="inlineStr">
        <is>
          <t>Industrial Bank of Manchou</t>
        </is>
      </c>
      <c r="B26" t="inlineStr">
        <is>
          <t>—</t>
        </is>
      </c>
      <c r="C26" s="9" t="n">
        <v>7</v>
      </c>
      <c r="D26" s="9" t="n">
        <v>1</v>
      </c>
      <c r="E26" s="9" t="n">
        <v>8</v>
      </c>
    </row>
    <row r="27">
      <c r="A27" t="inlineStr">
        <is>
          <t>Chinese Banks</t>
        </is>
      </c>
      <c r="B27" t="inlineStr">
        <is>
          <t>—</t>
        </is>
      </c>
      <c r="C27" s="9" t="n">
        <v>4</v>
      </c>
      <c r="D27" t="inlineStr">
        <is>
          <t>—</t>
        </is>
      </c>
      <c r="E27" s="9" t="n">
        <v>4</v>
      </c>
    </row>
    <row r="28">
      <c r="A28" t="inlineStr">
        <is>
          <t>Japanese Banks</t>
        </is>
      </c>
      <c r="B28" t="inlineStr">
        <is>
          <t>—</t>
        </is>
      </c>
      <c r="C28" s="9" t="n">
        <v>9</v>
      </c>
      <c r="D28" t="inlineStr">
        <is>
          <t>—</t>
        </is>
      </c>
      <c r="E28" s="9" t="n">
        <v>9</v>
      </c>
    </row>
    <row r="29">
      <c r="A29" t="inlineStr">
        <is>
          <t>European &amp; American Banks</t>
        </is>
      </c>
      <c r="B29" t="inlineStr">
        <is>
          <t>—</t>
        </is>
      </c>
      <c r="C29" s="9" t="n">
        <v>2</v>
      </c>
      <c r="D29" t="inlineStr">
        <is>
          <t>—</t>
        </is>
      </c>
      <c r="E29" s="9" t="n">
        <v>2</v>
      </c>
    </row>
    <row r="30">
      <c r="A30" t="inlineStr">
        <is>
          <t>Kinyu Kumiai</t>
        </is>
      </c>
      <c r="B30" s="9" t="n">
        <v>11</v>
      </c>
      <c r="C30" t="inlineStr">
        <is>
          <t>—</t>
        </is>
      </c>
      <c r="D30" t="inlineStr">
        <is>
          <t>—</t>
        </is>
      </c>
      <c r="E30" s="9" t="n">
        <v>11</v>
      </c>
    </row>
    <row r="31">
      <c r="A31" t="inlineStr">
        <is>
          <t>P.O. Savings</t>
        </is>
      </c>
      <c r="B31" s="9" t="n">
        <v>44</v>
      </c>
      <c r="C31" t="inlineStr">
        <is>
          <t>—</t>
        </is>
      </c>
      <c r="D31" t="inlineStr">
        <is>
          <t>—</t>
        </is>
      </c>
      <c r="E31" s="9" t="n">
        <v>44</v>
      </c>
    </row>
    <row r="32">
      <c r="A32" t="inlineStr">
        <is>
          <t>Mujin</t>
        </is>
      </c>
      <c r="B32" s="9" t="n">
        <v>3</v>
      </c>
      <c r="C32" t="inlineStr">
        <is>
          <t>—</t>
        </is>
      </c>
      <c r="D32" t="inlineStr">
        <is>
          <t>—</t>
        </is>
      </c>
      <c r="E32" s="9" t="n">
        <v>3</v>
      </c>
    </row>
    <row r="33">
      <c r="A33" t="inlineStr">
        <is>
          <t>Total</t>
        </is>
      </c>
      <c r="B33" s="9" t="n">
        <v>58</v>
      </c>
      <c r="C33" s="9" t="n">
        <v>23</v>
      </c>
      <c r="D33" s="9" t="n">
        <v>1</v>
      </c>
      <c r="E33" s="9" t="n">
        <v>82</v>
      </c>
    </row>
    <row r="34">
      <c r="A34" t="inlineStr">
        <is>
          <t>GRAND TOTAL</t>
        </is>
      </c>
      <c r="B34" s="9" t="n">
        <v>982</v>
      </c>
      <c r="C34" s="9" t="n">
        <v>342</v>
      </c>
      <c r="D34" s="9" t="n">
        <v>405</v>
      </c>
      <c r="E34" s="6" t="n">
        <v>1729</v>
      </c>
    </row>
    <row r="36">
      <c r="A36" s="2" t="inlineStr">
        <is>
          <t>Transcriber's notes</t>
        </is>
      </c>
    </row>
    <row r="37">
      <c r="A37" t="inlineStr">
        <is>
          <t>GRAND TOTAL row printed at foot of (B) covers (A)+(B).</t>
        </is>
      </c>
    </row>
    <row r="38">
      <c r="A38" t="inlineStr">
        <is>
          <t>(A) Central Bank of Manchou row Total: printed 144, parts sum to 144 — reconciles</t>
        </is>
      </c>
    </row>
    <row r="39">
      <c r="A39" t="inlineStr">
        <is>
          <t>(A) Industrial Bank of Manchou row Total: printed 45, parts sum to 45 — reconciles</t>
        </is>
      </c>
    </row>
    <row r="40">
      <c r="A40" t="inlineStr">
        <is>
          <t>(A) Ordinary Banks row Total: printed 182, parts sum to 182 — reconciles</t>
        </is>
      </c>
    </row>
    <row r="41">
      <c r="A41" t="inlineStr">
        <is>
          <t>(A) Japanese Banks row Total: printed 10, parts sum to 10 — reconciles</t>
        </is>
      </c>
    </row>
    <row r="42">
      <c r="A42" t="inlineStr">
        <is>
          <t>(A) Chinese Banks row Total: printed 19, parts sum to 19 — reconciles</t>
        </is>
      </c>
    </row>
    <row r="43">
      <c r="A43" t="inlineStr">
        <is>
          <t>(A) European &amp; American Banks row Total: printed 4, parts sum to 4 — reconciles</t>
        </is>
      </c>
    </row>
    <row r="44">
      <c r="A44" t="inlineStr">
        <is>
          <t>(A) Kinyu Gassaku-sha row Total: printed 376, parts sum to 376 — reconciles</t>
        </is>
      </c>
    </row>
    <row r="45">
      <c r="A45" t="inlineStr">
        <is>
          <t>(A) Kinyu Kai row Total: printed 48, parts sum to 48 — reconciles</t>
        </is>
      </c>
    </row>
    <row r="46">
      <c r="A46" t="inlineStr">
        <is>
          <t>(A) Kinyu Kumiai row Total: printed 14, parts sum to 14 — reconciles</t>
        </is>
      </c>
    </row>
    <row r="47">
      <c r="A47" t="inlineStr">
        <is>
          <t>(A) Manchoukuo side row Total: printed 658, parts sum to 658 — reconciles</t>
        </is>
      </c>
    </row>
    <row r="48">
      <c r="A48" t="inlineStr">
        <is>
          <t>(A) Japanese side row Total: printed 127, parts sum to 127 — reconciles</t>
        </is>
      </c>
    </row>
    <row r="49">
      <c r="A49" t="inlineStr">
        <is>
          <t>(A) Mujin row Total: printed 20, parts sum to 20 — reconciles</t>
        </is>
      </c>
    </row>
    <row r="50">
      <c r="A50" t="inlineStr">
        <is>
          <t>(A) Total row Total: printed 1,647, parts sum to 1,647 — reconciles</t>
        </is>
      </c>
    </row>
    <row r="51">
      <c r="A51" t="inlineStr">
        <is>
          <t>(A) Total col Head Office: printed 924, parts sum to 924 — reconciles</t>
        </is>
      </c>
    </row>
    <row r="52">
      <c r="A52" t="inlineStr">
        <is>
          <t>(A) Total col Branch Office: printed 319, parts sum to 319 — reconciles</t>
        </is>
      </c>
    </row>
    <row r="53">
      <c r="A53" t="inlineStr">
        <is>
          <t>(A) Total col Agents: printed 404, parts sum to 404 — reconciles</t>
        </is>
      </c>
    </row>
    <row r="54">
      <c r="A54" t="inlineStr">
        <is>
          <t>(A) Total col Total: printed 1,647, parts sum to 1,647 — reconciles</t>
        </is>
      </c>
    </row>
    <row r="55">
      <c r="A55" t="inlineStr">
        <is>
          <t>(B) Central Bank of Manchou row Total: printed 1, parts sum to 1 — reconciles</t>
        </is>
      </c>
    </row>
    <row r="56">
      <c r="A56" t="inlineStr">
        <is>
          <t>(B) Industrial Bank of Manchou row Total: printed 8, parts sum to 8 — reconciles</t>
        </is>
      </c>
    </row>
    <row r="57">
      <c r="A57" t="inlineStr">
        <is>
          <t>(B) Chinese Banks row Total: printed 4, parts sum to 4 — reconciles</t>
        </is>
      </c>
    </row>
    <row r="58">
      <c r="A58" t="inlineStr">
        <is>
          <t>(B) Japanese Banks row Total: printed 9, parts sum to 9 — reconciles</t>
        </is>
      </c>
    </row>
    <row r="59">
      <c r="A59" t="inlineStr">
        <is>
          <t>(B) European &amp; American Banks row Total: printed 2, parts sum to 2 — reconciles</t>
        </is>
      </c>
    </row>
    <row r="60">
      <c r="A60" t="inlineStr">
        <is>
          <t>(B) Kinyu Kumiai row Total: printed 11, parts sum to 11 — reconciles</t>
        </is>
      </c>
    </row>
    <row r="61">
      <c r="A61" t="inlineStr">
        <is>
          <t>(B) P.O. Savings row Total: printed 44, parts sum to 44 — reconciles</t>
        </is>
      </c>
    </row>
    <row r="62">
      <c r="A62" t="inlineStr">
        <is>
          <t>(B) Mujin row Total: printed 3, parts sum to 3 — reconciles</t>
        </is>
      </c>
    </row>
    <row r="63">
      <c r="A63" t="inlineStr">
        <is>
          <t>(B) Total row Total: printed 82, parts sum to 82 — reconciles</t>
        </is>
      </c>
    </row>
    <row r="64">
      <c r="A64" t="inlineStr">
        <is>
          <t>(B) Total col Head Office: printed 58, parts sum to 58 — reconciles</t>
        </is>
      </c>
    </row>
    <row r="65">
      <c r="A65" t="inlineStr">
        <is>
          <t>(B) Total col Branch Office: printed 23, parts sum to 23 — reconciles</t>
        </is>
      </c>
    </row>
    <row r="66">
      <c r="A66" t="inlineStr">
        <is>
          <t>(B) Total col Agents: printed 1, parts sum to 1 — reconciles</t>
        </is>
      </c>
    </row>
    <row r="67">
      <c r="A67" t="inlineStr">
        <is>
          <t>(B) Total col Total: printed 82, parts sum to 82 — reconciles</t>
        </is>
      </c>
    </row>
    <row r="68">
      <c r="A68" t="inlineStr">
        <is>
          <t>GRAND TOTAL col Head Office = (A) Total + (B) Total: printed 982, parts sum to 982 — reconciles</t>
        </is>
      </c>
    </row>
    <row r="69">
      <c r="A69" t="inlineStr">
        <is>
          <t>GRAND TOTAL col Branch Office = (A) Total + (B) Total: printed 342, parts sum to 342 — reconciles</t>
        </is>
      </c>
    </row>
    <row r="70">
      <c r="A70" t="inlineStr">
        <is>
          <t>GRAND TOTAL col Agents = (A) Total + (B) Total: printed 405, parts sum to 405 — reconciles</t>
        </is>
      </c>
    </row>
    <row r="71">
      <c r="A71" t="inlineStr">
        <is>
          <t>GRAND TOTAL col Total = (A) Total + (B) Total: printed 1,729, parts sum to 1,729 — reconciles</t>
        </is>
      </c>
    </row>
  </sheetData>
  <hyperlinks>
    <hyperlink xmlns:r="http://schemas.openxmlformats.org/officeDocument/2006/relationships" ref="A4" r:id="rId1"/>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10. Statistics of Postal Savings</t>
        </is>
      </c>
    </row>
    <row r="2">
      <c r="A2" t="inlineStr">
        <is>
          <t>Banking and Currency · printed pp. 252</t>
        </is>
      </c>
    </row>
    <row r="3">
      <c r="A3" s="3" t="inlineStr">
        <is>
          <t>← Contents</t>
        </is>
      </c>
    </row>
    <row r="5">
      <c r="A5" s="5" t="inlineStr">
        <is>
          <t>Year</t>
        </is>
      </c>
      <c r="B5" s="5" t="inlineStr">
        <is>
          <t>Manchoukuo Side — Amount of deposits (¥1,000)</t>
        </is>
      </c>
      <c r="C5" s="5" t="inlineStr">
        <is>
          <t>Manchoukuo Side — Amount of Withdrawals (¥1,000)</t>
        </is>
      </c>
      <c r="D5" s="5" t="inlineStr">
        <is>
          <t>Manchoukuo Side — End of year — No. of depositors</t>
        </is>
      </c>
      <c r="E5" s="5" t="inlineStr">
        <is>
          <t>Manchoukuo Side — End of year — Amount (¥1,000)</t>
        </is>
      </c>
      <c r="F5" s="5" t="inlineStr">
        <is>
          <t>Manchoukuo Side — End of year — Deposits per capita (Yen)</t>
        </is>
      </c>
      <c r="G5" s="5" t="inlineStr">
        <is>
          <t>Japanese Side — Amount of deposits (¥1,000)</t>
        </is>
      </c>
      <c r="H5" s="5" t="inlineStr">
        <is>
          <t>Japanese Side — Amount of withdrawals (¥1,000)</t>
        </is>
      </c>
      <c r="I5" s="5" t="inlineStr">
        <is>
          <t>Japanese Side — End of year — No. of depositors</t>
        </is>
      </c>
      <c r="J5" s="5" t="inlineStr">
        <is>
          <t>Japanese Side — End of year — Amount (¥1,000)</t>
        </is>
      </c>
      <c r="K5" s="5" t="inlineStr">
        <is>
          <t>Japanese Side — End of year — deposits per capita (Yen)</t>
        </is>
      </c>
    </row>
    <row r="6">
      <c r="A6" s="9" t="n">
        <v>1933</v>
      </c>
      <c r="B6" s="9" t="n">
        <v>401</v>
      </c>
      <c r="C6" s="9" t="n">
        <v>184</v>
      </c>
      <c r="D6" s="6" t="n">
        <v>10769</v>
      </c>
      <c r="E6" s="9" t="n">
        <v>217</v>
      </c>
      <c r="F6" s="11" t="n">
        <v>20.14</v>
      </c>
      <c r="G6" t="inlineStr">
        <is>
          <t>—</t>
        </is>
      </c>
      <c r="H6" t="inlineStr">
        <is>
          <t>—</t>
        </is>
      </c>
      <c r="I6" s="6" t="n">
        <v>378764</v>
      </c>
      <c r="J6" s="6" t="n">
        <v>32671</v>
      </c>
      <c r="K6" s="11" t="n">
        <v>86.25</v>
      </c>
    </row>
    <row r="7">
      <c r="A7" s="9" t="n">
        <v>1934</v>
      </c>
      <c r="B7" s="6" t="n">
        <v>1319</v>
      </c>
      <c r="C7" s="9" t="n">
        <v>918</v>
      </c>
      <c r="D7" s="6" t="n">
        <v>21314</v>
      </c>
      <c r="E7" s="9" t="n">
        <v>631</v>
      </c>
      <c r="F7" s="11" t="n">
        <v>29.61</v>
      </c>
      <c r="G7" s="6" t="n">
        <v>38769</v>
      </c>
      <c r="H7" s="6" t="n">
        <v>32108</v>
      </c>
      <c r="I7" s="6" t="n">
        <v>437636</v>
      </c>
      <c r="J7" s="6" t="n">
        <v>38249</v>
      </c>
      <c r="K7" s="11" t="n">
        <v>87.40000000000001</v>
      </c>
    </row>
    <row r="8">
      <c r="A8" s="9" t="n">
        <v>1935</v>
      </c>
      <c r="B8" s="6" t="n">
        <v>4005</v>
      </c>
      <c r="C8" s="6" t="n">
        <v>2300</v>
      </c>
      <c r="D8" s="6" t="n">
        <v>72675</v>
      </c>
      <c r="E8" s="6" t="n">
        <v>2336</v>
      </c>
      <c r="F8" s="11" t="n">
        <v>32.14</v>
      </c>
      <c r="G8" s="6" t="n">
        <v>45161</v>
      </c>
      <c r="H8" s="6" t="n">
        <v>38622</v>
      </c>
      <c r="I8" s="6" t="n">
        <v>522879</v>
      </c>
      <c r="J8" s="6" t="n">
        <v>44771</v>
      </c>
      <c r="K8" s="11" t="n">
        <v>85.62</v>
      </c>
    </row>
    <row r="9">
      <c r="A9" s="9" t="n">
        <v>1936</v>
      </c>
      <c r="B9" s="6" t="n">
        <v>11211</v>
      </c>
      <c r="C9" s="6" t="n">
        <v>6438</v>
      </c>
      <c r="D9" s="6" t="n">
        <v>103909</v>
      </c>
      <c r="E9" s="6" t="n">
        <v>7107</v>
      </c>
      <c r="F9" s="11" t="n">
        <v>68.39</v>
      </c>
      <c r="G9" s="6" t="n">
        <v>47918</v>
      </c>
      <c r="H9" s="6" t="n">
        <v>42319</v>
      </c>
      <c r="I9" s="6" t="n">
        <v>595031</v>
      </c>
      <c r="J9" s="6" t="n">
        <v>50019</v>
      </c>
      <c r="K9" s="11" t="n">
        <v>84.06</v>
      </c>
    </row>
    <row r="10">
      <c r="A10" s="9" t="n">
        <v>1937</v>
      </c>
      <c r="B10" s="6" t="n">
        <v>22628</v>
      </c>
      <c r="C10" s="6" t="n">
        <v>13146</v>
      </c>
      <c r="D10" s="6" t="n">
        <v>204643</v>
      </c>
      <c r="E10" s="6" t="n">
        <v>17304</v>
      </c>
      <c r="F10" s="11" t="n">
        <v>84.5</v>
      </c>
      <c r="G10" s="6" t="n">
        <v>47480</v>
      </c>
      <c r="H10" s="6" t="n">
        <v>41032</v>
      </c>
      <c r="I10" s="6" t="n">
        <v>664559</v>
      </c>
      <c r="J10" s="6" t="n">
        <v>57737</v>
      </c>
      <c r="K10" s="11" t="n">
        <v>86.88</v>
      </c>
    </row>
    <row r="11">
      <c r="A11" s="9" t="n">
        <v>1938</v>
      </c>
      <c r="B11" s="6" t="n">
        <v>77031</v>
      </c>
      <c r="C11" s="6" t="n">
        <v>42722</v>
      </c>
      <c r="D11" s="6" t="n">
        <v>638003</v>
      </c>
      <c r="E11" s="6" t="n">
        <v>51613</v>
      </c>
      <c r="F11" s="11" t="n">
        <v>80.8</v>
      </c>
      <c r="G11" s="6" t="n">
        <v>49004</v>
      </c>
      <c r="H11" s="6" t="n">
        <v>49316</v>
      </c>
      <c r="I11" s="6" t="n">
        <v>625965</v>
      </c>
      <c r="J11" s="6" t="n">
        <v>57941</v>
      </c>
      <c r="K11" s="11" t="n">
        <v>92.56</v>
      </c>
    </row>
    <row r="12">
      <c r="A12" s="9" t="n">
        <v>1939</v>
      </c>
      <c r="B12" s="6" t="n">
        <v>139797</v>
      </c>
      <c r="C12" s="6" t="n">
        <v>88780</v>
      </c>
      <c r="D12" s="6" t="n">
        <v>1152922</v>
      </c>
      <c r="E12" s="6" t="n">
        <v>102731</v>
      </c>
      <c r="F12" s="11" t="n">
        <v>89.09999999999999</v>
      </c>
      <c r="G12" s="6" t="n">
        <v>50549</v>
      </c>
      <c r="H12" s="6" t="n">
        <v>49090</v>
      </c>
      <c r="I12" s="6" t="n">
        <v>596046</v>
      </c>
      <c r="J12" s="6" t="n">
        <v>58800</v>
      </c>
      <c r="K12" s="11" t="n">
        <v>93.65000000000001</v>
      </c>
    </row>
    <row r="13">
      <c r="A13" s="9" t="n">
        <v>1940</v>
      </c>
      <c r="B13" s="6" t="n">
        <v>272834</v>
      </c>
      <c r="C13" s="6" t="n">
        <v>207423</v>
      </c>
      <c r="D13" s="6" t="n">
        <v>1787896</v>
      </c>
      <c r="E13" s="6" t="n">
        <v>168142</v>
      </c>
      <c r="F13" s="11" t="n">
        <v>94</v>
      </c>
      <c r="G13" s="6" t="n">
        <v>51971</v>
      </c>
      <c r="H13" s="6" t="n">
        <v>48658</v>
      </c>
      <c r="I13" s="6" t="n">
        <v>609930</v>
      </c>
      <c r="J13" s="6" t="n">
        <v>62113</v>
      </c>
      <c r="K13" s="11" t="n">
        <v>101.8</v>
      </c>
    </row>
    <row r="15">
      <c r="A15" s="2" t="inlineStr">
        <is>
          <t>Transcriber's notes</t>
        </is>
      </c>
    </row>
    <row r="16">
      <c r="A16" t="inlineStr">
        <is>
          <t>No totals printed.</t>
        </is>
      </c>
    </row>
    <row r="17">
      <c r="A17" t="inlineStr">
        <is>
          <t>Japanese Side per-capita check (Amount×1000/depositors): [86.26, 87.4, 85.62, 84.06, 86.88, 92.56, 98.65, 101.84]. 1939 printed 93.65 but computes to 98.65 — re-read at high zoom, printed 93.65; transcribed as printed.</t>
        </is>
      </c>
    </row>
    <row r="18">
      <c r="A18" t="inlineStr">
        <is>
          <t>Japanese side per-capita column is printed at the gutter, curving; figures legible.</t>
        </is>
      </c>
    </row>
  </sheetData>
  <hyperlinks>
    <hyperlink xmlns:r="http://schemas.openxmlformats.org/officeDocument/2006/relationships" ref="A3" r:id="rId1"/>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K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11. Statistics of Postal Money Orders</t>
        </is>
      </c>
    </row>
    <row r="2">
      <c r="A2" t="inlineStr">
        <is>
          <t>Banking and Currency · printed pp. 252</t>
        </is>
      </c>
    </row>
    <row r="3">
      <c r="A3" t="inlineStr">
        <is>
          <t>(Unit: ¥1,000)</t>
        </is>
      </c>
    </row>
    <row r="4">
      <c r="A4" s="3" t="inlineStr">
        <is>
          <t>← Contents</t>
        </is>
      </c>
    </row>
    <row r="6">
      <c r="A6" s="5" t="inlineStr">
        <is>
          <t>Year End</t>
        </is>
      </c>
      <c r="B6" s="5" t="inlineStr">
        <is>
          <t>Domestic — Issued</t>
        </is>
      </c>
      <c r="C6" s="5" t="inlineStr">
        <is>
          <t>Domestic — Paid</t>
        </is>
      </c>
      <c r="D6" s="5" t="inlineStr">
        <is>
          <t>Manchoukuo-Japan — Issued</t>
        </is>
      </c>
      <c r="E6" s="5" t="inlineStr">
        <is>
          <t>Manchoukuo-Japan — Paid</t>
        </is>
      </c>
      <c r="F6" s="5" t="inlineStr">
        <is>
          <t>Manchoukuo-China — Issued</t>
        </is>
      </c>
      <c r="G6" s="5" t="inlineStr">
        <is>
          <t>Manchoukuo-China — Paid</t>
        </is>
      </c>
      <c r="H6" s="5" t="inlineStr">
        <is>
          <t>Others — Issued</t>
        </is>
      </c>
      <c r="I6" s="5" t="inlineStr">
        <is>
          <t>Others — Paid</t>
        </is>
      </c>
      <c r="J6" s="5" t="inlineStr">
        <is>
          <t>Total — Issued</t>
        </is>
      </c>
      <c r="K6" s="5" t="inlineStr">
        <is>
          <t>Total — Paid</t>
        </is>
      </c>
    </row>
    <row r="7">
      <c r="A7" s="9" t="n">
        <v>1934</v>
      </c>
      <c r="B7" s="6" t="n">
        <v>7576</v>
      </c>
      <c r="C7" s="6" t="n">
        <v>7679</v>
      </c>
      <c r="D7" s="6" t="n">
        <v>3484</v>
      </c>
      <c r="E7" s="9" t="n">
        <v>503</v>
      </c>
      <c r="F7" t="inlineStr">
        <is>
          <t>—</t>
        </is>
      </c>
      <c r="G7" t="inlineStr">
        <is>
          <t>—</t>
        </is>
      </c>
      <c r="H7" t="inlineStr">
        <is>
          <t>—</t>
        </is>
      </c>
      <c r="I7" t="inlineStr">
        <is>
          <t>—</t>
        </is>
      </c>
      <c r="J7" s="6" t="n">
        <v>11060</v>
      </c>
      <c r="K7" s="6" t="n">
        <v>8182</v>
      </c>
    </row>
    <row r="8">
      <c r="A8" s="9" t="n">
        <v>1935</v>
      </c>
      <c r="B8" s="6" t="n">
        <v>9536</v>
      </c>
      <c r="C8" s="6" t="n">
        <v>9540</v>
      </c>
      <c r="D8" s="6" t="n">
        <v>6862</v>
      </c>
      <c r="E8" s="6" t="n">
        <v>1109</v>
      </c>
      <c r="F8" s="6" t="n">
        <v>1993</v>
      </c>
      <c r="G8" s="9" t="n">
        <v>679</v>
      </c>
      <c r="H8" t="inlineStr">
        <is>
          <t>—</t>
        </is>
      </c>
      <c r="I8" t="inlineStr">
        <is>
          <t>—</t>
        </is>
      </c>
      <c r="J8" s="6" t="n">
        <v>18391</v>
      </c>
      <c r="K8" s="6" t="n">
        <v>11328</v>
      </c>
    </row>
    <row r="9">
      <c r="A9" s="9" t="n">
        <v>1936</v>
      </c>
      <c r="B9" s="6" t="n">
        <v>15790</v>
      </c>
      <c r="C9" s="6" t="n">
        <v>15374</v>
      </c>
      <c r="D9" s="6" t="n">
        <v>15901</v>
      </c>
      <c r="E9" s="6" t="n">
        <v>4578</v>
      </c>
      <c r="F9" s="6" t="n">
        <v>5201</v>
      </c>
      <c r="G9" s="6" t="n">
        <v>1170</v>
      </c>
      <c r="H9" s="8" t="n">
        <v>0.3</v>
      </c>
      <c r="I9" s="9" t="n">
        <v>3</v>
      </c>
      <c r="J9" s="6" t="n">
        <v>36892</v>
      </c>
      <c r="K9" s="6" t="n">
        <v>21125</v>
      </c>
    </row>
    <row r="10">
      <c r="A10" s="9" t="n">
        <v>1937</v>
      </c>
      <c r="B10" s="6" t="n">
        <v>37061</v>
      </c>
      <c r="C10" s="6" t="n">
        <v>29656</v>
      </c>
      <c r="D10" s="6" t="n">
        <v>27825</v>
      </c>
      <c r="E10" s="6" t="n">
        <v>8026</v>
      </c>
      <c r="F10" s="6" t="n">
        <v>5001</v>
      </c>
      <c r="G10" s="6" t="n">
        <v>1440</v>
      </c>
      <c r="H10" s="8" t="n">
        <v>0.4</v>
      </c>
      <c r="I10" s="9" t="n">
        <v>3</v>
      </c>
      <c r="J10" s="6" t="n">
        <v>69888</v>
      </c>
      <c r="K10" s="6" t="n">
        <v>39125</v>
      </c>
    </row>
    <row r="11">
      <c r="A11" s="9" t="n">
        <v>1938</v>
      </c>
      <c r="B11" s="6" t="n">
        <v>73962</v>
      </c>
      <c r="C11" s="6" t="n">
        <v>61146</v>
      </c>
      <c r="D11" s="6" t="n">
        <v>71039</v>
      </c>
      <c r="E11" s="6" t="n">
        <v>18130</v>
      </c>
      <c r="F11" s="6" t="n">
        <v>1345</v>
      </c>
      <c r="G11" s="6" t="n">
        <v>1031</v>
      </c>
      <c r="H11" s="8" t="n">
        <v>168.1</v>
      </c>
      <c r="I11" s="6" t="n">
        <v>1293</v>
      </c>
      <c r="J11" s="6" t="n">
        <v>146514</v>
      </c>
      <c r="K11" s="6" t="n">
        <v>81600</v>
      </c>
    </row>
    <row r="12">
      <c r="A12" s="9" t="n">
        <v>1939</v>
      </c>
      <c r="B12" s="6" t="n">
        <v>97172</v>
      </c>
      <c r="C12" s="6" t="n">
        <v>89691</v>
      </c>
      <c r="D12" s="6" t="n">
        <v>124703</v>
      </c>
      <c r="E12" s="6" t="n">
        <v>23426</v>
      </c>
      <c r="F12" s="6" t="n">
        <v>2993</v>
      </c>
      <c r="G12" s="6" t="n">
        <v>1891</v>
      </c>
      <c r="H12" s="8" t="n">
        <v>367.8</v>
      </c>
      <c r="I12" s="6" t="n">
        <v>1248</v>
      </c>
      <c r="J12" s="10" t="n">
        <v>225.236</v>
      </c>
      <c r="K12" s="6" t="n">
        <v>116255</v>
      </c>
    </row>
    <row r="13">
      <c r="A13" s="9" t="n">
        <v>1940</v>
      </c>
      <c r="B13" s="6" t="n">
        <v>152607</v>
      </c>
      <c r="C13" s="6" t="n">
        <v>133733</v>
      </c>
      <c r="D13" s="6" t="n">
        <v>207943</v>
      </c>
      <c r="E13" s="6" t="n">
        <v>31135</v>
      </c>
      <c r="F13" s="6" t="n">
        <v>6145</v>
      </c>
      <c r="G13" s="6" t="n">
        <v>3325</v>
      </c>
      <c r="H13" s="8" t="n">
        <v>374.7</v>
      </c>
      <c r="I13" s="6" t="n">
        <v>1767</v>
      </c>
      <c r="J13" s="6" t="n">
        <v>367069</v>
      </c>
      <c r="K13" s="6" t="n">
        <v>169960</v>
      </c>
    </row>
    <row r="15">
      <c r="A15" s="2" t="inlineStr">
        <is>
          <t>Transcriber's notes</t>
        </is>
      </c>
    </row>
    <row r="16">
      <c r="A16" t="inlineStr">
        <is>
          <t>1939 Total Issued printed '225.236' (full stop for comma); transcribed as printed, read as 225,236 for the check.</t>
        </is>
      </c>
    </row>
    <row r="17">
      <c r="A17" t="inlineStr">
        <is>
          <t>Issued totals checked with tolerance of 1 because Others—Issued has decimals.</t>
        </is>
      </c>
    </row>
    <row r="18">
      <c r="A18" t="inlineStr">
        <is>
          <t>1934 Total Issued: printed 11,060, parts sum to 11,060 — reconciles</t>
        </is>
      </c>
    </row>
    <row r="19">
      <c r="A19" t="inlineStr">
        <is>
          <t>1934 Total Paid: printed 8,182, parts sum to 8,182 — reconciles</t>
        </is>
      </c>
    </row>
    <row r="20">
      <c r="A20" t="inlineStr">
        <is>
          <t>1935 Total Issued: printed 18,391, parts sum to 18,391 — reconciles</t>
        </is>
      </c>
    </row>
    <row r="21">
      <c r="A21" t="inlineStr">
        <is>
          <t>1935 Total Paid: printed 11,328, parts sum to 11,328 — reconciles</t>
        </is>
      </c>
    </row>
    <row r="22">
      <c r="A22" t="inlineStr">
        <is>
          <t>1936 Total Issued: printed 36,892, parts sum to 36,892.3 — reconciles</t>
        </is>
      </c>
    </row>
    <row r="23">
      <c r="A23" t="inlineStr">
        <is>
          <t>1936 Total Paid: printed 21,125, parts sum to 21,125 — reconciles</t>
        </is>
      </c>
    </row>
    <row r="24">
      <c r="A24" t="inlineStr">
        <is>
          <t>1937 Total Issued: printed 69,888, parts sum to 69,887.4 — reconciles</t>
        </is>
      </c>
    </row>
    <row r="25">
      <c r="A25" t="inlineStr">
        <is>
          <t>1937 Total Paid: printed 39,125, parts sum to 39,125 — reconciles</t>
        </is>
      </c>
    </row>
    <row r="26">
      <c r="A26" t="inlineStr">
        <is>
          <t>1938 Total Issued: printed 146,514, parts sum to 146,514.1 — reconciles</t>
        </is>
      </c>
    </row>
    <row r="27">
      <c r="A27" t="inlineStr">
        <is>
          <t>1938 Total Paid: printed 81,600, parts sum to 81,600 — reconciles</t>
        </is>
      </c>
    </row>
    <row r="28">
      <c r="A28" t="inlineStr">
        <is>
          <t>1939 Total Issued: printed 225,236, parts sum to 225,235.8 — reconciles</t>
        </is>
      </c>
    </row>
    <row r="29">
      <c r="A29" t="inlineStr">
        <is>
          <t>1939 Total Paid: printed 116,255, parts sum to 116,256 — does NOT reconcile (diff -1)</t>
        </is>
      </c>
    </row>
    <row r="30">
      <c r="A30" t="inlineStr">
        <is>
          <t>1940 Total Issued: printed 367,069, parts sum to 367,069.7 — reconciles</t>
        </is>
      </c>
    </row>
    <row r="31">
      <c r="A31" t="inlineStr">
        <is>
          <t>1940 Total Paid: printed 169,960, parts sum to 169,960 — reconciles</t>
        </is>
      </c>
    </row>
  </sheetData>
  <hyperlinks>
    <hyperlink xmlns:r="http://schemas.openxmlformats.org/officeDocument/2006/relationships" ref="A4" r:id="rId1"/>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12. Manchoukuo Yuan Foreign Exchange Rates</t>
        </is>
      </c>
    </row>
    <row r="2">
      <c r="A2" t="inlineStr">
        <is>
          <t>Banking and Currency · printed pp. 254, 255</t>
        </is>
      </c>
    </row>
    <row r="3">
      <c r="A3" s="3" t="inlineStr">
        <is>
          <t>← Contents</t>
        </is>
      </c>
    </row>
    <row r="5">
      <c r="A5" s="5" t="inlineStr">
        <is>
          <t>Period</t>
        </is>
      </c>
      <c r="B5" s="5" t="inlineStr">
        <is>
          <t>On Japan — Rate (¥)</t>
        </is>
      </c>
      <c r="C5" s="5" t="inlineStr">
        <is>
          <t>On Japan — Index</t>
        </is>
      </c>
      <c r="D5" s="5" t="inlineStr">
        <is>
          <t>On New York — Rate ($)</t>
        </is>
      </c>
      <c r="E5" s="5" t="inlineStr">
        <is>
          <t>On New York — Index</t>
        </is>
      </c>
      <c r="F5" s="5" t="inlineStr">
        <is>
          <t>On London — Rate (s.d.)</t>
        </is>
      </c>
      <c r="G5" s="5" t="inlineStr">
        <is>
          <t>On London — Index</t>
        </is>
      </c>
      <c r="H5" s="5" t="inlineStr">
        <is>
          <t>On Shanghai — Rate (Yuan)</t>
        </is>
      </c>
      <c r="I5" s="5" t="inlineStr">
        <is>
          <t>On Shanghai — Index</t>
        </is>
      </c>
    </row>
    <row r="6">
      <c r="A6" s="9" t="n">
        <v>1932</v>
      </c>
      <c r="B6" t="inlineStr"/>
      <c r="C6" t="inlineStr"/>
      <c r="D6" t="inlineStr"/>
      <c r="E6" t="inlineStr"/>
      <c r="F6" t="inlineStr"/>
      <c r="G6" t="inlineStr"/>
      <c r="H6" t="inlineStr"/>
      <c r="I6" t="inlineStr"/>
    </row>
    <row r="7">
      <c r="A7" t="inlineStr">
        <is>
          <t>July</t>
        </is>
      </c>
      <c r="B7" s="11" t="n">
        <v>73.19</v>
      </c>
      <c r="C7" s="8" t="n">
        <v>100</v>
      </c>
      <c r="D7" s="11" t="n">
        <v>20.1</v>
      </c>
      <c r="E7" s="8" t="n">
        <v>100</v>
      </c>
      <c r="F7" t="inlineStr">
        <is>
          <t>1–1.57</t>
        </is>
      </c>
      <c r="G7" s="8" t="n">
        <v>100</v>
      </c>
      <c r="H7" s="11" t="n">
        <v>95.72</v>
      </c>
      <c r="I7" s="8" t="n">
        <v>100</v>
      </c>
    </row>
    <row r="8">
      <c r="A8" t="inlineStr">
        <is>
          <t>December</t>
        </is>
      </c>
      <c r="B8" s="11" t="n">
        <v>96.81999999999999</v>
      </c>
      <c r="C8" s="8" t="n">
        <v>132.3</v>
      </c>
      <c r="D8" s="11" t="n">
        <v>20.19</v>
      </c>
      <c r="E8" s="8" t="n">
        <v>100.4</v>
      </c>
      <c r="F8" t="inlineStr">
        <is>
          <t>1–2.79</t>
        </is>
      </c>
      <c r="G8" s="8" t="n">
        <v>108.8</v>
      </c>
      <c r="H8" s="11" t="n">
        <v>100.7</v>
      </c>
      <c r="I8" s="8" t="n">
        <v>105.2</v>
      </c>
    </row>
    <row r="9">
      <c r="A9" t="inlineStr">
        <is>
          <t>Average</t>
        </is>
      </c>
      <c r="B9" s="11" t="n">
        <v>90.93000000000001</v>
      </c>
      <c r="C9" s="8" t="n">
        <v>124.2</v>
      </c>
      <c r="D9" s="11" t="n">
        <v>21.07</v>
      </c>
      <c r="E9" s="8" t="n">
        <v>104.8</v>
      </c>
      <c r="F9" t="inlineStr">
        <is>
          <t>1–2.84</t>
        </is>
      </c>
      <c r="G9" s="8" t="n">
        <v>109.4</v>
      </c>
      <c r="H9" s="11" t="n">
        <v>98.48</v>
      </c>
      <c r="I9" s="8" t="n">
        <v>102.9</v>
      </c>
    </row>
    <row r="10">
      <c r="A10" s="9" t="n">
        <v>1933</v>
      </c>
      <c r="B10" t="inlineStr"/>
      <c r="C10" t="inlineStr"/>
      <c r="D10" t="inlineStr"/>
      <c r="E10" t="inlineStr"/>
      <c r="F10" t="inlineStr"/>
      <c r="G10" t="inlineStr"/>
      <c r="H10" t="inlineStr"/>
      <c r="I10" t="inlineStr"/>
    </row>
    <row r="11">
      <c r="A11" t="inlineStr">
        <is>
          <t>June</t>
        </is>
      </c>
      <c r="B11" s="11" t="n">
        <v>99.37</v>
      </c>
      <c r="C11" s="8" t="n">
        <v>135.8</v>
      </c>
      <c r="D11" s="11" t="n">
        <v>25.16</v>
      </c>
      <c r="E11" s="8" t="n">
        <v>125.2</v>
      </c>
      <c r="F11" t="inlineStr">
        <is>
          <t>1–2.65</t>
        </is>
      </c>
      <c r="G11" s="8" t="n">
        <v>108</v>
      </c>
      <c r="H11" s="11" t="n">
        <v>97.7</v>
      </c>
      <c r="I11" s="8" t="n">
        <v>102.1</v>
      </c>
    </row>
    <row r="12">
      <c r="A12" t="inlineStr">
        <is>
          <t>December</t>
        </is>
      </c>
      <c r="B12" s="11" t="n">
        <v>109.39</v>
      </c>
      <c r="C12" s="8" t="n">
        <v>149.5</v>
      </c>
      <c r="D12" s="11" t="n">
        <v>32.56</v>
      </c>
      <c r="E12" s="8" t="n">
        <v>164</v>
      </c>
      <c r="F12" t="inlineStr">
        <is>
          <t>1–3.37</t>
        </is>
      </c>
      <c r="G12" s="8" t="n">
        <v>113.3</v>
      </c>
      <c r="H12" s="11" t="n">
        <v>100.32</v>
      </c>
      <c r="I12" s="8" t="n">
        <v>104.8</v>
      </c>
    </row>
    <row r="13">
      <c r="A13" t="inlineStr">
        <is>
          <t>Average</t>
        </is>
      </c>
      <c r="B13" s="11" t="n">
        <v>101.34</v>
      </c>
      <c r="C13" s="8" t="n">
        <v>138.5</v>
      </c>
      <c r="D13" s="11" t="n">
        <v>25.72</v>
      </c>
      <c r="E13" s="8" t="n">
        <v>128</v>
      </c>
      <c r="F13" t="inlineStr">
        <is>
          <t>1–2.62</t>
        </is>
      </c>
      <c r="G13" s="8" t="n">
        <v>107.7</v>
      </c>
      <c r="H13" s="11" t="n">
        <v>98.41</v>
      </c>
      <c r="I13" s="8" t="n">
        <v>102.8</v>
      </c>
    </row>
    <row r="14">
      <c r="A14" s="9" t="n">
        <v>1934</v>
      </c>
      <c r="B14" t="inlineStr"/>
      <c r="C14" t="inlineStr"/>
      <c r="D14" t="inlineStr"/>
      <c r="E14" t="inlineStr"/>
      <c r="F14" t="inlineStr"/>
      <c r="G14" t="inlineStr"/>
      <c r="H14" t="inlineStr"/>
      <c r="I14" t="inlineStr"/>
    </row>
    <row r="15">
      <c r="A15" t="inlineStr">
        <is>
          <t>June</t>
        </is>
      </c>
      <c r="B15" s="11" t="n">
        <v>107.26</v>
      </c>
      <c r="C15" s="8" t="n">
        <v>146.6</v>
      </c>
      <c r="D15" s="11" t="n">
        <v>31.9</v>
      </c>
      <c r="E15" s="8" t="n">
        <v>158.7</v>
      </c>
      <c r="F15" t="inlineStr">
        <is>
          <t>1–3.06</t>
        </is>
      </c>
      <c r="G15" s="8" t="n">
        <v>111</v>
      </c>
      <c r="H15" s="11" t="n">
        <v>97.81999999999999</v>
      </c>
      <c r="I15" s="8" t="n">
        <v>102.2</v>
      </c>
    </row>
    <row r="16">
      <c r="A16" t="inlineStr">
        <is>
          <t>December</t>
        </is>
      </c>
      <c r="B16" s="11" t="n">
        <v>109.7</v>
      </c>
      <c r="C16" s="8" t="n">
        <v>149.9</v>
      </c>
      <c r="D16" s="11" t="n">
        <v>31.43</v>
      </c>
      <c r="E16" s="8" t="n">
        <v>156.3</v>
      </c>
      <c r="F16" t="inlineStr">
        <is>
          <t>1–3.23</t>
        </is>
      </c>
      <c r="G16" s="8" t="n">
        <v>112.2</v>
      </c>
      <c r="H16" s="11" t="n">
        <v>99</v>
      </c>
      <c r="I16" s="8" t="n">
        <v>103.4</v>
      </c>
    </row>
    <row r="17">
      <c r="A17" t="inlineStr">
        <is>
          <t>Average</t>
        </is>
      </c>
      <c r="B17" s="11" t="n">
        <v>110.83</v>
      </c>
      <c r="C17" s="8" t="n">
        <v>151.4</v>
      </c>
      <c r="D17" s="11" t="n">
        <v>32.59</v>
      </c>
      <c r="E17" s="8" t="n">
        <v>162.1</v>
      </c>
      <c r="F17" t="inlineStr">
        <is>
          <t>1–3.51</t>
        </is>
      </c>
      <c r="G17" s="8" t="n">
        <v>114.3</v>
      </c>
      <c r="H17" s="11" t="n">
        <v>97.5</v>
      </c>
      <c r="I17" s="8" t="n">
        <v>101.8</v>
      </c>
    </row>
    <row r="18">
      <c r="A18" s="9" t="n">
        <v>1935</v>
      </c>
      <c r="B18" t="inlineStr"/>
      <c r="C18" t="inlineStr"/>
      <c r="D18" t="inlineStr"/>
      <c r="E18" t="inlineStr"/>
      <c r="F18" t="inlineStr"/>
      <c r="G18" t="inlineStr"/>
      <c r="H18" t="inlineStr"/>
      <c r="I18" t="inlineStr"/>
    </row>
    <row r="19">
      <c r="A19" t="inlineStr">
        <is>
          <t>June</t>
        </is>
      </c>
      <c r="B19" s="11" t="n">
        <v>104.33</v>
      </c>
      <c r="C19" s="8" t="n">
        <v>142.5</v>
      </c>
      <c r="D19" s="11" t="n">
        <v>30</v>
      </c>
      <c r="E19" s="8" t="n">
        <v>149.3</v>
      </c>
      <c r="F19" t="inlineStr">
        <is>
          <t>1–2.58</t>
        </is>
      </c>
      <c r="G19" s="8" t="n">
        <v>107.4</v>
      </c>
      <c r="H19" s="11" t="n">
        <v>79.88</v>
      </c>
      <c r="I19" s="8" t="n">
        <v>83.5</v>
      </c>
    </row>
    <row r="20">
      <c r="A20" t="inlineStr">
        <is>
          <t>December</t>
        </is>
      </c>
      <c r="B20" s="11" t="n">
        <v>100</v>
      </c>
      <c r="C20" s="8" t="n">
        <v>136.6</v>
      </c>
      <c r="D20" s="11" t="n">
        <v>28.71</v>
      </c>
      <c r="E20" s="8" t="n">
        <v>142.8</v>
      </c>
      <c r="F20" t="inlineStr">
        <is>
          <t>1–1.99</t>
        </is>
      </c>
      <c r="G20" s="8" t="n">
        <v>103.1</v>
      </c>
      <c r="H20" s="11" t="n">
        <v>97.65000000000001</v>
      </c>
      <c r="I20" s="8" t="n">
        <v>102</v>
      </c>
    </row>
    <row r="21">
      <c r="A21" t="inlineStr">
        <is>
          <t>Average</t>
        </is>
      </c>
      <c r="B21" s="11" t="n">
        <v>104.77</v>
      </c>
      <c r="C21" s="8" t="n">
        <v>143.1</v>
      </c>
      <c r="D21" s="11" t="n">
        <v>29.92</v>
      </c>
      <c r="E21" s="8" t="n">
        <v>148.8</v>
      </c>
      <c r="F21" t="inlineStr">
        <is>
          <t>1–2.29</t>
        </is>
      </c>
      <c r="G21" s="8" t="n">
        <v>107.8</v>
      </c>
      <c r="H21" s="8" t="n">
        <v>86.90000000000001</v>
      </c>
      <c r="I21" s="8" t="n">
        <v>90.8</v>
      </c>
    </row>
    <row r="22">
      <c r="A22" s="9" t="n">
        <v>1936</v>
      </c>
      <c r="B22" t="inlineStr"/>
      <c r="C22" t="inlineStr"/>
      <c r="D22" t="inlineStr"/>
      <c r="E22" t="inlineStr"/>
      <c r="F22" t="inlineStr"/>
      <c r="G22" t="inlineStr"/>
      <c r="H22" t="inlineStr"/>
      <c r="I22" t="inlineStr"/>
    </row>
    <row r="23">
      <c r="A23" t="inlineStr">
        <is>
          <t>June</t>
        </is>
      </c>
      <c r="B23" s="11" t="n">
        <v>100</v>
      </c>
      <c r="C23" s="8" t="n">
        <v>136.6</v>
      </c>
      <c r="D23" t="inlineStr">
        <is>
          <t>29,33</t>
        </is>
      </c>
      <c r="E23" s="8" t="n">
        <v>145.9</v>
      </c>
      <c r="F23" t="inlineStr">
        <is>
          <t>1–2.00</t>
        </is>
      </c>
      <c r="G23" s="8" t="n">
        <v>103.1</v>
      </c>
      <c r="H23" s="11" t="n">
        <v>98.8</v>
      </c>
      <c r="I23" s="8" t="n">
        <v>103.2</v>
      </c>
    </row>
    <row r="24">
      <c r="A24" t="inlineStr">
        <is>
          <t>December</t>
        </is>
      </c>
      <c r="B24" s="11" t="n">
        <v>100</v>
      </c>
      <c r="C24" s="8" t="n">
        <v>136.6</v>
      </c>
      <c r="D24" s="11" t="n">
        <v>28.5</v>
      </c>
      <c r="E24" s="8" t="n">
        <v>141.8</v>
      </c>
      <c r="F24" t="inlineStr">
        <is>
          <t>1–1.96</t>
        </is>
      </c>
      <c r="G24" s="8" t="n">
        <v>102.8</v>
      </c>
      <c r="H24" s="11" t="n">
        <v>97.28</v>
      </c>
      <c r="I24" s="8" t="n">
        <v>101.6</v>
      </c>
    </row>
    <row r="25">
      <c r="A25" t="inlineStr">
        <is>
          <t>Average</t>
        </is>
      </c>
      <c r="B25" s="11" t="n">
        <v>100</v>
      </c>
      <c r="C25" s="8" t="n">
        <v>136.6</v>
      </c>
      <c r="D25" s="11" t="n">
        <v>28.56</v>
      </c>
      <c r="E25" s="8" t="n">
        <v>144.2</v>
      </c>
      <c r="F25" t="inlineStr">
        <is>
          <t>1–2.00</t>
        </is>
      </c>
      <c r="G25" s="8" t="n">
        <v>103.2</v>
      </c>
      <c r="H25" s="11" t="n">
        <v>98.03</v>
      </c>
      <c r="I25" s="8" t="n">
        <v>102.4</v>
      </c>
    </row>
    <row r="26">
      <c r="A26" s="9" t="n">
        <v>1937</v>
      </c>
      <c r="B26" t="inlineStr"/>
      <c r="C26" t="inlineStr"/>
      <c r="D26" t="inlineStr"/>
      <c r="E26" t="inlineStr"/>
      <c r="F26" t="inlineStr"/>
      <c r="G26" t="inlineStr"/>
      <c r="H26" t="inlineStr"/>
      <c r="I26" t="inlineStr"/>
    </row>
    <row r="27">
      <c r="A27" t="inlineStr">
        <is>
          <t>June</t>
        </is>
      </c>
      <c r="B27" s="11" t="n">
        <v>100</v>
      </c>
      <c r="C27" s="8" t="n">
        <v>136.6</v>
      </c>
      <c r="D27" s="11" t="n">
        <v>28.75</v>
      </c>
      <c r="E27" s="8" t="n">
        <v>143</v>
      </c>
      <c r="F27" t="inlineStr">
        <is>
          <t>1–2.00</t>
        </is>
      </c>
      <c r="G27" s="8" t="n">
        <v>103.2</v>
      </c>
      <c r="H27" s="11" t="n">
        <v>86.38</v>
      </c>
      <c r="I27" s="8" t="n">
        <v>100.7</v>
      </c>
    </row>
    <row r="28">
      <c r="A28" t="inlineStr">
        <is>
          <t>December</t>
        </is>
      </c>
      <c r="B28" s="11" t="n">
        <v>100</v>
      </c>
      <c r="C28" s="8" t="n">
        <v>136.6</v>
      </c>
      <c r="D28" s="11" t="n">
        <v>29.13</v>
      </c>
      <c r="E28" s="8" t="n">
        <v>144.9</v>
      </c>
      <c r="F28" t="inlineStr">
        <is>
          <t>1–2.00</t>
        </is>
      </c>
      <c r="G28" s="8" t="n">
        <v>103.2</v>
      </c>
      <c r="H28" s="11" t="n">
        <v>98.05</v>
      </c>
      <c r="I28" s="8" t="n">
        <v>102.4</v>
      </c>
    </row>
    <row r="29">
      <c r="A29" t="inlineStr">
        <is>
          <t>Average</t>
        </is>
      </c>
      <c r="B29" s="11" t="n">
        <v>100</v>
      </c>
      <c r="C29" s="8" t="n">
        <v>136.6</v>
      </c>
      <c r="D29" s="11" t="n">
        <v>28.78</v>
      </c>
      <c r="E29" s="8" t="n">
        <v>143.2</v>
      </c>
      <c r="F29" t="inlineStr">
        <is>
          <t>1–2.00</t>
        </is>
      </c>
      <c r="G29" s="8" t="n">
        <v>103.2</v>
      </c>
      <c r="H29" s="11" t="n">
        <v>96.31</v>
      </c>
      <c r="I29" s="8" t="n">
        <v>100.6</v>
      </c>
    </row>
    <row r="30">
      <c r="A30" s="9" t="n">
        <v>1938</v>
      </c>
      <c r="B30" t="inlineStr"/>
      <c r="C30" t="inlineStr"/>
      <c r="D30" t="inlineStr"/>
      <c r="E30" t="inlineStr"/>
      <c r="F30" t="inlineStr"/>
      <c r="G30" t="inlineStr"/>
      <c r="H30" t="inlineStr"/>
      <c r="I30" t="inlineStr"/>
    </row>
    <row r="31">
      <c r="A31" t="inlineStr">
        <is>
          <t>June</t>
        </is>
      </c>
      <c r="B31" s="11" t="n">
        <v>100</v>
      </c>
      <c r="C31" s="8" t="n">
        <v>136.6</v>
      </c>
      <c r="D31" s="11" t="n">
        <v>28.91</v>
      </c>
      <c r="E31" s="8" t="n">
        <v>143.8</v>
      </c>
      <c r="F31" t="inlineStr">
        <is>
          <t>1–2.00</t>
        </is>
      </c>
      <c r="G31" s="8" t="n">
        <v>103.2</v>
      </c>
      <c r="H31" t="inlineStr">
        <is>
          <t>—</t>
        </is>
      </c>
      <c r="I31" t="inlineStr">
        <is>
          <t>—</t>
        </is>
      </c>
    </row>
    <row r="32">
      <c r="A32" t="inlineStr">
        <is>
          <t>December</t>
        </is>
      </c>
      <c r="B32" s="11" t="n">
        <v>100</v>
      </c>
      <c r="C32" s="8" t="n">
        <v>136.6</v>
      </c>
      <c r="D32" s="11" t="n">
        <v>27.23</v>
      </c>
      <c r="E32" s="8" t="n">
        <v>136.2</v>
      </c>
      <c r="F32" t="inlineStr">
        <is>
          <t>1–2.00</t>
        </is>
      </c>
      <c r="G32" s="8" t="n">
        <v>103.2</v>
      </c>
      <c r="H32" t="inlineStr">
        <is>
          <t>—</t>
        </is>
      </c>
      <c r="I32" t="inlineStr">
        <is>
          <t>—</t>
        </is>
      </c>
    </row>
    <row r="33">
      <c r="A33" t="inlineStr">
        <is>
          <t>Average</t>
        </is>
      </c>
      <c r="B33" s="11" t="n">
        <v>100</v>
      </c>
      <c r="C33" s="8" t="n">
        <v>136.6</v>
      </c>
      <c r="D33" s="11" t="n">
        <v>28.43</v>
      </c>
      <c r="E33" s="8" t="n">
        <v>141.4</v>
      </c>
      <c r="F33" t="inlineStr">
        <is>
          <t>1–2.00</t>
        </is>
      </c>
      <c r="G33" s="8" t="n">
        <v>103.2</v>
      </c>
      <c r="H33" t="inlineStr">
        <is>
          <t>—</t>
        </is>
      </c>
      <c r="I33" t="inlineStr">
        <is>
          <t>—</t>
        </is>
      </c>
    </row>
    <row r="34">
      <c r="A34" s="9" t="n">
        <v>1939</v>
      </c>
      <c r="B34" t="inlineStr"/>
      <c r="C34" t="inlineStr"/>
      <c r="D34" t="inlineStr"/>
      <c r="E34" t="inlineStr"/>
      <c r="F34" t="inlineStr"/>
      <c r="G34" t="inlineStr"/>
      <c r="H34" t="inlineStr"/>
      <c r="I34" t="inlineStr"/>
    </row>
    <row r="35">
      <c r="A35" t="inlineStr">
        <is>
          <t>June</t>
        </is>
      </c>
      <c r="B35" s="11" t="n">
        <v>100</v>
      </c>
      <c r="C35" s="8" t="n">
        <v>136.6</v>
      </c>
      <c r="D35" s="11" t="n">
        <v>27.11</v>
      </c>
      <c r="E35" s="8" t="n">
        <v>134.9</v>
      </c>
      <c r="F35" t="inlineStr">
        <is>
          <t>1–2.00</t>
        </is>
      </c>
      <c r="G35" s="8" t="n">
        <v>103.2</v>
      </c>
      <c r="H35" t="inlineStr">
        <is>
          <t>—</t>
        </is>
      </c>
      <c r="I35" t="inlineStr">
        <is>
          <t>—</t>
        </is>
      </c>
    </row>
    <row r="36">
      <c r="A36" t="inlineStr">
        <is>
          <t>December</t>
        </is>
      </c>
      <c r="B36" s="11" t="n">
        <v>100</v>
      </c>
      <c r="C36" s="8" t="n">
        <v>136.6</v>
      </c>
      <c r="D36" s="11" t="n">
        <v>23.44</v>
      </c>
      <c r="E36" s="8" t="n">
        <v>116.6</v>
      </c>
      <c r="F36" t="inlineStr">
        <is>
          <t>1–2.31</t>
        </is>
      </c>
      <c r="G36" s="8" t="n">
        <v>105.5</v>
      </c>
      <c r="H36" t="inlineStr">
        <is>
          <t>—</t>
        </is>
      </c>
      <c r="I36" t="inlineStr">
        <is>
          <t>—</t>
        </is>
      </c>
    </row>
    <row r="37">
      <c r="A37" t="inlineStr">
        <is>
          <t>Average</t>
        </is>
      </c>
      <c r="B37" s="11" t="n">
        <v>100</v>
      </c>
      <c r="C37" s="8" t="n">
        <v>136.6</v>
      </c>
      <c r="D37" s="11" t="n">
        <v>25.97</v>
      </c>
      <c r="E37" s="8" t="n">
        <v>129.2</v>
      </c>
      <c r="F37" t="inlineStr">
        <is>
          <t>1–2.05</t>
        </is>
      </c>
      <c r="G37" s="8" t="n">
        <v>103.5</v>
      </c>
      <c r="H37" t="inlineStr">
        <is>
          <t>—</t>
        </is>
      </c>
      <c r="I37" t="inlineStr">
        <is>
          <t>—</t>
        </is>
      </c>
    </row>
    <row r="38">
      <c r="A38" s="9" t="n">
        <v>1940</v>
      </c>
      <c r="B38" t="inlineStr"/>
      <c r="C38" t="inlineStr"/>
      <c r="D38" t="inlineStr"/>
      <c r="E38" t="inlineStr"/>
      <c r="F38" t="inlineStr"/>
      <c r="G38" t="inlineStr"/>
      <c r="H38" t="inlineStr"/>
      <c r="I38" t="inlineStr"/>
    </row>
    <row r="39">
      <c r="A39" t="inlineStr">
        <is>
          <t>June</t>
        </is>
      </c>
      <c r="B39" s="8" t="n">
        <v>100</v>
      </c>
      <c r="C39" s="8" t="n">
        <v>136.6</v>
      </c>
      <c r="D39" s="11" t="n">
        <v>23.44</v>
      </c>
      <c r="E39" s="8" t="n">
        <v>116.6</v>
      </c>
      <c r="F39" t="inlineStr">
        <is>
          <t>1–3.64</t>
        </is>
      </c>
      <c r="G39" s="8" t="n">
        <v>115.3</v>
      </c>
      <c r="H39" t="inlineStr">
        <is>
          <t>—</t>
        </is>
      </c>
      <c r="I39" t="inlineStr">
        <is>
          <t>—</t>
        </is>
      </c>
    </row>
    <row r="40">
      <c r="A40" t="inlineStr">
        <is>
          <t>Dec.</t>
        </is>
      </c>
      <c r="B40" s="8" t="n">
        <v>100</v>
      </c>
      <c r="C40" s="8" t="n">
        <v>136.6</v>
      </c>
      <c r="D40" s="11" t="n">
        <v>23.44</v>
      </c>
      <c r="E40" s="8" t="n">
        <v>116.6</v>
      </c>
      <c r="F40" t="inlineStr">
        <is>
          <t>1–2.00</t>
        </is>
      </c>
      <c r="G40" s="8" t="n">
        <v>103.2</v>
      </c>
      <c r="H40" t="inlineStr">
        <is>
          <t>—</t>
        </is>
      </c>
      <c r="I40" t="inlineStr">
        <is>
          <t>—</t>
        </is>
      </c>
    </row>
    <row r="41">
      <c r="A41" t="inlineStr">
        <is>
          <t>Average</t>
        </is>
      </c>
      <c r="B41" s="8" t="n">
        <v>100</v>
      </c>
      <c r="C41" s="8" t="n">
        <v>136.6</v>
      </c>
      <c r="D41" s="11" t="n">
        <v>23.44</v>
      </c>
      <c r="E41" s="8" t="n">
        <v>116.6</v>
      </c>
      <c r="F41" t="inlineStr">
        <is>
          <t>1–2.74</t>
        </is>
      </c>
      <c r="G41" s="8" t="n">
        <v>107.4</v>
      </c>
      <c r="H41" t="inlineStr">
        <is>
          <t>—</t>
        </is>
      </c>
      <c r="I41" t="inlineStr">
        <is>
          <t>—</t>
        </is>
      </c>
    </row>
    <row r="43">
      <c r="A43" s="2" t="inlineStr">
        <is>
          <t>Transcriber's notes</t>
        </is>
      </c>
    </row>
    <row r="44">
      <c r="A44" t="inlineStr">
        <is>
          <t>1932–1934 on p.254; 1935–1940 on p.255 headed '(Continued)'. Merged.</t>
        </is>
      </c>
    </row>
    <row r="45">
      <c r="A45" t="inlineStr">
        <is>
          <t>London rates printed as shilling–pence with a dash (e.g. '1–1.57'); the dash is rendered '–'.</t>
        </is>
      </c>
    </row>
    <row r="46">
      <c r="A46" t="inlineStr">
        <is>
          <t>1936 June New York rate printed '29,33' (comma for decimal point); transcribed as printed.</t>
        </is>
      </c>
    </row>
    <row r="47">
      <c r="A47" t="inlineStr">
        <is>
          <t>1938 December On Japan rate: the second '0' after the decimal point is broken type (only part of the glyph printed); read as 100.00, consistent with index 136.6 in all neighbouring rows.</t>
        </is>
      </c>
    </row>
    <row r="48">
      <c r="A48" t="inlineStr">
        <is>
          <t>1935: figure rows printed slightly above the month labels; aligned by order.</t>
        </is>
      </c>
    </row>
    <row r="49">
      <c r="A49" t="inlineStr">
        <is>
          <t>No totals printed.</t>
        </is>
      </c>
    </row>
  </sheetData>
  <hyperlinks>
    <hyperlink xmlns:r="http://schemas.openxmlformats.org/officeDocument/2006/relationships" ref="A3" r:id="rId1"/>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13. Amount of Bills Cleared at Clearing Houses</t>
        </is>
      </c>
    </row>
    <row r="2">
      <c r="A2" t="inlineStr">
        <is>
          <t>Banking and Currency · printed pp. 255</t>
        </is>
      </c>
    </row>
    <row r="3">
      <c r="A3" s="3" t="inlineStr">
        <is>
          <t>← Contents</t>
        </is>
      </c>
    </row>
    <row r="5">
      <c r="A5" s="5" t="inlineStr">
        <is>
          <t>Year</t>
        </is>
      </c>
      <c r="B5" s="5" t="inlineStr">
        <is>
          <t>Hsinking — No. of bills</t>
        </is>
      </c>
      <c r="C5" s="5" t="inlineStr">
        <is>
          <t>Hsinking — Amount (M¥1,000)</t>
        </is>
      </c>
      <c r="D5" s="5" t="inlineStr">
        <is>
          <t>Mukden — No. of bills</t>
        </is>
      </c>
      <c r="E5" s="5" t="inlineStr">
        <is>
          <t>Mukden — Amount (M¥1,000)</t>
        </is>
      </c>
      <c r="F5" s="5" t="inlineStr">
        <is>
          <t>Dairen — No. of bills</t>
        </is>
      </c>
      <c r="G5" s="5" t="inlineStr">
        <is>
          <t>Dairen — Amount (M¥1,000)</t>
        </is>
      </c>
      <c r="H5" s="5" t="inlineStr">
        <is>
          <t>Total — No. of bills</t>
        </is>
      </c>
      <c r="I5" s="5" t="inlineStr">
        <is>
          <t>Total — Amount (M¥1,000)</t>
        </is>
      </c>
    </row>
    <row r="6">
      <c r="A6" s="9" t="n">
        <v>1934</v>
      </c>
      <c r="B6" s="6" t="n">
        <v>16856</v>
      </c>
      <c r="C6" s="6" t="n">
        <v>21694</v>
      </c>
      <c r="D6" s="6" t="n">
        <v>92182</v>
      </c>
      <c r="E6" s="6" t="n">
        <v>91992</v>
      </c>
      <c r="F6" s="6" t="n">
        <v>560446</v>
      </c>
      <c r="G6" s="6" t="n">
        <v>2304557</v>
      </c>
      <c r="H6" s="6" t="n">
        <v>669484</v>
      </c>
      <c r="I6" s="6" t="n">
        <v>2418243</v>
      </c>
    </row>
    <row r="7">
      <c r="A7" s="9" t="n">
        <v>1935</v>
      </c>
      <c r="B7" s="6" t="n">
        <v>100450</v>
      </c>
      <c r="C7" s="6" t="n">
        <v>100676</v>
      </c>
      <c r="D7" s="6" t="n">
        <v>136926</v>
      </c>
      <c r="E7" s="6" t="n">
        <v>201716</v>
      </c>
      <c r="F7" s="6" t="n">
        <v>561280</v>
      </c>
      <c r="G7" s="6" t="n">
        <v>2681812</v>
      </c>
      <c r="H7" s="6" t="n">
        <v>798656</v>
      </c>
      <c r="I7" s="6" t="n">
        <v>2984204</v>
      </c>
    </row>
    <row r="8">
      <c r="A8" s="9" t="n">
        <v>1936</v>
      </c>
      <c r="B8" s="6" t="n">
        <v>142624</v>
      </c>
      <c r="C8" s="6" t="n">
        <v>191237</v>
      </c>
      <c r="D8" s="6" t="n">
        <v>262855</v>
      </c>
      <c r="E8" s="6" t="n">
        <v>379212</v>
      </c>
      <c r="F8" s="6" t="n">
        <v>572843</v>
      </c>
      <c r="G8" s="6" t="n">
        <v>2269473</v>
      </c>
      <c r="H8" s="6" t="n">
        <v>978322</v>
      </c>
      <c r="I8" s="6" t="n">
        <v>2839923</v>
      </c>
    </row>
    <row r="9">
      <c r="A9" s="9" t="n">
        <v>1937</v>
      </c>
      <c r="B9" s="6" t="n">
        <v>145308</v>
      </c>
      <c r="C9" s="6" t="n">
        <v>250882</v>
      </c>
      <c r="D9" s="6" t="n">
        <v>241918</v>
      </c>
      <c r="E9" s="6" t="n">
        <v>339059</v>
      </c>
      <c r="F9" s="6" t="n">
        <v>549538</v>
      </c>
      <c r="G9" s="6" t="n">
        <v>2263811</v>
      </c>
      <c r="H9" s="6" t="n">
        <v>936764</v>
      </c>
      <c r="I9" s="6" t="n">
        <v>2853752</v>
      </c>
    </row>
    <row r="10">
      <c r="A10" s="9" t="n">
        <v>1938</v>
      </c>
      <c r="B10" s="6" t="n">
        <v>204425</v>
      </c>
      <c r="C10" s="6" t="n">
        <v>468228</v>
      </c>
      <c r="D10" s="6" t="n">
        <v>328993</v>
      </c>
      <c r="E10" s="6" t="n">
        <v>562257</v>
      </c>
      <c r="F10" s="6" t="n">
        <v>618036</v>
      </c>
      <c r="G10" s="6" t="n">
        <v>3211905</v>
      </c>
      <c r="H10" s="6" t="n">
        <v>1151454</v>
      </c>
      <c r="I10" s="6" t="n">
        <v>4242390</v>
      </c>
    </row>
    <row r="11">
      <c r="A11" s="9" t="n">
        <v>1939</v>
      </c>
      <c r="B11" s="6" t="n">
        <v>263604</v>
      </c>
      <c r="C11" s="6" t="n">
        <v>818299</v>
      </c>
      <c r="D11" s="6" t="n">
        <v>519452</v>
      </c>
      <c r="E11" s="6" t="n">
        <v>1062685</v>
      </c>
      <c r="F11" s="6" t="n">
        <v>805864</v>
      </c>
      <c r="G11" s="6" t="n">
        <v>4772372</v>
      </c>
      <c r="H11" s="6" t="n">
        <v>1588920</v>
      </c>
      <c r="I11" s="6" t="n">
        <v>6653357</v>
      </c>
    </row>
    <row r="12">
      <c r="A12" s="9" t="n">
        <v>1940</v>
      </c>
      <c r="B12" s="6" t="n">
        <v>419332</v>
      </c>
      <c r="C12" s="6" t="n">
        <v>1364789</v>
      </c>
      <c r="D12" s="6" t="n">
        <v>676132</v>
      </c>
      <c r="E12" s="6" t="n">
        <v>1706783</v>
      </c>
      <c r="F12" s="6" t="n">
        <v>806288</v>
      </c>
      <c r="G12" s="6" t="n">
        <v>4132598</v>
      </c>
      <c r="H12" s="6" t="n">
        <v>1901752</v>
      </c>
      <c r="I12" s="6" t="n">
        <v>7204171</v>
      </c>
    </row>
    <row r="14">
      <c r="A14" s="2" t="inlineStr">
        <is>
          <t>Transcriber's notes</t>
        </is>
      </c>
    </row>
    <row r="15">
      <c r="A15" t="inlineStr">
        <is>
          <t>1934 Total No. of bills: printed 669,484, parts sum to 669,484 — reconciles</t>
        </is>
      </c>
    </row>
    <row r="16">
      <c r="A16" t="inlineStr">
        <is>
          <t>1934 Total Amount: printed 2,418,243, parts sum to 2,418,243 — reconciles</t>
        </is>
      </c>
    </row>
    <row r="17">
      <c r="A17" t="inlineStr">
        <is>
          <t>1935 Total No. of bills: printed 798,656, parts sum to 798,656 — reconciles</t>
        </is>
      </c>
    </row>
    <row r="18">
      <c r="A18" t="inlineStr">
        <is>
          <t>1935 Total Amount: printed 2,984,204, parts sum to 2,984,204 — reconciles</t>
        </is>
      </c>
    </row>
    <row r="19">
      <c r="A19" t="inlineStr">
        <is>
          <t>1936 Total No. of bills: printed 978,322, parts sum to 978,322 — reconciles</t>
        </is>
      </c>
    </row>
    <row r="20">
      <c r="A20" t="inlineStr">
        <is>
          <t>1936 Total Amount: printed 2,839,923, parts sum to 2,839,922 — does NOT reconcile (diff 1)</t>
        </is>
      </c>
    </row>
    <row r="21">
      <c r="A21" t="inlineStr">
        <is>
          <t>1937 Total No. of bills: printed 936,764, parts sum to 936,764 — reconciles</t>
        </is>
      </c>
    </row>
    <row r="22">
      <c r="A22" t="inlineStr">
        <is>
          <t>1937 Total Amount: printed 2,853,752, parts sum to 2,853,752 — reconciles</t>
        </is>
      </c>
    </row>
    <row r="23">
      <c r="A23" t="inlineStr">
        <is>
          <t>1938 Total No. of bills: printed 1,151,454, parts sum to 1,151,454 — reconciles</t>
        </is>
      </c>
    </row>
    <row r="24">
      <c r="A24" t="inlineStr">
        <is>
          <t>1938 Total Amount: printed 4,242,390, parts sum to 4,242,390 — reconciles</t>
        </is>
      </c>
    </row>
    <row r="25">
      <c r="A25" t="inlineStr">
        <is>
          <t>1939 Total No. of bills: printed 1,588,920, parts sum to 1,588,920 — reconciles</t>
        </is>
      </c>
    </row>
    <row r="26">
      <c r="A26" t="inlineStr">
        <is>
          <t>1939 Total Amount: printed 6,653,357, parts sum to 6,653,356 — does NOT reconcile (diff 1)</t>
        </is>
      </c>
    </row>
    <row r="27">
      <c r="A27" t="inlineStr">
        <is>
          <t>1940 Total No. of bills: printed 1,901,752, parts sum to 1,901,752 — reconciles</t>
        </is>
      </c>
    </row>
    <row r="28">
      <c r="A28" t="inlineStr">
        <is>
          <t>1940 Total Amount: printed 7,204,171, parts sum to 7,204,170 — does NOT reconcile (diff 1)</t>
        </is>
      </c>
    </row>
  </sheetData>
  <hyperlinks>
    <hyperlink xmlns:r="http://schemas.openxmlformats.org/officeDocument/2006/relationships" ref="A3" r:id="rId1"/>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14. Notes Issued and Amount of Reserves of the Central Bank of Manchou</t>
        </is>
      </c>
    </row>
    <row r="2">
      <c r="A2" t="inlineStr">
        <is>
          <t>Banking and Currency · printed pp. 259</t>
        </is>
      </c>
    </row>
    <row r="3">
      <c r="A3" t="inlineStr">
        <is>
          <t>(Mount M¥1,000)</t>
        </is>
      </c>
    </row>
    <row r="4">
      <c r="A4" s="3" t="inlineStr">
        <is>
          <t>← Contents</t>
        </is>
      </c>
    </row>
    <row r="6">
      <c r="A6" s="5" t="inlineStr">
        <is>
          <t>Year</t>
        </is>
      </c>
      <c r="B6" s="5" t="inlineStr">
        <is>
          <t>Notes Issued — Year end</t>
        </is>
      </c>
      <c r="C6" s="5" t="inlineStr">
        <is>
          <t>Notes Issued — Highest</t>
        </is>
      </c>
      <c r="D6" s="5" t="inlineStr">
        <is>
          <t>Notes Issued — Lowest</t>
        </is>
      </c>
      <c r="E6" s="5" t="inlineStr">
        <is>
          <t>Notes Issued — Average</t>
        </is>
      </c>
      <c r="F6" s="5" t="inlineStr">
        <is>
          <t>Reserves — Specie</t>
        </is>
      </c>
      <c r="G6" s="5" t="inlineStr">
        <is>
          <t>Reserves — %</t>
        </is>
      </c>
      <c r="H6" s="5" t="inlineStr">
        <is>
          <t>Reserves — Security Reserves</t>
        </is>
      </c>
      <c r="I6" s="5" t="inlineStr">
        <is>
          <t>Subsidiary Coins</t>
        </is>
      </c>
      <c r="J6" s="5" t="inlineStr">
        <is>
          <t>Total</t>
        </is>
      </c>
    </row>
    <row r="7">
      <c r="A7" s="9" t="n">
        <v>1934</v>
      </c>
      <c r="B7" s="6" t="n">
        <v>168333</v>
      </c>
      <c r="C7" s="6" t="n">
        <v>168333</v>
      </c>
      <c r="D7" s="6" t="n">
        <v>97855</v>
      </c>
      <c r="E7" s="6" t="n">
        <v>119630</v>
      </c>
      <c r="F7" s="6" t="n">
        <v>74819</v>
      </c>
      <c r="G7" s="8" t="n">
        <v>44.4</v>
      </c>
      <c r="H7" s="6" t="n">
        <v>93514</v>
      </c>
      <c r="I7" s="6" t="n">
        <v>15772</v>
      </c>
      <c r="J7" s="6" t="n">
        <v>184105</v>
      </c>
    </row>
    <row r="8">
      <c r="A8" s="9" t="n">
        <v>1935</v>
      </c>
      <c r="B8" s="6" t="n">
        <v>178656</v>
      </c>
      <c r="C8" s="6" t="n">
        <v>179208</v>
      </c>
      <c r="D8" s="6" t="n">
        <v>108594</v>
      </c>
      <c r="E8" s="6" t="n">
        <v>136512</v>
      </c>
      <c r="F8" s="6" t="n">
        <v>92231</v>
      </c>
      <c r="G8" s="8" t="n">
        <v>51.6</v>
      </c>
      <c r="H8" s="6" t="n">
        <v>86425</v>
      </c>
      <c r="I8" s="6" t="n">
        <v>20284</v>
      </c>
      <c r="J8" s="6" t="n">
        <v>198940</v>
      </c>
    </row>
    <row r="9">
      <c r="A9" s="9" t="n">
        <v>1936</v>
      </c>
      <c r="B9" s="6" t="n">
        <v>254243</v>
      </c>
      <c r="C9" s="6" t="n">
        <v>257191</v>
      </c>
      <c r="D9" s="6" t="n">
        <v>125270</v>
      </c>
      <c r="E9" s="6" t="n">
        <v>159480</v>
      </c>
      <c r="F9" s="6" t="n">
        <v>177181</v>
      </c>
      <c r="G9" s="8" t="n">
        <v>69.7</v>
      </c>
      <c r="H9" s="6" t="n">
        <v>77062</v>
      </c>
      <c r="I9" s="6" t="n">
        <v>20449</v>
      </c>
      <c r="J9" s="6" t="n">
        <v>274692</v>
      </c>
    </row>
    <row r="10">
      <c r="A10" s="9" t="n">
        <v>1937</v>
      </c>
      <c r="B10" s="6" t="n">
        <v>307490</v>
      </c>
      <c r="C10" s="6" t="n">
        <v>317944</v>
      </c>
      <c r="D10" s="6" t="n">
        <v>171892</v>
      </c>
      <c r="E10" s="6" t="n">
        <v>211570</v>
      </c>
      <c r="F10" s="6" t="n">
        <v>208097</v>
      </c>
      <c r="G10" s="8" t="n">
        <v>67.7</v>
      </c>
      <c r="H10" s="6" t="n">
        <v>99393</v>
      </c>
      <c r="I10" s="6" t="n">
        <v>22419</v>
      </c>
      <c r="J10" s="6" t="n">
        <v>329909</v>
      </c>
    </row>
    <row r="11">
      <c r="A11" s="9" t="n">
        <v>1938</v>
      </c>
      <c r="B11" s="6" t="n">
        <v>425738</v>
      </c>
      <c r="C11" s="6" t="n">
        <v>430145</v>
      </c>
      <c r="D11" s="6" t="n">
        <v>254370</v>
      </c>
      <c r="E11" s="6" t="n">
        <v>288267</v>
      </c>
      <c r="F11" s="6" t="n">
        <v>216309</v>
      </c>
      <c r="G11" s="8" t="n">
        <v>50.8</v>
      </c>
      <c r="H11" s="6" t="n">
        <v>209428</v>
      </c>
      <c r="I11" s="6" t="n">
        <v>27159</v>
      </c>
      <c r="J11" s="6" t="n">
        <v>452897</v>
      </c>
    </row>
    <row r="12">
      <c r="A12" s="9" t="n">
        <v>1939</v>
      </c>
      <c r="B12" s="6" t="n">
        <v>623621</v>
      </c>
      <c r="C12" s="6" t="n">
        <v>636697</v>
      </c>
      <c r="D12" s="6" t="n">
        <v>369301</v>
      </c>
      <c r="E12" s="6" t="n">
        <v>428319</v>
      </c>
      <c r="F12" s="6" t="n">
        <v>323988</v>
      </c>
      <c r="G12" s="8" t="n">
        <v>51.9</v>
      </c>
      <c r="H12" s="6" t="n">
        <v>299633</v>
      </c>
      <c r="I12" s="6" t="n">
        <v>33725</v>
      </c>
      <c r="J12" s="6" t="n">
        <v>657346</v>
      </c>
    </row>
    <row r="13">
      <c r="A13" s="9" t="n">
        <v>1940</v>
      </c>
      <c r="B13" s="6" t="n">
        <v>947051</v>
      </c>
      <c r="C13" s="6" t="n">
        <v>970908</v>
      </c>
      <c r="D13" s="6" t="n">
        <v>845035</v>
      </c>
      <c r="E13" s="10" t="n">
        <v>899.529</v>
      </c>
      <c r="F13" s="6" t="n">
        <v>368488</v>
      </c>
      <c r="G13" s="8" t="n">
        <v>38.9</v>
      </c>
      <c r="H13" s="6" t="n">
        <v>578563</v>
      </c>
      <c r="I13" s="6" t="n">
        <v>44179</v>
      </c>
      <c r="J13" s="6" t="n">
        <v>991229</v>
      </c>
    </row>
    <row r="15">
      <c r="A15" s="2" t="inlineStr">
        <is>
          <t>Transcriber's notes</t>
        </is>
      </c>
    </row>
    <row r="16">
      <c r="A16" t="inlineStr">
        <is>
          <t>Figure rows printed about half a line above the year labels; aligned by order (7 rows, 7 years).</t>
        </is>
      </c>
    </row>
    <row r="17">
      <c r="A17" t="inlineStr">
        <is>
          <t>1940 Average printed '899.529' (full stop for comma); transcribed as printed.</t>
        </is>
      </c>
    </row>
    <row r="18">
      <c r="A18" t="inlineStr">
        <is>
          <t>Caption printed '(Mount M¥1,000)' [sic, for Amount].</t>
        </is>
      </c>
    </row>
    <row r="19">
      <c r="A19" t="inlineStr">
        <is>
          <t>1934 Total = Specie + Security Reserves + Subsidiary Coins: printed 184,105, parts sum to 184,105 — reconciles</t>
        </is>
      </c>
    </row>
    <row r="20">
      <c r="A20" t="inlineStr">
        <is>
          <t>1935 Total = Specie + Security Reserves + Subsidiary Coins: printed 198,940, parts sum to 198,940 — reconciles</t>
        </is>
      </c>
    </row>
    <row r="21">
      <c r="A21" t="inlineStr">
        <is>
          <t>1936 Total = Specie + Security Reserves + Subsidiary Coins: printed 274,692, parts sum to 274,692 — reconciles</t>
        </is>
      </c>
    </row>
    <row r="22">
      <c r="A22" t="inlineStr">
        <is>
          <t>1937 Total = Specie + Security Reserves + Subsidiary Coins: printed 329,909, parts sum to 329,909 — reconciles</t>
        </is>
      </c>
    </row>
    <row r="23">
      <c r="A23" t="inlineStr">
        <is>
          <t>1938 Total = Specie + Security Reserves + Subsidiary Coins: printed 452,897, parts sum to 452,896 — does NOT reconcile (diff 1)</t>
        </is>
      </c>
    </row>
    <row r="24">
      <c r="A24" t="inlineStr">
        <is>
          <t>1939 Total = Specie + Security Reserves + Subsidiary Coins: printed 657,346, parts sum to 657,346 — reconciles</t>
        </is>
      </c>
    </row>
    <row r="25">
      <c r="A25" t="inlineStr">
        <is>
          <t>1940 Total = Specie + Security Reserves + Subsidiary Coins: printed 991,229, parts sum to 991,230 — does NOT reconcile (diff -1)</t>
        </is>
      </c>
    </row>
    <row r="26">
      <c r="A26" t="inlineStr">
        <is>
          <t>% column checked as Specie ÷ Year-end notes: 1934 44.4 (printed 44.4), 1935 51.6 (printed 51.6), 1936 69.7 (printed 69.7), 1937 67.7 (printed 67.7), 1938 50.8 (printed 50.8), 1939 52.0 (printed 51.9), 1940 38.9 (printed 38.9)</t>
        </is>
      </c>
    </row>
  </sheetData>
  <hyperlinks>
    <hyperlink xmlns:r="http://schemas.openxmlformats.org/officeDocument/2006/relationships" ref="A4" r:id="rId1"/>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15. Amount of Gold Purchased by the Central Bank of Manchou</t>
        </is>
      </c>
    </row>
    <row r="2">
      <c r="A2" t="inlineStr">
        <is>
          <t>Banking and Currency · printed pp. 259</t>
        </is>
      </c>
    </row>
    <row r="3">
      <c r="A3" s="3" t="inlineStr">
        <is>
          <t>← Contents</t>
        </is>
      </c>
    </row>
    <row r="5">
      <c r="A5" s="5" t="inlineStr">
        <is>
          <t>Year</t>
        </is>
      </c>
      <c r="B5" s="5" t="inlineStr">
        <is>
          <t>Purchased — Volume (gram)</t>
        </is>
      </c>
      <c r="C5" s="5" t="inlineStr">
        <is>
          <t>Purchased — Value (M¥)</t>
        </is>
      </c>
      <c r="D5" s="5" t="inlineStr">
        <is>
          <t>Cumulative — Volume (gram)</t>
        </is>
      </c>
      <c r="E5" s="5" t="inlineStr">
        <is>
          <t>Cumulative — Value (M¥)</t>
        </is>
      </c>
    </row>
    <row r="6">
      <c r="A6" t="inlineStr">
        <is>
          <t>1932 (2nd half)</t>
        </is>
      </c>
      <c r="B6" s="6" t="n">
        <v>703040</v>
      </c>
      <c r="C6" s="6" t="n">
        <v>2053635</v>
      </c>
      <c r="D6" s="6" t="n">
        <v>703040</v>
      </c>
      <c r="E6" s="6" t="n">
        <v>2053635</v>
      </c>
    </row>
    <row r="7">
      <c r="A7" s="9" t="n">
        <v>1934</v>
      </c>
      <c r="B7" s="6" t="n">
        <v>1199291</v>
      </c>
      <c r="C7" s="6" t="n">
        <v>3814417</v>
      </c>
      <c r="D7" s="6" t="n">
        <v>1902331</v>
      </c>
      <c r="E7" s="6" t="n">
        <v>5868052</v>
      </c>
    </row>
    <row r="8">
      <c r="A8" s="9" t="n">
        <v>1935</v>
      </c>
      <c r="B8" s="6" t="n">
        <v>4243166</v>
      </c>
      <c r="C8" s="6" t="n">
        <v>14684192</v>
      </c>
      <c r="D8" s="6" t="n">
        <v>6145497</v>
      </c>
      <c r="E8" s="6" t="n">
        <v>20552244</v>
      </c>
    </row>
    <row r="9">
      <c r="A9" s="9" t="n">
        <v>1936</v>
      </c>
      <c r="B9" s="6" t="n">
        <v>3608539</v>
      </c>
      <c r="C9" s="6" t="n">
        <v>12635769</v>
      </c>
      <c r="D9" s="6" t="n">
        <v>9754036</v>
      </c>
      <c r="E9" s="6" t="n">
        <v>33188013</v>
      </c>
    </row>
    <row r="10">
      <c r="A10" s="9" t="n">
        <v>1937</v>
      </c>
      <c r="B10" s="6" t="n">
        <v>3737530</v>
      </c>
      <c r="C10" s="6" t="n">
        <v>13809438</v>
      </c>
      <c r="D10" s="6" t="n">
        <v>13491566</v>
      </c>
      <c r="E10" s="6" t="n">
        <v>46997451</v>
      </c>
    </row>
    <row r="11">
      <c r="A11" t="inlineStr">
        <is>
          <t>1938 (1st half)</t>
        </is>
      </c>
      <c r="B11" s="6" t="n">
        <v>1289765</v>
      </c>
      <c r="C11" s="6" t="n">
        <v>4900189</v>
      </c>
      <c r="D11" s="6" t="n">
        <v>14781331</v>
      </c>
      <c r="E11" s="6" t="n">
        <v>51897640</v>
      </c>
    </row>
    <row r="13">
      <c r="A13" s="2" t="inlineStr">
        <is>
          <t>Footnotes</t>
        </is>
      </c>
    </row>
    <row r="14">
      <c r="A14" t="inlineStr">
        <is>
          <t>Note: Exclusive of amount of gold held before the enforcement of gold purchasing law, which amounted to 2,196,091 grams valued at 6,218,340 yuan.</t>
        </is>
      </c>
    </row>
    <row r="16">
      <c r="A16" s="2" t="inlineStr">
        <is>
          <t>Transcriber's notes</t>
        </is>
      </c>
    </row>
    <row r="17">
      <c r="A17" t="inlineStr">
        <is>
          <t>No 1933 row is printed; cumulative figures run straight from 1932 (2nd half) to 1934.</t>
        </is>
      </c>
    </row>
    <row r="18">
      <c r="A18" t="inlineStr">
        <is>
          <t>1934 Cumulative Volume = previous cumulative + purchased: printed 1,902,331, parts sum to 1,902,331 — reconciles</t>
        </is>
      </c>
    </row>
    <row r="19">
      <c r="A19" t="inlineStr">
        <is>
          <t>1934 Cumulative Value = previous cumulative + purchased: printed 5,868,052, parts sum to 5,868,052 — reconciles</t>
        </is>
      </c>
    </row>
    <row r="20">
      <c r="A20" t="inlineStr">
        <is>
          <t>1935 Cumulative Volume = previous cumulative + purchased: printed 6,145,497, parts sum to 6,145,497 — reconciles</t>
        </is>
      </c>
    </row>
    <row r="21">
      <c r="A21" t="inlineStr">
        <is>
          <t>1935 Cumulative Value = previous cumulative + purchased: printed 20,552,244, parts sum to 20,552,244 — reconciles</t>
        </is>
      </c>
    </row>
    <row r="22">
      <c r="A22" t="inlineStr">
        <is>
          <t>1936 Cumulative Volume = previous cumulative + purchased: printed 9,754,036, parts sum to 9,754,036 — reconciles</t>
        </is>
      </c>
    </row>
    <row r="23">
      <c r="A23" t="inlineStr">
        <is>
          <t>1936 Cumulative Value = previous cumulative + purchased: printed 33,188,013, parts sum to 33,188,013 — reconciles</t>
        </is>
      </c>
    </row>
    <row r="24">
      <c r="A24" t="inlineStr">
        <is>
          <t>1937 Cumulative Volume = previous cumulative + purchased: printed 13,491,566, parts sum to 13,491,566 — reconciles</t>
        </is>
      </c>
    </row>
    <row r="25">
      <c r="A25" t="inlineStr">
        <is>
          <t>1937 Cumulative Value = previous cumulative + purchased: printed 46,997,451, parts sum to 46,997,451 — reconciles</t>
        </is>
      </c>
    </row>
    <row r="26">
      <c r="A26" t="inlineStr">
        <is>
          <t>1938 (1st half) Cumulative Volume = previous cumulative + purchased: printed 14,781,331, parts sum to 14,781,331 — reconciles</t>
        </is>
      </c>
    </row>
    <row r="27">
      <c r="A27" t="inlineStr">
        <is>
          <t>1938 (1st half) Cumulative Value = previous cumulative + purchased: printed 51,897,640, parts sum to 51,897,640 — reconciles</t>
        </is>
      </c>
    </row>
  </sheetData>
  <hyperlinks>
    <hyperlink xmlns:r="http://schemas.openxmlformats.org/officeDocument/2006/relationships" ref="A3" r:id="rId1"/>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16. Gold Purchase Rate of Central Bank of Manchou</t>
        </is>
      </c>
    </row>
    <row r="2">
      <c r="A2" t="inlineStr">
        <is>
          <t>Banking and Currency · printed pp. 259</t>
        </is>
      </c>
    </row>
    <row r="3">
      <c r="A3" t="inlineStr">
        <is>
          <t>(M¥ per one gram)</t>
        </is>
      </c>
    </row>
    <row r="4">
      <c r="A4" s="3" t="inlineStr">
        <is>
          <t>← Contents</t>
        </is>
      </c>
    </row>
    <row r="6">
      <c r="A6" s="5" t="inlineStr">
        <is>
          <t>Rates changed</t>
        </is>
      </c>
      <c r="B6" s="5" t="inlineStr">
        <is>
          <t>Purchase price</t>
        </is>
      </c>
    </row>
    <row r="7">
      <c r="A7" t="inlineStr">
        <is>
          <t>1933 June 28</t>
        </is>
      </c>
      <c r="B7" s="11" t="n">
        <v>2.47</v>
      </c>
    </row>
    <row r="8">
      <c r="A8" t="inlineStr">
        <is>
          <t>„ July 2</t>
        </is>
      </c>
      <c r="B8" s="11" t="n">
        <v>2.39</v>
      </c>
    </row>
    <row r="9">
      <c r="A9" t="inlineStr">
        <is>
          <t>„ July 9</t>
        </is>
      </c>
      <c r="B9" s="11" t="n">
        <v>2.31</v>
      </c>
    </row>
    <row r="10">
      <c r="A10" t="inlineStr">
        <is>
          <t>„ Aug. 13</t>
        </is>
      </c>
      <c r="B10" s="11" t="n">
        <v>2.4</v>
      </c>
    </row>
    <row r="11">
      <c r="A11" t="inlineStr">
        <is>
          <t>„ Aug. 20</t>
        </is>
      </c>
      <c r="B11" s="11" t="n">
        <v>2.45</v>
      </c>
    </row>
    <row r="12">
      <c r="A12" t="inlineStr">
        <is>
          <t>„ Aug. 27</t>
        </is>
      </c>
      <c r="B12" s="11" t="n">
        <v>2.39</v>
      </c>
    </row>
    <row r="13">
      <c r="A13" t="inlineStr">
        <is>
          <t>„ Oct. 8</t>
        </is>
      </c>
      <c r="B13" s="11" t="n">
        <v>2.55</v>
      </c>
    </row>
    <row r="14">
      <c r="A14" t="inlineStr">
        <is>
          <t>„ Oct. 29</t>
        </is>
      </c>
      <c r="B14" s="11" t="n">
        <v>2.75</v>
      </c>
    </row>
    <row r="15">
      <c r="A15" t="inlineStr">
        <is>
          <t>„ Nov. 12</t>
        </is>
      </c>
      <c r="B15" s="11" t="n">
        <v>2.85</v>
      </c>
    </row>
    <row r="16">
      <c r="A16" t="inlineStr">
        <is>
          <t>„ Nov. 19</t>
        </is>
      </c>
      <c r="B16" s="11" t="n">
        <v>2.95</v>
      </c>
    </row>
    <row r="17">
      <c r="A17" t="inlineStr">
        <is>
          <t>1933 Dec. 31</t>
        </is>
      </c>
      <c r="B17" s="11" t="n">
        <v>2.9</v>
      </c>
    </row>
    <row r="18">
      <c r="A18" t="inlineStr">
        <is>
          <t>1934 Feb. 4</t>
        </is>
      </c>
      <c r="B18" s="11" t="n">
        <v>3</v>
      </c>
    </row>
    <row r="19">
      <c r="A19" t="inlineStr">
        <is>
          <t>„ Feb. 25</t>
        </is>
      </c>
      <c r="B19" s="11" t="n">
        <v>3.1</v>
      </c>
    </row>
    <row r="20">
      <c r="A20" t="inlineStr">
        <is>
          <t>„ May 13</t>
        </is>
      </c>
      <c r="B20" s="11" t="n">
        <v>3.2</v>
      </c>
    </row>
    <row r="21">
      <c r="A21" t="inlineStr">
        <is>
          <t>„ Nov. 11</t>
        </is>
      </c>
      <c r="B21" s="11" t="n">
        <v>3.25</v>
      </c>
    </row>
    <row r="22">
      <c r="A22" t="inlineStr">
        <is>
          <t>1935 Jan. 6</t>
        </is>
      </c>
      <c r="B22" s="11" t="n">
        <v>3.35</v>
      </c>
    </row>
    <row r="23">
      <c r="A23" t="inlineStr">
        <is>
          <t>„ Mar. 17</t>
        </is>
      </c>
      <c r="B23" s="11" t="n">
        <v>3.45</v>
      </c>
    </row>
    <row r="24">
      <c r="A24" t="inlineStr">
        <is>
          <t>„ Aug. 4</t>
        </is>
      </c>
      <c r="B24" s="11" t="n">
        <v>3.5</v>
      </c>
    </row>
    <row r="25">
      <c r="A25" t="inlineStr">
        <is>
          <t>1937 May 15</t>
        </is>
      </c>
      <c r="B25" s="11" t="n">
        <v>3.77</v>
      </c>
    </row>
    <row r="26">
      <c r="A26" t="inlineStr">
        <is>
          <t>1938 Apr. 30</t>
        </is>
      </c>
      <c r="B26" s="11" t="n">
        <v>3.85</v>
      </c>
    </row>
    <row r="28">
      <c r="A28" s="2" t="inlineStr">
        <is>
          <t>Transcriber's notes</t>
        </is>
      </c>
    </row>
    <row r="29">
      <c r="A29" t="inlineStr">
        <is>
          <t>Printed side by side in two blocks; merged in reading order (left block then right block).</t>
        </is>
      </c>
    </row>
    <row r="30">
      <c r="A30" t="inlineStr">
        <is>
          <t>No totals printed.</t>
        </is>
      </c>
    </row>
  </sheetData>
  <hyperlinks>
    <hyperlink xmlns:r="http://schemas.openxmlformats.org/officeDocument/2006/relationships" ref="A4" r:id="rId1"/>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17. Statistics of Insurance Business</t>
        </is>
      </c>
    </row>
    <row r="2">
      <c r="A2" t="inlineStr">
        <is>
          <t>Banking and Currency · printed pp. 260, 261</t>
        </is>
      </c>
    </row>
    <row r="3">
      <c r="A3" s="3" t="inlineStr">
        <is>
          <t>← Contents</t>
        </is>
      </c>
    </row>
    <row r="5">
      <c r="A5" s="2" t="inlineStr">
        <is>
          <t>(A) Life Insurance</t>
        </is>
      </c>
    </row>
    <row r="6">
      <c r="A6" s="5" t="inlineStr">
        <is>
          <t>Period</t>
        </is>
      </c>
      <c r="B6" s="5" t="inlineStr">
        <is>
          <t>New Contracts &amp; other increase — (1,000)</t>
        </is>
      </c>
      <c r="C6" s="5" t="inlineStr">
        <is>
          <t>New Contracts &amp; other increase — (¥1,000)</t>
        </is>
      </c>
      <c r="D6" s="5" t="inlineStr">
        <is>
          <t>Decrease — (1,000)</t>
        </is>
      </c>
      <c r="E6" s="5" t="inlineStr">
        <is>
          <t>Decrease — (¥1,000)</t>
        </is>
      </c>
      <c r="F6" s="5" t="inlineStr">
        <is>
          <t>Outstanding — (1,000)</t>
        </is>
      </c>
      <c r="G6" s="5" t="inlineStr">
        <is>
          <t>Outstanding — (¥1,000)</t>
        </is>
      </c>
      <c r="H6" s="5" t="inlineStr">
        <is>
          <t>Premiums Received (¥1,000)</t>
        </is>
      </c>
    </row>
    <row r="7">
      <c r="A7" s="9" t="n">
        <v>1939</v>
      </c>
      <c r="B7" t="inlineStr"/>
      <c r="C7" t="inlineStr"/>
      <c r="D7" t="inlineStr"/>
      <c r="E7" t="inlineStr"/>
      <c r="F7" t="inlineStr"/>
      <c r="G7" t="inlineStr"/>
      <c r="H7" t="inlineStr"/>
    </row>
    <row r="8">
      <c r="A8" t="inlineStr">
        <is>
          <t>June</t>
        </is>
      </c>
      <c r="B8" s="8" t="n">
        <v>44.2</v>
      </c>
      <c r="C8" s="6" t="n">
        <v>22862</v>
      </c>
      <c r="D8" s="8" t="n">
        <v>6.6</v>
      </c>
      <c r="E8" s="6" t="n">
        <v>3946</v>
      </c>
      <c r="F8" s="8" t="n">
        <v>491</v>
      </c>
      <c r="G8" s="6" t="n">
        <v>431418</v>
      </c>
      <c r="H8" s="6" t="n">
        <v>1532</v>
      </c>
    </row>
    <row r="9">
      <c r="A9" t="inlineStr">
        <is>
          <t>Dec.</t>
        </is>
      </c>
      <c r="B9" s="8" t="n">
        <v>24.3</v>
      </c>
      <c r="C9" s="6" t="n">
        <v>32603</v>
      </c>
      <c r="D9" s="8" t="n">
        <v>14</v>
      </c>
      <c r="E9" s="6" t="n">
        <v>11957</v>
      </c>
      <c r="F9" s="8" t="n">
        <v>611.8</v>
      </c>
      <c r="G9" s="6" t="n">
        <v>520511</v>
      </c>
      <c r="H9" s="6" t="n">
        <v>3526</v>
      </c>
    </row>
    <row r="10">
      <c r="A10" s="9" t="n">
        <v>1940</v>
      </c>
      <c r="B10" t="inlineStr"/>
      <c r="C10" t="inlineStr"/>
      <c r="D10" t="inlineStr"/>
      <c r="E10" t="inlineStr"/>
      <c r="F10" t="inlineStr"/>
      <c r="G10" t="inlineStr"/>
      <c r="H10" t="inlineStr"/>
    </row>
    <row r="11">
      <c r="A11" t="inlineStr">
        <is>
          <t>June</t>
        </is>
      </c>
      <c r="B11" s="8" t="n">
        <v>38.7</v>
      </c>
      <c r="C11" s="6" t="n">
        <v>33008</v>
      </c>
      <c r="D11" s="8" t="n">
        <v>15.5</v>
      </c>
      <c r="E11" s="6" t="n">
        <v>7492</v>
      </c>
      <c r="F11" s="8" t="n">
        <v>776.6</v>
      </c>
      <c r="G11" s="6" t="n">
        <v>652588</v>
      </c>
      <c r="H11" s="6" t="n">
        <v>2607</v>
      </c>
    </row>
    <row r="12">
      <c r="A12" t="inlineStr">
        <is>
          <t>Dec.</t>
        </is>
      </c>
      <c r="B12" s="8" t="n">
        <v>28.2</v>
      </c>
      <c r="C12" s="6" t="n">
        <v>25367</v>
      </c>
      <c r="D12" s="8" t="n">
        <v>16.9</v>
      </c>
      <c r="E12" s="6" t="n">
        <v>8587</v>
      </c>
      <c r="F12" s="8" t="n">
        <v>813.6</v>
      </c>
      <c r="G12" s="6" t="n">
        <v>714706</v>
      </c>
      <c r="H12" s="6" t="n">
        <v>2595</v>
      </c>
    </row>
    <row r="13">
      <c r="A13" t="inlineStr">
        <is>
          <t>of which</t>
        </is>
      </c>
      <c r="B13" t="inlineStr"/>
      <c r="C13" t="inlineStr"/>
      <c r="D13" t="inlineStr"/>
      <c r="E13" t="inlineStr"/>
      <c r="F13" t="inlineStr"/>
      <c r="G13" t="inlineStr"/>
      <c r="H13" t="inlineStr"/>
    </row>
    <row r="14">
      <c r="A14" t="inlineStr">
        <is>
          <t>a.</t>
        </is>
      </c>
      <c r="B14" s="8" t="n">
        <v>8.9</v>
      </c>
      <c r="C14" s="6" t="n">
        <v>21950</v>
      </c>
      <c r="D14" s="8" t="n">
        <v>3.4</v>
      </c>
      <c r="E14" s="6" t="n">
        <v>6558</v>
      </c>
      <c r="F14" s="8" t="n">
        <v>282.2</v>
      </c>
      <c r="G14" s="6" t="n">
        <v>634879</v>
      </c>
      <c r="H14" s="6" t="n">
        <v>2036</v>
      </c>
    </row>
    <row r="15">
      <c r="A15" t="inlineStr">
        <is>
          <t>b.</t>
        </is>
      </c>
      <c r="B15" s="8" t="n">
        <v>4.3</v>
      </c>
      <c r="C15" s="6" t="n">
        <v>7483</v>
      </c>
      <c r="D15" s="8" t="n">
        <v>1.5</v>
      </c>
      <c r="E15" s="6" t="n">
        <v>1964</v>
      </c>
      <c r="F15" s="8" t="n">
        <v>78.09999999999999</v>
      </c>
      <c r="G15" s="6" t="n">
        <v>116000</v>
      </c>
      <c r="H15" s="9" t="n">
        <v>441</v>
      </c>
    </row>
    <row r="16">
      <c r="A16" t="inlineStr">
        <is>
          <t>c.</t>
        </is>
      </c>
      <c r="B16" s="8" t="n">
        <v>19.2</v>
      </c>
      <c r="C16" s="6" t="n">
        <v>3417</v>
      </c>
      <c r="D16" s="8" t="n">
        <v>13.4</v>
      </c>
      <c r="E16" s="6" t="n">
        <v>2029</v>
      </c>
      <c r="F16" s="8" t="n">
        <v>531.4</v>
      </c>
      <c r="G16" s="6" t="n">
        <v>99827</v>
      </c>
      <c r="H16" s="9" t="n">
        <v>559</v>
      </c>
    </row>
    <row r="17">
      <c r="A17" t="inlineStr">
        <is>
          <t>Total</t>
        </is>
      </c>
      <c r="B17" s="8" t="n">
        <v>28.2</v>
      </c>
      <c r="C17" s="6" t="n">
        <v>25367</v>
      </c>
      <c r="D17" s="8" t="n">
        <v>16.9</v>
      </c>
      <c r="E17" s="6" t="n">
        <v>8587</v>
      </c>
      <c r="F17" s="8" t="n">
        <v>813.6</v>
      </c>
      <c r="G17" s="6" t="n">
        <v>714706</v>
      </c>
      <c r="H17" s="6" t="n">
        <v>2595</v>
      </c>
    </row>
    <row r="19">
      <c r="A19" s="2" t="inlineStr">
        <is>
          <t>(B) Property Insurance (Manchu Fire Ins. Co.)</t>
        </is>
      </c>
    </row>
    <row r="20">
      <c r="A20" s="5" t="inlineStr">
        <is>
          <t>Period</t>
        </is>
      </c>
      <c r="B20" s="5" t="inlineStr">
        <is>
          <t>New Contracts &amp; other increase — (1,000)</t>
        </is>
      </c>
      <c r="C20" s="5" t="inlineStr">
        <is>
          <t>New Contracts &amp; other increase — (¥1,000)</t>
        </is>
      </c>
      <c r="D20" s="5" t="inlineStr">
        <is>
          <t>Decrease — (1,000)</t>
        </is>
      </c>
      <c r="E20" s="5" t="inlineStr">
        <is>
          <t>Decrease — (¥1,000)</t>
        </is>
      </c>
      <c r="F20" s="5" t="inlineStr">
        <is>
          <t>Outstanding — (1,000)</t>
        </is>
      </c>
      <c r="G20" s="5" t="inlineStr">
        <is>
          <t>Outstanding — (¥1,000)</t>
        </is>
      </c>
      <c r="H20" s="5" t="inlineStr">
        <is>
          <t>Premiums Received (¥1,000)</t>
        </is>
      </c>
    </row>
    <row r="21">
      <c r="A21" s="9" t="n">
        <v>1939</v>
      </c>
      <c r="B21" t="inlineStr"/>
      <c r="C21" t="inlineStr"/>
      <c r="D21" t="inlineStr"/>
      <c r="E21" t="inlineStr"/>
      <c r="F21" t="inlineStr"/>
      <c r="G21" t="inlineStr"/>
      <c r="H21" t="inlineStr"/>
    </row>
    <row r="22">
      <c r="A22" t="inlineStr">
        <is>
          <t>June</t>
        </is>
      </c>
      <c r="B22" s="8" t="n">
        <v>39.2</v>
      </c>
      <c r="C22" s="6" t="n">
        <v>48627</v>
      </c>
      <c r="D22" s="6" t="n">
        <v>25958</v>
      </c>
      <c r="E22" s="6" t="n">
        <v>32948</v>
      </c>
      <c r="F22" s="8" t="n">
        <v>184.8</v>
      </c>
      <c r="G22" s="6" t="n">
        <v>719831</v>
      </c>
      <c r="H22" s="9" t="n">
        <v>258</v>
      </c>
    </row>
    <row r="23">
      <c r="A23" t="inlineStr">
        <is>
          <t>Dec.</t>
        </is>
      </c>
      <c r="B23" s="8" t="n">
        <v>229.9</v>
      </c>
      <c r="C23" s="6" t="n">
        <v>328052</v>
      </c>
      <c r="D23" s="6" t="n">
        <v>56939</v>
      </c>
      <c r="E23" s="6" t="n">
        <v>332924</v>
      </c>
      <c r="F23" s="8" t="n">
        <v>460.5</v>
      </c>
      <c r="G23" s="6" t="n">
        <v>914567</v>
      </c>
      <c r="H23" s="9" t="n">
        <v>969</v>
      </c>
    </row>
    <row r="24">
      <c r="A24" s="9" t="n">
        <v>1940</v>
      </c>
      <c r="B24" t="inlineStr"/>
      <c r="C24" t="inlineStr"/>
      <c r="D24" t="inlineStr"/>
      <c r="E24" t="inlineStr"/>
      <c r="F24" t="inlineStr"/>
      <c r="G24" t="inlineStr"/>
      <c r="H24" t="inlineStr"/>
    </row>
    <row r="25">
      <c r="A25" t="inlineStr">
        <is>
          <t>June</t>
        </is>
      </c>
      <c r="B25" s="8" t="n">
        <v>56.6</v>
      </c>
      <c r="C25" s="6" t="n">
        <v>200712</v>
      </c>
      <c r="D25" s="6" t="n">
        <v>39055</v>
      </c>
      <c r="E25" s="6" t="n">
        <v>46496</v>
      </c>
      <c r="F25" s="8" t="n">
        <v>560.2</v>
      </c>
      <c r="G25" s="6" t="n">
        <v>1521791</v>
      </c>
      <c r="H25" s="9" t="n">
        <v>469</v>
      </c>
    </row>
    <row r="26">
      <c r="A26" t="inlineStr">
        <is>
          <t>Oct.</t>
        </is>
      </c>
      <c r="B26" s="8" t="n">
        <v>68.2</v>
      </c>
      <c r="C26" s="6" t="n">
        <v>282988</v>
      </c>
      <c r="D26" s="6" t="n">
        <v>30304</v>
      </c>
      <c r="E26" s="6" t="n">
        <v>110403</v>
      </c>
      <c r="F26" s="8" t="n">
        <v>981.1</v>
      </c>
      <c r="G26" s="6" t="n">
        <v>2167812</v>
      </c>
      <c r="H26" s="9" t="n">
        <v>788</v>
      </c>
    </row>
    <row r="28">
      <c r="A28" s="2" t="inlineStr">
        <is>
          <t>Footnotes</t>
        </is>
      </c>
    </row>
    <row r="29">
      <c r="A29" t="inlineStr">
        <is>
          <t>Note: a. represents all private insurance companies</t>
        </is>
      </c>
    </row>
    <row r="30">
      <c r="A30" t="inlineStr">
        <is>
          <t>b. Manchou Life Insurance Co. only</t>
        </is>
      </c>
    </row>
    <row r="31">
      <c r="A31" t="inlineStr">
        <is>
          <t>c. Post Office Life Insurance only</t>
        </is>
      </c>
    </row>
    <row r="33">
      <c r="A33" s="2" t="inlineStr">
        <is>
          <t>Transcriber's notes</t>
        </is>
      </c>
    </row>
    <row r="34">
      <c r="A34" t="inlineStr">
        <is>
          <t>(A) on p.260, (B) on p.261.</t>
        </is>
      </c>
    </row>
    <row r="35">
      <c r="A35" t="inlineStr">
        <is>
          <t>(B) Decrease '(1,000)' column figures (25,958 etc.) are printed as shown, apparently in different units from the other '(1,000)' columns; transcribed as printed.</t>
        </is>
      </c>
    </row>
    <row r="36">
      <c r="A36" t="inlineStr">
        <is>
          <t>(A) Total row equals the 1940 Dec. row.</t>
        </is>
      </c>
    </row>
    <row r="37">
      <c r="A37" t="inlineStr">
        <is>
          <t>(A) 1940 Dec. 'of which' Total, col New Contracts &amp; other increase — (1,000): printed 28.2, parts sum to 32.4 — does NOT reconcile (diff -4.2)</t>
        </is>
      </c>
    </row>
    <row r="38">
      <c r="A38" t="inlineStr">
        <is>
          <t>(A) 1940 Dec. 'of which' Total, col New Contracts &amp; other increase — (¥1,000): printed 25,367, parts sum to 32,850 — does NOT reconcile (diff -7,483)</t>
        </is>
      </c>
    </row>
    <row r="39">
      <c r="A39" t="inlineStr">
        <is>
          <t>(A) 1940 Dec. 'of which' Total, col Decrease — (1,000): printed 16.9, parts sum to 18.3 — does NOT reconcile (diff -1.4)</t>
        </is>
      </c>
    </row>
    <row r="40">
      <c r="A40" t="inlineStr">
        <is>
          <t>(A) 1940 Dec. 'of which' Total, col Decrease — (¥1,000): printed 8,587, parts sum to 10,551 — does NOT reconcile (diff -1,964)</t>
        </is>
      </c>
    </row>
    <row r="41">
      <c r="A41" t="inlineStr">
        <is>
          <t>(A) 1940 Dec. 'of which' Total, col Outstanding — (1,000): printed 813.6, parts sum to 891.7 — does NOT reconcile (diff -78.1)</t>
        </is>
      </c>
    </row>
    <row r="42">
      <c r="A42" t="inlineStr">
        <is>
          <t>(A) 1940 Dec. 'of which' Total, col Outstanding — (¥1,000): printed 714,706, parts sum to 850,706 — does NOT reconcile (diff -136,000)</t>
        </is>
      </c>
    </row>
    <row r="43">
      <c r="A43" t="inlineStr">
        <is>
          <t>(A) 1940 Dec. 'of which' Total, col Premiums Received (¥1,000): printed 2,595, parts sum to 3,036 — does NOT reconcile (diff -441)</t>
        </is>
      </c>
    </row>
    <row r="44">
      <c r="A44" t="inlineStr">
        <is>
          <t>a + b + c does not equal Total; a + c does (except as noted), suggesting b (Manchou Life Insurance Co.) is included in a (all private companies):</t>
        </is>
      </c>
    </row>
    <row r="45">
      <c r="A45" t="inlineStr">
        <is>
          <t>(A) Total = a + c (b appears to be a subset of a), col New Contracts &amp; other increase — (1,000): printed 28.2, parts sum to 28.1 — does NOT reconcile (diff 0.1)</t>
        </is>
      </c>
    </row>
    <row r="46">
      <c r="A46" t="inlineStr">
        <is>
          <t>(A) Total = a + c (b appears to be a subset of a), col New Contracts &amp; other increase — (¥1,000): printed 25,367, parts sum to 25,367 — reconciles</t>
        </is>
      </c>
    </row>
    <row r="47">
      <c r="A47" t="inlineStr">
        <is>
          <t>(A) Total = a + c (b appears to be a subset of a), col Decrease — (1,000): printed 16.9, parts sum to 16.8 — does NOT reconcile (diff 0.1)</t>
        </is>
      </c>
    </row>
    <row r="48">
      <c r="A48" t="inlineStr">
        <is>
          <t>(A) Total = a + c (b appears to be a subset of a), col Decrease — (¥1,000): printed 8,587, parts sum to 8,587 — reconciles</t>
        </is>
      </c>
    </row>
    <row r="49">
      <c r="A49" t="inlineStr">
        <is>
          <t>(A) Total = a + c (b appears to be a subset of a), col Outstanding — (1,000): printed 813.6, parts sum to 813.6 — reconciles</t>
        </is>
      </c>
    </row>
    <row r="50">
      <c r="A50" t="inlineStr">
        <is>
          <t>(A) Total = a + c (b appears to be a subset of a), col Outstanding — (¥1,000): printed 714,706, parts sum to 734,706 — does NOT reconcile (diff -20,000)</t>
        </is>
      </c>
    </row>
    <row r="51">
      <c r="A51" t="inlineStr">
        <is>
          <t>(A) Total = a + c (b appears to be a subset of a), col Premiums Received (¥1,000): printed 2,595, parts sum to 2,595 — reconciles</t>
        </is>
      </c>
    </row>
  </sheetData>
  <hyperlinks>
    <hyperlink xmlns:r="http://schemas.openxmlformats.org/officeDocument/2006/relationships" ref="A3" r:id="rId1"/>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[Capital subscription of the Manchuria Fire and Marine Insurance Company]</t>
        </is>
      </c>
    </row>
    <row r="2">
      <c r="A2" t="inlineStr">
        <is>
          <t>Banking and Currency · printed pp. 264</t>
        </is>
      </c>
    </row>
    <row r="3">
      <c r="A3" t="inlineStr">
        <is>
          <t>The capital of the Company was subscribed as follows:</t>
        </is>
      </c>
    </row>
    <row r="4">
      <c r="A4" s="3" t="inlineStr">
        <is>
          <t>← Contents</t>
        </is>
      </c>
    </row>
    <row r="6">
      <c r="A6" s="5" t="inlineStr">
        <is>
          <t>Subscriber</t>
        </is>
      </c>
      <c r="B6" s="5" t="inlineStr">
        <is>
          <t>Amount</t>
        </is>
      </c>
    </row>
    <row r="7">
      <c r="A7" t="inlineStr">
        <is>
          <t>Dairen Fire Insurance Company</t>
        </is>
      </c>
      <c r="B7" t="inlineStr">
        <is>
          <t>M¥1,000,000</t>
        </is>
      </c>
    </row>
    <row r="8">
      <c r="A8" t="inlineStr">
        <is>
          <t>Kokusai Unyu Kaisha</t>
        </is>
      </c>
      <c r="B8" s="6" t="n">
        <v>100000</v>
      </c>
    </row>
    <row r="9">
      <c r="A9" t="inlineStr">
        <is>
          <t>Tahsing Kungssu</t>
        </is>
      </c>
      <c r="B9" s="6" t="n">
        <v>100000</v>
      </c>
    </row>
    <row r="10">
      <c r="A10" t="inlineStr">
        <is>
          <t>Industrial Bank of Manchou</t>
        </is>
      </c>
      <c r="B10" s="6" t="n">
        <v>100000</v>
      </c>
    </row>
    <row r="11">
      <c r="A11" t="inlineStr">
        <is>
          <t>Tokyo Marine Insurance Company</t>
        </is>
      </c>
      <c r="B11" s="6" t="n">
        <v>732500</v>
      </c>
    </row>
    <row r="12">
      <c r="A12" t="inlineStr">
        <is>
          <t>Other 33 Fire Insurance Firms in Japan</t>
        </is>
      </c>
      <c r="B12" s="6" t="n">
        <v>2967500</v>
      </c>
    </row>
    <row r="13">
      <c r="A13" t="inlineStr">
        <is>
          <t>Total</t>
        </is>
      </c>
      <c r="B13" s="6" t="n">
        <v>5000000</v>
      </c>
    </row>
    <row r="15">
      <c r="A15" s="2" t="inlineStr">
        <is>
          <t>Transcriber's notes</t>
        </is>
      </c>
    </row>
    <row r="16">
      <c r="A16" t="inlineStr">
        <is>
          <t>Unnumbered in-text table.</t>
        </is>
      </c>
    </row>
    <row r="17">
      <c r="A17" t="inlineStr">
        <is>
          <t>Total: printed 5,000,000, parts sum to 5,000,000 — reconciles</t>
        </is>
      </c>
    </row>
  </sheetData>
  <hyperlinks>
    <hyperlink xmlns:r="http://schemas.openxmlformats.org/officeDocument/2006/relationships" ref="A4" r:id="rId1"/>
  </hyperlink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No. of Chamber of Commerce and Industry</t>
        </is>
      </c>
    </row>
    <row r="2">
      <c r="A2" t="inlineStr">
        <is>
          <t>Commerce · printed pp. 267</t>
        </is>
      </c>
    </row>
    <row r="3">
      <c r="A3" t="inlineStr">
        <is>
          <t>(October, 1939)</t>
        </is>
      </c>
    </row>
    <row r="4">
      <c r="A4" s="3" t="inlineStr">
        <is>
          <t>← Contents</t>
        </is>
      </c>
    </row>
    <row r="6">
      <c r="A6" s="5" t="inlineStr">
        <is>
          <t>Location</t>
        </is>
      </c>
      <c r="B6" s="5" t="inlineStr">
        <is>
          <t>No.</t>
        </is>
      </c>
    </row>
    <row r="7">
      <c r="A7" t="inlineStr">
        <is>
          <t>Hsinking</t>
        </is>
      </c>
      <c r="B7" s="9" t="n">
        <v>1</v>
      </c>
    </row>
    <row r="8">
      <c r="A8" t="inlineStr">
        <is>
          <t>Mukden</t>
        </is>
      </c>
      <c r="B8" s="9" t="n">
        <v>20</v>
      </c>
    </row>
    <row r="9">
      <c r="A9" t="inlineStr">
        <is>
          <t>Pinkiang</t>
        </is>
      </c>
      <c r="B9" s="9" t="n">
        <v>20</v>
      </c>
    </row>
    <row r="10">
      <c r="A10" t="inlineStr">
        <is>
          <t>Tungan</t>
        </is>
      </c>
      <c r="B10" t="inlineStr">
        <is>
          <t>—</t>
        </is>
      </c>
    </row>
    <row r="11">
      <c r="A11" t="inlineStr">
        <is>
          <t>Peian</t>
        </is>
      </c>
      <c r="B11" t="inlineStr">
        <is>
          <t>—</t>
        </is>
      </c>
    </row>
    <row r="12">
      <c r="A12" t="inlineStr">
        <is>
          <t>Kirin</t>
        </is>
      </c>
      <c r="B12" s="9" t="n">
        <v>19</v>
      </c>
    </row>
    <row r="13">
      <c r="A13" t="inlineStr">
        <is>
          <t>Chinchow</t>
        </is>
      </c>
      <c r="B13" s="9" t="n">
        <v>18</v>
      </c>
    </row>
    <row r="14">
      <c r="A14" t="inlineStr">
        <is>
          <t>Antung</t>
        </is>
      </c>
      <c r="B14" s="9" t="n">
        <v>8</v>
      </c>
    </row>
    <row r="15">
      <c r="A15" t="inlineStr">
        <is>
          <t>Chientao</t>
        </is>
      </c>
      <c r="B15" s="9" t="n">
        <v>4</v>
      </c>
    </row>
    <row r="16">
      <c r="A16" t="inlineStr">
        <is>
          <t>Lungkiang</t>
        </is>
      </c>
      <c r="B16" s="9" t="n">
        <v>11</v>
      </c>
    </row>
    <row r="17">
      <c r="A17" t="inlineStr">
        <is>
          <t>Mutankiang</t>
        </is>
      </c>
      <c r="B17" s="9" t="n">
        <v>1</v>
      </c>
    </row>
    <row r="18">
      <c r="A18" t="inlineStr">
        <is>
          <t>Jehol</t>
        </is>
      </c>
      <c r="B18" s="9" t="n">
        <v>4</v>
      </c>
    </row>
    <row r="19">
      <c r="A19" t="inlineStr">
        <is>
          <t>Hsingan N.</t>
        </is>
      </c>
      <c r="B19" s="9" t="n">
        <v>2</v>
      </c>
    </row>
    <row r="20">
      <c r="A20" t="inlineStr">
        <is>
          <t>Tunghua</t>
        </is>
      </c>
      <c r="B20" s="9" t="n">
        <v>1</v>
      </c>
    </row>
    <row r="21">
      <c r="A21" t="inlineStr">
        <is>
          <t>Sankiang</t>
        </is>
      </c>
      <c r="B21" s="9" t="n">
        <v>4</v>
      </c>
    </row>
    <row r="22">
      <c r="A22" t="inlineStr">
        <is>
          <t>Heiho</t>
        </is>
      </c>
      <c r="B22" s="9" t="n">
        <v>1</v>
      </c>
    </row>
    <row r="23">
      <c r="A23" t="inlineStr">
        <is>
          <t>Hsingan S.</t>
        </is>
      </c>
      <c r="B23" s="9" t="n">
        <v>1</v>
      </c>
    </row>
    <row r="24">
      <c r="A24" t="inlineStr">
        <is>
          <t>Hsingan E.</t>
        </is>
      </c>
      <c r="B24" s="9" t="n">
        <v>2</v>
      </c>
    </row>
    <row r="25">
      <c r="A25" t="inlineStr">
        <is>
          <t>Hsingan W.</t>
        </is>
      </c>
      <c r="B25" s="9" t="n">
        <v>2</v>
      </c>
    </row>
    <row r="26">
      <c r="A26" t="inlineStr">
        <is>
          <t>Total</t>
        </is>
      </c>
      <c r="B26" s="9" t="n">
        <v>119</v>
      </c>
    </row>
    <row r="28">
      <c r="A28" s="2" t="inlineStr">
        <is>
          <t>Transcriber's notes</t>
        </is>
      </c>
    </row>
    <row r="29">
      <c r="A29" t="inlineStr">
        <is>
          <t>Printed side by side in two blocks; merged in reading order.</t>
        </is>
      </c>
    </row>
    <row r="30">
      <c r="A30" t="inlineStr">
        <is>
          <t>Total: printed 119, parts sum to 119 — reconciles</t>
        </is>
      </c>
    </row>
  </sheetData>
  <hyperlinks>
    <hyperlink xmlns:r="http://schemas.openxmlformats.org/officeDocument/2006/relationships" ref="A4" r:id="rId1"/>
  </hyperlink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Condition of Import Guilds</t>
        </is>
      </c>
    </row>
    <row r="2">
      <c r="A2" t="inlineStr">
        <is>
          <t>Commerce · printed pp. 268</t>
        </is>
      </c>
    </row>
    <row r="3">
      <c r="A3" s="3" t="inlineStr">
        <is>
          <t>← Contents</t>
        </is>
      </c>
    </row>
    <row r="5">
      <c r="A5" s="5" t="inlineStr">
        <is>
          <t>Year</t>
        </is>
      </c>
      <c r="B5" s="5" t="inlineStr">
        <is>
          <t>Members</t>
        </is>
      </c>
      <c r="C5" s="5" t="inlineStr">
        <is>
          <t>Member unions</t>
        </is>
      </c>
      <c r="D5" s="5" t="inlineStr">
        <is>
          <t>Supscription (¥1,000)</t>
        </is>
      </c>
      <c r="E5" s="5" t="inlineStr">
        <is>
          <t>Advances — Advanced (¥1,000)</t>
        </is>
      </c>
      <c r="F5" s="5" t="inlineStr">
        <is>
          <t>Advances — Redeemed (¥1,000)</t>
        </is>
      </c>
      <c r="G5" s="5" t="inlineStr">
        <is>
          <t>Advances — Outstanding (¥1,000)</t>
        </is>
      </c>
    </row>
    <row r="6">
      <c r="A6" s="9" t="n">
        <v>1935</v>
      </c>
      <c r="B6" s="6" t="n">
        <v>1273</v>
      </c>
      <c r="C6" s="9" t="n">
        <v>340</v>
      </c>
      <c r="D6" s="6" t="n">
        <v>2346</v>
      </c>
      <c r="E6" t="inlineStr">
        <is>
          <t>—</t>
        </is>
      </c>
      <c r="F6" t="inlineStr">
        <is>
          <t>—</t>
        </is>
      </c>
      <c r="G6" s="6" t="n">
        <v>3461</v>
      </c>
    </row>
    <row r="7">
      <c r="A7" s="9" t="n">
        <v>1936</v>
      </c>
      <c r="B7" s="6" t="n">
        <v>1279</v>
      </c>
      <c r="C7" s="9" t="n">
        <v>342</v>
      </c>
      <c r="D7" s="6" t="n">
        <v>2447</v>
      </c>
      <c r="E7" s="6" t="n">
        <v>17769</v>
      </c>
      <c r="F7" s="6" t="n">
        <v>17956</v>
      </c>
      <c r="G7" s="6" t="n">
        <v>3254</v>
      </c>
    </row>
    <row r="8">
      <c r="A8" s="9" t="n">
        <v>1937</v>
      </c>
      <c r="B8" s="6" t="n">
        <v>1377</v>
      </c>
      <c r="C8" s="9" t="n">
        <v>363</v>
      </c>
      <c r="D8" s="6" t="n">
        <v>2586</v>
      </c>
      <c r="E8" s="6" t="n">
        <v>18620</v>
      </c>
      <c r="F8" s="6" t="n">
        <v>18307</v>
      </c>
      <c r="G8" s="6" t="n">
        <v>3567</v>
      </c>
    </row>
    <row r="9">
      <c r="A9" s="9" t="n">
        <v>1938</v>
      </c>
      <c r="B9" s="6" t="n">
        <v>1352</v>
      </c>
      <c r="C9" s="9" t="n">
        <v>370</v>
      </c>
      <c r="D9" s="6" t="n">
        <v>2658</v>
      </c>
      <c r="E9" s="6" t="n">
        <v>19980</v>
      </c>
      <c r="F9" s="6" t="n">
        <v>19950</v>
      </c>
      <c r="G9" s="6" t="n">
        <v>3597</v>
      </c>
    </row>
    <row r="10">
      <c r="A10" s="9" t="n">
        <v>1939</v>
      </c>
      <c r="B10" s="6" t="n">
        <v>1423</v>
      </c>
      <c r="C10" t="inlineStr">
        <is>
          <t>—</t>
        </is>
      </c>
      <c r="D10" t="inlineStr">
        <is>
          <t>—</t>
        </is>
      </c>
      <c r="E10" s="6" t="n">
        <v>16022</v>
      </c>
      <c r="F10" s="6" t="n">
        <v>14056</v>
      </c>
      <c r="G10" s="6" t="n">
        <v>4099</v>
      </c>
    </row>
    <row r="12">
      <c r="A12" s="2" t="inlineStr">
        <is>
          <t>Transcriber's notes</t>
        </is>
      </c>
    </row>
    <row r="13">
      <c r="A13" t="inlineStr">
        <is>
          <t>Column heading printed 'Supscription' [sic].</t>
        </is>
      </c>
    </row>
    <row r="14">
      <c r="A14" t="inlineStr">
        <is>
          <t>No printed totals. Balance check (previous Outstanding + Advanced − Redeemed = Outstanding): 1936 computes 3,274 vs printed 3,254 (diff 20); 1937 3,567 reconciles; 1938 3,597 reconciles; 1939 computes 5,563 vs printed 4,099 (does NOT reconcile).</t>
        </is>
      </c>
    </row>
  </sheetData>
  <hyperlinks>
    <hyperlink xmlns:r="http://schemas.openxmlformats.org/officeDocument/2006/relationships" ref="A3" r:id="rId1"/>
  </hyperlink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International Comparison of Wholesale Prices</t>
        </is>
      </c>
    </row>
    <row r="2">
      <c r="A2" t="inlineStr">
        <is>
          <t>Commerce · printed pp. 271</t>
        </is>
      </c>
    </row>
    <row r="3">
      <c r="A3" t="inlineStr">
        <is>
          <t>(Index: 1933=100)</t>
        </is>
      </c>
    </row>
    <row r="4">
      <c r="A4" s="3" t="inlineStr">
        <is>
          <t>← Contents</t>
        </is>
      </c>
    </row>
    <row r="6">
      <c r="A6" s="5" t="inlineStr">
        <is>
          <t>Average</t>
        </is>
      </c>
      <c r="B6" s="5" t="inlineStr">
        <is>
          <t>Hsinking</t>
        </is>
      </c>
      <c r="C6" s="5" t="inlineStr">
        <is>
          <t>Dairen</t>
        </is>
      </c>
      <c r="D6" s="5" t="inlineStr">
        <is>
          <t>Japan</t>
        </is>
      </c>
      <c r="E6" s="5" t="inlineStr">
        <is>
          <t>Tientsin</t>
        </is>
      </c>
      <c r="F6" s="5" t="inlineStr">
        <is>
          <t>Shanghai</t>
        </is>
      </c>
      <c r="G6" s="5" t="inlineStr">
        <is>
          <t>England</t>
        </is>
      </c>
      <c r="H6" s="5" t="inlineStr">
        <is>
          <t>U.S.</t>
        </is>
      </c>
      <c r="I6" s="5" t="inlineStr">
        <is>
          <t>Germany</t>
        </is>
      </c>
    </row>
    <row r="7">
      <c r="A7" s="9" t="n">
        <v>1934</v>
      </c>
      <c r="B7" s="8" t="n">
        <v>92.59999999999999</v>
      </c>
      <c r="C7" s="8" t="n">
        <v>102.2</v>
      </c>
      <c r="D7" s="8" t="n">
        <v>99</v>
      </c>
      <c r="E7" s="8" t="n">
        <v>91.3</v>
      </c>
      <c r="F7" s="8" t="n">
        <v>93.5</v>
      </c>
      <c r="G7" s="8" t="n">
        <v>101.1</v>
      </c>
      <c r="H7" s="8" t="n">
        <v>113.8</v>
      </c>
      <c r="I7" s="8" t="n">
        <v>105.5</v>
      </c>
    </row>
    <row r="8">
      <c r="A8" s="9" t="n">
        <v>1935</v>
      </c>
      <c r="B8" s="8" t="n">
        <v>103.4</v>
      </c>
      <c r="C8" s="8" t="n">
        <v>106.8</v>
      </c>
      <c r="D8" s="8" t="n">
        <v>103.3</v>
      </c>
      <c r="E8" s="8" t="n">
        <v>84.8</v>
      </c>
      <c r="F8" s="8" t="n">
        <v>92.90000000000001</v>
      </c>
      <c r="G8" s="8" t="n">
        <v>104.3</v>
      </c>
      <c r="H8" s="8" t="n">
        <v>121.4</v>
      </c>
      <c r="I8" s="8" t="n">
        <v>109.1</v>
      </c>
    </row>
    <row r="9">
      <c r="A9" s="9" t="n">
        <v>1936</v>
      </c>
      <c r="B9" s="8" t="n">
        <v>106.1</v>
      </c>
      <c r="C9" s="8" t="n">
        <v>108.4</v>
      </c>
      <c r="D9" s="8" t="n">
        <v>109.6</v>
      </c>
      <c r="E9" s="8" t="n">
        <v>109.9</v>
      </c>
      <c r="F9" s="8" t="n">
        <v>104.5</v>
      </c>
      <c r="G9" s="8" t="n">
        <v>110.9</v>
      </c>
      <c r="H9" s="8" t="n">
        <v>122.6</v>
      </c>
      <c r="I9" s="8" t="n">
        <v>111.6</v>
      </c>
    </row>
    <row r="10">
      <c r="A10" s="9" t="n">
        <v>1937</v>
      </c>
      <c r="B10" s="8" t="n">
        <v>125.1</v>
      </c>
      <c r="C10" s="8" t="n">
        <v>124.8</v>
      </c>
      <c r="D10" s="8" t="n">
        <v>132.7</v>
      </c>
      <c r="E10" s="8" t="n">
        <v>129.2</v>
      </c>
      <c r="F10" s="8" t="n">
        <v>124.4</v>
      </c>
      <c r="G10" s="8" t="n">
        <v>129.8</v>
      </c>
      <c r="H10" s="8" t="n">
        <v>131</v>
      </c>
      <c r="I10" s="8" t="n">
        <v>113.6</v>
      </c>
    </row>
    <row r="11">
      <c r="A11" s="9" t="n">
        <v>1938</v>
      </c>
      <c r="B11" s="8" t="n">
        <v>149.8</v>
      </c>
      <c r="C11" s="8" t="n">
        <v>151.4</v>
      </c>
      <c r="D11" s="8" t="n">
        <v>140</v>
      </c>
      <c r="E11" s="8" t="n">
        <v>167.2</v>
      </c>
      <c r="F11" s="8" t="n">
        <v>146</v>
      </c>
      <c r="G11" s="8" t="n">
        <v>110.6</v>
      </c>
      <c r="H11" s="8" t="n">
        <v>119.1</v>
      </c>
      <c r="I11" s="8" t="n">
        <v>114.5</v>
      </c>
    </row>
    <row r="12">
      <c r="A12" s="9" t="n">
        <v>1939</v>
      </c>
      <c r="B12" s="8" t="n">
        <v>181.3</v>
      </c>
      <c r="C12" s="8" t="n">
        <v>192.2</v>
      </c>
      <c r="D12" s="8" t="n">
        <v>154.6</v>
      </c>
      <c r="E12" s="8" t="n">
        <v>248.6</v>
      </c>
      <c r="F12" s="8" t="n">
        <v>236.4</v>
      </c>
      <c r="G12" s="8" t="n">
        <v>106.1</v>
      </c>
      <c r="H12" s="8" t="n">
        <v>116.8</v>
      </c>
      <c r="I12" s="8" t="n">
        <v>114.9</v>
      </c>
    </row>
    <row r="13">
      <c r="A13" s="9" t="n">
        <v>1940</v>
      </c>
      <c r="B13" s="8" t="n">
        <v>224.2</v>
      </c>
      <c r="C13" s="8" t="n">
        <v>247.7</v>
      </c>
      <c r="D13" s="8" t="n">
        <v>173.4</v>
      </c>
      <c r="E13" s="8" t="n">
        <v>439.6</v>
      </c>
      <c r="F13" t="inlineStr">
        <is>
          <t>—</t>
        </is>
      </c>
      <c r="G13" s="8" t="n">
        <v>147</v>
      </c>
      <c r="H13" s="8" t="n">
        <v>118.6</v>
      </c>
      <c r="I13" s="8" t="n">
        <v>117.8</v>
      </c>
    </row>
    <row r="14">
      <c r="A14" t="inlineStr">
        <is>
          <t>Sept.</t>
        </is>
      </c>
      <c r="B14" s="8" t="n">
        <v>213.3</v>
      </c>
      <c r="C14" s="8" t="n">
        <v>251.3</v>
      </c>
      <c r="D14" s="8" t="n">
        <v>171.6</v>
      </c>
      <c r="E14" s="8" t="n">
        <v>450.1</v>
      </c>
      <c r="F14" s="8" t="n">
        <v>518</v>
      </c>
      <c r="G14" s="8" t="n">
        <v>157.7</v>
      </c>
      <c r="H14" s="8" t="n">
        <v>118.1</v>
      </c>
      <c r="I14" s="8" t="n">
        <v>118.3</v>
      </c>
    </row>
    <row r="15">
      <c r="A15" t="inlineStr">
        <is>
          <t>Oct.</t>
        </is>
      </c>
      <c r="B15" s="8" t="n">
        <v>228.3</v>
      </c>
      <c r="C15" s="8" t="n">
        <v>246.1</v>
      </c>
      <c r="D15" s="8" t="n">
        <v>172.5</v>
      </c>
      <c r="E15" s="8" t="n">
        <v>453.5</v>
      </c>
      <c r="F15" s="8" t="n">
        <v>552.1</v>
      </c>
      <c r="G15" s="8" t="n">
        <v>155.5</v>
      </c>
      <c r="H15" s="8" t="n">
        <v>118.7</v>
      </c>
      <c r="I15" s="8" t="n">
        <v>118.5</v>
      </c>
    </row>
    <row r="16">
      <c r="A16" t="inlineStr">
        <is>
          <t>Nov.</t>
        </is>
      </c>
      <c r="B16" s="8" t="n">
        <v>232.6</v>
      </c>
      <c r="C16" s="8" t="n">
        <v>247.5</v>
      </c>
      <c r="D16" s="8" t="n">
        <v>173.1</v>
      </c>
      <c r="E16" s="8" t="n">
        <v>455.6</v>
      </c>
      <c r="F16" s="8" t="n">
        <v>571</v>
      </c>
      <c r="G16" s="8" t="n">
        <v>157.2</v>
      </c>
      <c r="H16" s="8" t="n">
        <v>118.7</v>
      </c>
      <c r="I16" s="8" t="n">
        <v>118.8</v>
      </c>
    </row>
    <row r="17">
      <c r="A17" t="inlineStr">
        <is>
          <t>Dec.</t>
        </is>
      </c>
      <c r="B17" s="8" t="n">
        <v>239.6</v>
      </c>
      <c r="C17" s="8" t="n">
        <v>247.6</v>
      </c>
      <c r="D17" s="8" t="n">
        <v>173.4</v>
      </c>
      <c r="E17" s="8" t="n">
        <v>449.8</v>
      </c>
      <c r="F17" s="8" t="n">
        <v>593.2</v>
      </c>
      <c r="G17" s="8" t="n">
        <v>158.7</v>
      </c>
      <c r="H17" s="8" t="n">
        <v>119.9</v>
      </c>
      <c r="I17" s="8" t="n">
        <v>118.9</v>
      </c>
    </row>
    <row r="18">
      <c r="A18" s="9" t="n">
        <v>1941</v>
      </c>
      <c r="B18" t="inlineStr"/>
      <c r="C18" t="inlineStr"/>
      <c r="D18" t="inlineStr"/>
      <c r="E18" t="inlineStr"/>
      <c r="F18" t="inlineStr"/>
      <c r="G18" t="inlineStr"/>
      <c r="H18" t="inlineStr"/>
      <c r="I18" t="inlineStr"/>
    </row>
    <row r="19">
      <c r="A19" t="inlineStr">
        <is>
          <t>Jan.</t>
        </is>
      </c>
      <c r="B19" s="8" t="n">
        <v>245.6</v>
      </c>
      <c r="C19" s="8" t="n">
        <v>237.2</v>
      </c>
      <c r="D19" s="8" t="n">
        <v>174.7</v>
      </c>
      <c r="E19" s="8" t="n">
        <v>467.6</v>
      </c>
      <c r="F19" s="8" t="n">
        <v>636.6</v>
      </c>
      <c r="G19" s="8" t="n">
        <v>161.2</v>
      </c>
      <c r="H19" s="8" t="n">
        <v>121.5</v>
      </c>
      <c r="I19" s="8" t="n">
        <v>119.4</v>
      </c>
    </row>
    <row r="20">
      <c r="A20" t="inlineStr">
        <is>
          <t>Feb.</t>
        </is>
      </c>
      <c r="B20" s="8" t="n">
        <v>244.1</v>
      </c>
      <c r="C20" s="8" t="n">
        <v>239.5</v>
      </c>
      <c r="D20" s="8" t="n">
        <v>176.6</v>
      </c>
      <c r="E20" s="8" t="n">
        <v>480.3</v>
      </c>
      <c r="F20" s="8" t="n">
        <v>687.4</v>
      </c>
      <c r="G20" s="8" t="n">
        <v>161.9</v>
      </c>
      <c r="H20" s="8" t="n">
        <v>121.5</v>
      </c>
      <c r="I20" s="8" t="n">
        <v>119.6</v>
      </c>
    </row>
    <row r="21">
      <c r="A21" t="inlineStr">
        <is>
          <t>Mar.</t>
        </is>
      </c>
      <c r="B21" s="8" t="n">
        <v>244.6</v>
      </c>
      <c r="C21" s="8" t="n">
        <v>246.8</v>
      </c>
      <c r="D21" s="8" t="n">
        <v>179.8</v>
      </c>
      <c r="E21" s="8" t="n">
        <v>469.5</v>
      </c>
      <c r="F21" s="8" t="n">
        <v>748.2</v>
      </c>
      <c r="G21" s="8" t="n">
        <v>163.9</v>
      </c>
      <c r="H21" s="8" t="n">
        <v>123.1</v>
      </c>
      <c r="I21" s="8" t="n">
        <v>119.7</v>
      </c>
    </row>
    <row r="22">
      <c r="A22" t="inlineStr">
        <is>
          <t>Apr.</t>
        </is>
      </c>
      <c r="B22" s="8" t="n">
        <v>243.6</v>
      </c>
      <c r="C22" s="8" t="n">
        <v>244.4</v>
      </c>
      <c r="D22" s="8" t="n">
        <v>180.7</v>
      </c>
      <c r="E22" s="8" t="n">
        <v>465.2</v>
      </c>
      <c r="F22" s="8" t="n">
        <v>840.3</v>
      </c>
      <c r="G22" s="8" t="n">
        <v>163.9</v>
      </c>
      <c r="H22" s="8" t="n">
        <v>125.6</v>
      </c>
      <c r="I22" s="8" t="n">
        <v>119.9</v>
      </c>
    </row>
    <row r="23">
      <c r="A23" t="inlineStr">
        <is>
          <t>May</t>
        </is>
      </c>
      <c r="B23" s="8" t="n">
        <v>245.6</v>
      </c>
      <c r="C23" s="8" t="n">
        <v>242.9</v>
      </c>
      <c r="D23" s="8" t="n">
        <v>181.6</v>
      </c>
      <c r="E23" s="8" t="n">
        <v>466.1</v>
      </c>
      <c r="F23" s="8" t="n">
        <v>893.1</v>
      </c>
      <c r="G23" s="8" t="n">
        <v>164.9</v>
      </c>
      <c r="H23" s="8" t="n">
        <v>127.9</v>
      </c>
      <c r="I23" s="8" t="n">
        <v>120.3</v>
      </c>
    </row>
    <row r="24">
      <c r="A24" t="inlineStr">
        <is>
          <t>June</t>
        </is>
      </c>
      <c r="B24" s="8" t="n">
        <v>245.7</v>
      </c>
      <c r="C24" s="8" t="n">
        <v>249.4</v>
      </c>
      <c r="D24" s="8" t="n">
        <v>184.5</v>
      </c>
      <c r="E24" s="8" t="n">
        <v>473.4</v>
      </c>
      <c r="F24" t="inlineStr"/>
      <c r="G24" s="8" t="n">
        <v>164.5</v>
      </c>
      <c r="H24" s="8" t="n">
        <v>131.8</v>
      </c>
      <c r="I24" s="8" t="n">
        <v>120.5</v>
      </c>
    </row>
    <row r="25">
      <c r="A25" t="inlineStr">
        <is>
          <t>July</t>
        </is>
      </c>
      <c r="B25" s="8" t="n">
        <v>246.5</v>
      </c>
      <c r="C25" s="8" t="n">
        <v>257.2</v>
      </c>
      <c r="D25" s="8" t="n">
        <v>186.1</v>
      </c>
      <c r="E25" s="8" t="n">
        <v>476.9</v>
      </c>
      <c r="F25" t="inlineStr"/>
      <c r="G25" s="8" t="n">
        <v>165.4</v>
      </c>
      <c r="H25" s="8" t="n">
        <v>133.1</v>
      </c>
      <c r="I25" s="8" t="n">
        <v>120.7</v>
      </c>
    </row>
    <row r="26">
      <c r="A26" t="inlineStr">
        <is>
          <t>Aug.</t>
        </is>
      </c>
      <c r="B26" s="8" t="n">
        <v>248</v>
      </c>
      <c r="C26" s="8" t="n">
        <v>256.6</v>
      </c>
      <c r="D26" s="8" t="n">
        <v>188.2</v>
      </c>
      <c r="E26" s="8" t="n">
        <v>495.9</v>
      </c>
      <c r="F26" t="inlineStr"/>
      <c r="G26" s="8" t="n">
        <v>166.7</v>
      </c>
      <c r="H26" s="8" t="n">
        <v>135.9</v>
      </c>
      <c r="I26" s="8" t="n">
        <v>120.9</v>
      </c>
    </row>
    <row r="27">
      <c r="A27" t="inlineStr">
        <is>
          <t>Sept.</t>
        </is>
      </c>
      <c r="B27" s="8" t="n">
        <v>249.7</v>
      </c>
      <c r="C27" s="8" t="n">
        <v>257.9</v>
      </c>
      <c r="D27" s="8" t="n">
        <v>187.2</v>
      </c>
      <c r="E27" s="8" t="n">
        <v>506.5</v>
      </c>
      <c r="F27" t="inlineStr"/>
      <c r="G27" s="8" t="n">
        <v>166.1</v>
      </c>
      <c r="H27" s="8" t="n">
        <v>138.5</v>
      </c>
      <c r="I27" s="8" t="n">
        <v>120.5</v>
      </c>
    </row>
    <row r="29">
      <c r="A29" s="2" t="inlineStr">
        <is>
          <t>Transcriber's notes</t>
        </is>
      </c>
    </row>
    <row r="30">
      <c r="A30" t="inlineStr">
        <is>
          <t>Rows Sept.–Dec. following 1940 are months of 1940.</t>
        </is>
      </c>
    </row>
    <row r="31">
      <c r="A31" t="inlineStr">
        <is>
          <t>Shanghai 1941 June–Sept.: cells left empty in print (no figure, no dash); recorded as empty strings — not unreadable.</t>
        </is>
      </c>
    </row>
    <row r="32">
      <c r="A32" t="inlineStr">
        <is>
          <t>No totals printed.</t>
        </is>
      </c>
    </row>
  </sheetData>
  <hyperlinks>
    <hyperlink xmlns:r="http://schemas.openxmlformats.org/officeDocument/2006/relationships" ref="A4" r:id="rId1"/>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R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Wholesale Commodity Price Indices in Hsinking</t>
        </is>
      </c>
    </row>
    <row r="2">
      <c r="A2" t="inlineStr">
        <is>
          <t>Commerce · printed pp. 272</t>
        </is>
      </c>
    </row>
    <row r="3">
      <c r="A3" s="3" t="inlineStr">
        <is>
          <t>← Contents</t>
        </is>
      </c>
    </row>
    <row r="5">
      <c r="A5" s="5" t="inlineStr">
        <is>
          <t>Average of</t>
        </is>
      </c>
      <c r="B5" s="5" t="inlineStr">
        <is>
          <t>Commodities for domestic consumption (17 Art.)</t>
        </is>
      </c>
      <c r="C5" s="5" t="inlineStr">
        <is>
          <t>Export goods (12 Art.)</t>
        </is>
      </c>
      <c r="D5" s="5" t="inlineStr">
        <is>
          <t>Import goods (33 Art.)</t>
        </is>
      </c>
      <c r="E5" s="5" t="inlineStr">
        <is>
          <t>Raw materials (13 Art.)</t>
        </is>
      </c>
      <c r="F5" s="5" t="inlineStr">
        <is>
          <t>Consumers' goods (38 Art.)</t>
        </is>
      </c>
      <c r="G5" s="5" t="inlineStr">
        <is>
          <t>Equipment goods (12 Art.)</t>
        </is>
      </c>
      <c r="H5" s="5" t="inlineStr">
        <is>
          <t>Farmers' purchases (19 Art.)</t>
        </is>
      </c>
      <c r="I5" s="5" t="inlineStr">
        <is>
          <t>Farmers' sales (8 Art.)</t>
        </is>
      </c>
      <c r="J5" s="5" t="inlineStr">
        <is>
          <t>Chief staple products (6 Art.)</t>
        </is>
      </c>
      <c r="K5" s="5" t="inlineStr">
        <is>
          <t>Miscellaneous cereals (5 Art.)</t>
        </is>
      </c>
      <c r="L5" s="5" t="inlineStr">
        <is>
          <t>Foods and beverages (12 Art.)</t>
        </is>
      </c>
      <c r="M5" s="5" t="inlineStr">
        <is>
          <t>Textiles (13 Art.)</t>
        </is>
      </c>
      <c r="N5" s="5" t="inlineStr">
        <is>
          <t>Metals and metal wares (7 Art.)</t>
        </is>
      </c>
      <c r="O5" s="5" t="inlineStr">
        <is>
          <t>Building materials (6 Art.)</t>
        </is>
      </c>
      <c r="P5" s="5" t="inlineStr">
        <is>
          <t>Light and fuel (6 Art.)</t>
        </is>
      </c>
      <c r="Q5" s="5" t="inlineStr">
        <is>
          <t>Miscellaneous (8 Art.)</t>
        </is>
      </c>
      <c r="R5" s="5" t="inlineStr">
        <is>
          <t>Average of all commodities (63 Art.)</t>
        </is>
      </c>
    </row>
    <row r="6">
      <c r="A6" s="9" t="n">
        <v>1933</v>
      </c>
      <c r="B6" s="8" t="n">
        <v>100</v>
      </c>
      <c r="C6" s="8" t="n">
        <v>100</v>
      </c>
      <c r="D6" s="8" t="n">
        <v>100</v>
      </c>
      <c r="E6" s="8" t="n">
        <v>100</v>
      </c>
      <c r="F6" s="8" t="n">
        <v>100</v>
      </c>
      <c r="G6" s="8" t="n">
        <v>100</v>
      </c>
      <c r="H6" s="8" t="n">
        <v>100</v>
      </c>
      <c r="I6" s="8" t="n">
        <v>100</v>
      </c>
      <c r="J6" s="8" t="n">
        <v>100</v>
      </c>
      <c r="K6" s="8" t="n">
        <v>100</v>
      </c>
      <c r="L6" s="8" t="n">
        <v>100</v>
      </c>
      <c r="M6" s="8" t="n">
        <v>100</v>
      </c>
      <c r="N6" s="8" t="n">
        <v>100</v>
      </c>
      <c r="O6" s="8" t="n">
        <v>100</v>
      </c>
      <c r="P6" s="8" t="n">
        <v>100</v>
      </c>
      <c r="Q6" s="8" t="n">
        <v>100</v>
      </c>
      <c r="R6" s="8" t="n">
        <v>100</v>
      </c>
    </row>
    <row r="7">
      <c r="A7" s="9" t="n">
        <v>1934</v>
      </c>
      <c r="B7" s="8" t="n">
        <v>93</v>
      </c>
      <c r="C7" s="8" t="n">
        <v>95.5</v>
      </c>
      <c r="D7" s="8" t="n">
        <v>90.59999999999999</v>
      </c>
      <c r="E7" s="8" t="n">
        <v>92.90000000000001</v>
      </c>
      <c r="F7" s="8" t="n">
        <v>95.90000000000001</v>
      </c>
      <c r="G7" s="8" t="n">
        <v>93.59999999999999</v>
      </c>
      <c r="H7" s="8" t="n">
        <v>91.5</v>
      </c>
      <c r="I7" s="8" t="n">
        <v>97.09999999999999</v>
      </c>
      <c r="J7" s="8" t="n">
        <v>94.5</v>
      </c>
      <c r="K7" s="8" t="n">
        <v>92.8</v>
      </c>
      <c r="L7" s="8" t="n">
        <v>94</v>
      </c>
      <c r="M7" s="8" t="n">
        <v>90.40000000000001</v>
      </c>
      <c r="N7" s="8" t="n">
        <v>92.40000000000001</v>
      </c>
      <c r="O7" s="8" t="n">
        <v>89.8</v>
      </c>
      <c r="P7" s="8" t="n">
        <v>94</v>
      </c>
      <c r="Q7" s="8" t="n">
        <v>93.40000000000001</v>
      </c>
      <c r="R7" s="8" t="n">
        <v>92.59999999999999</v>
      </c>
    </row>
    <row r="8">
      <c r="A8" s="9" t="n">
        <v>1935</v>
      </c>
      <c r="B8" s="8" t="n">
        <v>103.2</v>
      </c>
      <c r="C8" s="8" t="n">
        <v>136.7</v>
      </c>
      <c r="D8" s="8" t="n">
        <v>90.7</v>
      </c>
      <c r="E8" s="8" t="n">
        <v>94.5</v>
      </c>
      <c r="F8" s="8" t="n">
        <v>109.5</v>
      </c>
      <c r="G8" s="8" t="n">
        <v>94.09999999999999</v>
      </c>
      <c r="H8" s="8" t="n">
        <v>99.5</v>
      </c>
      <c r="I8" s="8" t="n">
        <v>153.1</v>
      </c>
      <c r="J8" s="8" t="n">
        <v>179.2</v>
      </c>
      <c r="K8" s="8" t="n">
        <v>104.5</v>
      </c>
      <c r="L8" s="8" t="n">
        <v>104.1</v>
      </c>
      <c r="M8" s="8" t="n">
        <v>88.3</v>
      </c>
      <c r="N8" s="8" t="n">
        <v>93.3</v>
      </c>
      <c r="O8" s="8" t="n">
        <v>93.90000000000001</v>
      </c>
      <c r="P8" s="8" t="n">
        <v>91.5</v>
      </c>
      <c r="Q8" s="8" t="n">
        <v>93.59999999999999</v>
      </c>
      <c r="R8" s="8" t="n">
        <v>103.4</v>
      </c>
    </row>
    <row r="9">
      <c r="A9" s="9" t="n">
        <v>1936</v>
      </c>
      <c r="B9" s="8" t="n">
        <v>104.3</v>
      </c>
      <c r="C9" s="8" t="n">
        <v>147.3</v>
      </c>
      <c r="D9" s="8" t="n">
        <v>90.7</v>
      </c>
      <c r="E9" s="8" t="n">
        <v>100.8</v>
      </c>
      <c r="F9" s="8" t="n">
        <v>112.3</v>
      </c>
      <c r="G9" s="8" t="n">
        <v>92.40000000000001</v>
      </c>
      <c r="H9" s="8" t="n">
        <v>103.2</v>
      </c>
      <c r="I9" s="8" t="n">
        <v>157</v>
      </c>
      <c r="J9" s="8" t="n">
        <v>185.7</v>
      </c>
      <c r="K9" s="8" t="n">
        <v>115.8</v>
      </c>
      <c r="L9" s="8" t="n">
        <v>106.5</v>
      </c>
      <c r="M9" s="8" t="n">
        <v>91.8</v>
      </c>
      <c r="N9" s="8" t="n">
        <v>92.8</v>
      </c>
      <c r="O9" s="8" t="n">
        <v>91.2</v>
      </c>
      <c r="P9" s="8" t="n">
        <v>94.7</v>
      </c>
      <c r="Q9" s="8" t="n">
        <v>96</v>
      </c>
      <c r="R9" s="8" t="n">
        <v>106.1</v>
      </c>
    </row>
    <row r="10">
      <c r="A10" s="9" t="n">
        <v>1937</v>
      </c>
      <c r="B10" s="8" t="n">
        <v>117</v>
      </c>
      <c r="C10" s="8" t="n">
        <v>165.4</v>
      </c>
      <c r="D10" s="8" t="n">
        <v>113.3</v>
      </c>
      <c r="E10" s="8" t="n">
        <v>121.4</v>
      </c>
      <c r="F10" s="8" t="n">
        <v>122</v>
      </c>
      <c r="G10" s="8" t="n">
        <v>139.2</v>
      </c>
      <c r="H10" s="8" t="n">
        <v>112</v>
      </c>
      <c r="I10" s="8" t="n">
        <v>178.8</v>
      </c>
      <c r="J10" s="8" t="n">
        <v>202.4</v>
      </c>
      <c r="K10" s="8" t="n">
        <v>134.4</v>
      </c>
      <c r="L10" s="8" t="n">
        <v>112.5</v>
      </c>
      <c r="M10" s="8" t="n">
        <v>106.5</v>
      </c>
      <c r="N10" s="8" t="n">
        <v>161.7</v>
      </c>
      <c r="O10" s="8" t="n">
        <v>106.6</v>
      </c>
      <c r="P10" s="8" t="n">
        <v>98.59999999999999</v>
      </c>
      <c r="Q10" s="8" t="n">
        <v>112.5</v>
      </c>
      <c r="R10" s="8" t="n">
        <v>125.1</v>
      </c>
    </row>
    <row r="11">
      <c r="A11" s="9" t="n">
        <v>1938</v>
      </c>
      <c r="B11" s="8" t="n">
        <v>137.4</v>
      </c>
      <c r="C11" s="8" t="n">
        <v>167.2</v>
      </c>
      <c r="D11" s="8" t="n">
        <v>144</v>
      </c>
      <c r="E11" s="8" t="n">
        <v>147.6</v>
      </c>
      <c r="F11" s="8" t="n">
        <v>141.8</v>
      </c>
      <c r="G11" s="8" t="n">
        <v>174.6</v>
      </c>
      <c r="H11" s="8" t="n">
        <v>141.4</v>
      </c>
      <c r="I11" s="8" t="n">
        <v>185.2</v>
      </c>
      <c r="J11" s="8" t="n">
        <v>202.9</v>
      </c>
      <c r="K11" s="8" t="n">
        <v>141.6</v>
      </c>
      <c r="L11" s="8" t="n">
        <v>124.9</v>
      </c>
      <c r="M11" s="8" t="n">
        <v>151.6</v>
      </c>
      <c r="N11" s="8" t="n">
        <v>211.6</v>
      </c>
      <c r="O11" s="8" t="n">
        <v>128.6</v>
      </c>
      <c r="P11" s="8" t="n">
        <v>106.9</v>
      </c>
      <c r="Q11" s="8" t="n">
        <v>149.5</v>
      </c>
      <c r="R11" s="8" t="n">
        <v>149.6</v>
      </c>
    </row>
    <row r="12">
      <c r="A12" s="9" t="n">
        <v>1939</v>
      </c>
      <c r="B12" s="8" t="n">
        <v>175</v>
      </c>
      <c r="C12" s="8" t="n">
        <v>218.9</v>
      </c>
      <c r="D12" s="8" t="n">
        <v>169.9</v>
      </c>
      <c r="E12" s="8" t="n">
        <v>168</v>
      </c>
      <c r="F12" s="8" t="n">
        <v>191.8</v>
      </c>
      <c r="G12" s="8" t="n">
        <v>163.7</v>
      </c>
      <c r="H12" s="8" t="n">
        <v>171.1</v>
      </c>
      <c r="I12" s="8" t="n">
        <v>253.2</v>
      </c>
      <c r="J12" s="8" t="n">
        <v>271.4</v>
      </c>
      <c r="K12" s="8" t="n">
        <v>195.8</v>
      </c>
      <c r="L12" s="8" t="n">
        <v>155.4</v>
      </c>
      <c r="M12" s="8" t="n">
        <v>191.9</v>
      </c>
      <c r="N12" s="8" t="n">
        <v>155.7</v>
      </c>
      <c r="O12" s="8" t="n">
        <v>166.6</v>
      </c>
      <c r="P12" s="8" t="n">
        <v>129.8</v>
      </c>
      <c r="Q12" s="8" t="n">
        <v>198.8</v>
      </c>
      <c r="R12" s="8" t="n">
        <v>181.3</v>
      </c>
    </row>
    <row r="13">
      <c r="A13" s="9" t="n">
        <v>1940</v>
      </c>
      <c r="B13" s="8" t="n">
        <v>227.7</v>
      </c>
      <c r="C13" s="8" t="n">
        <v>286</v>
      </c>
      <c r="D13" s="8" t="n">
        <v>201.9</v>
      </c>
      <c r="E13" s="8" t="n">
        <v>204.7</v>
      </c>
      <c r="F13" s="8" t="n">
        <v>249.8</v>
      </c>
      <c r="G13" s="8" t="n">
        <v>172.6</v>
      </c>
      <c r="H13" s="8" t="n">
        <v>197.1</v>
      </c>
      <c r="I13" s="8" t="n">
        <v>326.3</v>
      </c>
      <c r="J13" s="8" t="n">
        <v>294.8</v>
      </c>
      <c r="K13" s="8" t="n">
        <v>298.8</v>
      </c>
      <c r="L13" s="8" t="n">
        <v>204.2</v>
      </c>
      <c r="M13" s="8" t="n">
        <v>218.7</v>
      </c>
      <c r="N13" s="8" t="n">
        <v>162.8</v>
      </c>
      <c r="O13" s="8" t="n">
        <v>183.9</v>
      </c>
      <c r="P13" s="8" t="n">
        <v>177.6</v>
      </c>
      <c r="Q13" s="8" t="n">
        <v>295</v>
      </c>
      <c r="R13" s="8" t="n">
        <v>225.7</v>
      </c>
    </row>
    <row r="14">
      <c r="A14" t="inlineStr">
        <is>
          <t>Sept. 1940</t>
        </is>
      </c>
      <c r="B14" s="8" t="n">
        <v>234.1</v>
      </c>
      <c r="C14" s="8" t="n">
        <v>296.2</v>
      </c>
      <c r="D14" s="8" t="n">
        <v>203.3</v>
      </c>
      <c r="E14" s="8" t="n">
        <v>209.8</v>
      </c>
      <c r="F14" s="8" t="n">
        <v>256.8</v>
      </c>
      <c r="G14" s="8" t="n">
        <v>138.3</v>
      </c>
      <c r="H14" s="8" t="n">
        <v>201.2</v>
      </c>
      <c r="I14" s="8" t="n">
        <v>339.2</v>
      </c>
      <c r="J14" s="8" t="n">
        <v>286.3</v>
      </c>
      <c r="K14" s="8" t="n">
        <v>325.9</v>
      </c>
      <c r="L14" s="8" t="n">
        <v>214.8</v>
      </c>
      <c r="M14" s="8" t="n">
        <v>220.4</v>
      </c>
      <c r="N14" s="8" t="n">
        <v>168.8</v>
      </c>
      <c r="O14" s="8" t="n">
        <v>185.5</v>
      </c>
      <c r="P14" s="8" t="n">
        <v>180.1</v>
      </c>
      <c r="Q14" s="8" t="n">
        <v>300.7</v>
      </c>
      <c r="R14" s="8" t="n">
        <v>231.3</v>
      </c>
    </row>
    <row r="15">
      <c r="A15" t="inlineStr">
        <is>
          <t>Sept. 1941</t>
        </is>
      </c>
      <c r="B15" s="8" t="n">
        <v>274.9</v>
      </c>
      <c r="C15" s="8" t="n">
        <v>289.3</v>
      </c>
      <c r="D15" s="8" t="n">
        <v>221.1</v>
      </c>
      <c r="E15" s="8" t="n">
        <v>233.1</v>
      </c>
      <c r="F15" s="8" t="n">
        <v>274.5</v>
      </c>
      <c r="G15" s="8" t="n">
        <v>189</v>
      </c>
      <c r="H15" s="8" t="n">
        <v>241.6</v>
      </c>
      <c r="I15" s="8" t="n">
        <v>300.1</v>
      </c>
      <c r="J15" s="8" t="n">
        <v>337.6</v>
      </c>
      <c r="K15" s="8" t="n">
        <v>235.3</v>
      </c>
      <c r="L15" s="8" t="n">
        <v>248.1</v>
      </c>
      <c r="M15" s="8" t="n">
        <v>249.8</v>
      </c>
      <c r="N15" s="8" t="n">
        <v>174</v>
      </c>
      <c r="O15" s="8" t="n">
        <v>200.8</v>
      </c>
      <c r="P15" s="8" t="n">
        <v>227.8</v>
      </c>
      <c r="Q15" s="8" t="n">
        <v>314.3</v>
      </c>
      <c r="R15" s="8" t="n">
        <v>249.7</v>
      </c>
    </row>
    <row r="17">
      <c r="A17" s="2" t="inlineStr">
        <is>
          <t>Transcriber's notes</t>
        </is>
      </c>
    </row>
    <row r="18">
      <c r="A18" t="inlineStr">
        <is>
          <t>Printed in two blocks on p.272, the second headed '(Continued)' with the same row labels; merged row-by-row.</t>
        </is>
      </c>
    </row>
    <row r="19">
      <c r="A19" t="inlineStr">
        <is>
          <t>Base 1933 = 100.0. No totals printed (indices).</t>
        </is>
      </c>
    </row>
  </sheetData>
  <hyperlinks>
    <hyperlink xmlns:r="http://schemas.openxmlformats.org/officeDocument/2006/relationships" ref="A3" r:id="rId1"/>
  </hyperlink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S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Wholesale Prices of Principal Staple Commodities in Hsinking</t>
        </is>
      </c>
    </row>
    <row r="2">
      <c r="A2" t="inlineStr">
        <is>
          <t>Commerce · printed pp. 272, 273</t>
        </is>
      </c>
    </row>
    <row r="3">
      <c r="A3" t="inlineStr">
        <is>
          <t>(Unit: M¥)</t>
        </is>
      </c>
    </row>
    <row r="4">
      <c r="A4" s="3" t="inlineStr">
        <is>
          <t>← Contents</t>
        </is>
      </c>
    </row>
    <row r="6">
      <c r="A6" s="5" t="inlineStr">
        <is>
          <t>Year</t>
        </is>
      </c>
      <c r="B6" s="5" t="inlineStr">
        <is>
          <t>Rice (koku)</t>
        </is>
      </c>
      <c r="C6" s="5" t="inlineStr">
        <is>
          <t>Wheat (1 lb.)</t>
        </is>
      </c>
      <c r="D6" s="5" t="inlineStr">
        <is>
          <t>Millet (100 kin)</t>
        </is>
      </c>
      <c r="E6" s="5" t="inlineStr">
        <is>
          <t>Wheat flour "3 star" (bag)</t>
        </is>
      </c>
      <c r="F6" s="5" t="inlineStr">
        <is>
          <t>Soya Bean "1st" (100 kin)</t>
        </is>
      </c>
      <c r="G6" s="5" t="inlineStr">
        <is>
          <t>Bean cake (piece)</t>
        </is>
      </c>
      <c r="H6" s="5" t="inlineStr">
        <is>
          <t>Bean Oil (100 kin)</t>
        </is>
      </c>
      <c r="I6" s="5" t="inlineStr">
        <is>
          <t>Kaoliang (100 kin)</t>
        </is>
      </c>
      <c r="J6" s="5" t="inlineStr">
        <is>
          <t>Gunny bag (100)</t>
        </is>
      </c>
      <c r="K6" s="5" t="inlineStr">
        <is>
          <t>Sugar (135 kin)</t>
        </is>
      </c>
      <c r="L6" s="5" t="inlineStr">
        <is>
          <t>Cotton Yarn "20 count" (bale)</t>
        </is>
      </c>
      <c r="M6" s="5" t="inlineStr">
        <is>
          <t>Cement "Onoda" (bag)</t>
        </is>
      </c>
      <c r="N6" s="5" t="inlineStr">
        <is>
          <t>Brick (1,000)</t>
        </is>
      </c>
      <c r="O6" s="5" t="inlineStr">
        <is>
          <t>Iron bar (100 kg.)</t>
        </is>
      </c>
      <c r="P6" s="5" t="inlineStr">
        <is>
          <t>Lumber "Red pine" (1 cubic ft.)</t>
        </is>
      </c>
      <c r="Q6" s="5" t="inlineStr">
        <is>
          <t>Glass "Shoko" (case)</t>
        </is>
      </c>
      <c r="R6" s="5" t="inlineStr">
        <is>
          <t>Gasoline "yellow" (2 cans)</t>
        </is>
      </c>
      <c r="S6" s="5" t="inlineStr">
        <is>
          <t>Coal "Funshun" (ton)</t>
        </is>
      </c>
    </row>
    <row r="7">
      <c r="A7" s="9" t="n">
        <v>1934</v>
      </c>
      <c r="B7" s="11" t="n">
        <v>20.74</v>
      </c>
      <c r="C7" s="11" t="n">
        <v>1.35</v>
      </c>
      <c r="D7" s="11" t="n">
        <v>3.07</v>
      </c>
      <c r="E7" s="11" t="n">
        <v>2.79</v>
      </c>
      <c r="F7" s="11" t="n">
        <v>2.78</v>
      </c>
      <c r="G7" s="11" t="n">
        <v>0.9</v>
      </c>
      <c r="H7" s="11" t="n">
        <v>10.5</v>
      </c>
      <c r="I7" s="11" t="n">
        <v>1.59</v>
      </c>
      <c r="J7" s="11" t="n">
        <v>43.44</v>
      </c>
      <c r="K7" s="11" t="n">
        <v>18.07</v>
      </c>
      <c r="L7" s="11" t="n">
        <v>231.11</v>
      </c>
      <c r="M7" s="11" t="n">
        <v>1.52</v>
      </c>
      <c r="N7" s="11" t="n">
        <v>16.17</v>
      </c>
      <c r="O7" s="11" t="n">
        <v>12.13</v>
      </c>
      <c r="P7" s="11" t="n">
        <v>1.11</v>
      </c>
      <c r="Q7" s="11" t="n">
        <v>8.74</v>
      </c>
      <c r="R7" s="11" t="n">
        <v>9.119999999999999</v>
      </c>
      <c r="S7" s="11" t="n">
        <v>10.42</v>
      </c>
    </row>
    <row r="8">
      <c r="A8" s="9" t="n">
        <v>1935</v>
      </c>
      <c r="B8" s="11" t="n">
        <v>26.57</v>
      </c>
      <c r="C8" s="11" t="n">
        <v>1.42</v>
      </c>
      <c r="D8" s="11" t="n">
        <v>6.58</v>
      </c>
      <c r="E8" s="11" t="n">
        <v>3.3</v>
      </c>
      <c r="F8" s="11" t="n">
        <v>4.27</v>
      </c>
      <c r="G8" s="11" t="n">
        <v>1.32</v>
      </c>
      <c r="H8" s="11" t="n">
        <v>18.02</v>
      </c>
      <c r="I8" s="11" t="n">
        <v>3.84</v>
      </c>
      <c r="J8" s="11" t="n">
        <v>44.66</v>
      </c>
      <c r="K8" s="11" t="n">
        <v>19.03</v>
      </c>
      <c r="L8" s="11" t="n">
        <v>238.11</v>
      </c>
      <c r="M8" s="11" t="n">
        <v>1.56</v>
      </c>
      <c r="N8" s="11" t="n">
        <v>15.83</v>
      </c>
      <c r="O8" s="11" t="n">
        <v>11.82</v>
      </c>
      <c r="P8" s="11" t="n">
        <v>1.09</v>
      </c>
      <c r="Q8" s="11" t="n">
        <v>8.84</v>
      </c>
      <c r="R8" t="inlineStr">
        <is>
          <t>8 76</t>
        </is>
      </c>
      <c r="S8" s="11" t="n">
        <v>10.98</v>
      </c>
    </row>
    <row r="9">
      <c r="A9" s="9" t="n">
        <v>1936</v>
      </c>
      <c r="B9" s="11" t="n">
        <v>25.56</v>
      </c>
      <c r="C9" s="11" t="n">
        <v>1.47</v>
      </c>
      <c r="D9" s="11" t="n">
        <v>7.18</v>
      </c>
      <c r="E9" s="11" t="n">
        <v>3.4</v>
      </c>
      <c r="F9" s="11" t="n">
        <v>5.45</v>
      </c>
      <c r="G9" s="11" t="n">
        <v>1.72</v>
      </c>
      <c r="H9" s="11" t="n">
        <v>22.72</v>
      </c>
      <c r="I9" s="11" t="n">
        <v>3.17</v>
      </c>
      <c r="J9" s="11" t="n">
        <v>42.95</v>
      </c>
      <c r="K9" s="11" t="n">
        <v>19.69</v>
      </c>
      <c r="L9" t="inlineStr">
        <is>
          <t>248,77</t>
        </is>
      </c>
      <c r="M9" s="11" t="n">
        <v>1.45</v>
      </c>
      <c r="N9" s="11" t="n">
        <v>12.45</v>
      </c>
      <c r="O9" s="11" t="n">
        <v>11.82</v>
      </c>
      <c r="P9" s="11" t="n">
        <v>1.29</v>
      </c>
      <c r="Q9" s="11" t="n">
        <v>8.94</v>
      </c>
      <c r="R9" s="11" t="n">
        <v>8.91</v>
      </c>
      <c r="S9" s="11" t="n">
        <v>11.65</v>
      </c>
    </row>
    <row r="10">
      <c r="A10" s="9" t="n">
        <v>1937</v>
      </c>
      <c r="B10" s="11" t="n">
        <v>26.17</v>
      </c>
      <c r="C10" s="11" t="n">
        <v>2.07</v>
      </c>
      <c r="D10" s="11" t="n">
        <v>7.01</v>
      </c>
      <c r="E10" s="11" t="n">
        <v>4.44</v>
      </c>
      <c r="F10" s="11" t="n">
        <v>5.93</v>
      </c>
      <c r="G10" s="11" t="n">
        <v>1.89</v>
      </c>
      <c r="H10" s="11" t="n">
        <v>22.79</v>
      </c>
      <c r="I10" s="11" t="n">
        <v>3.71</v>
      </c>
      <c r="J10" s="11" t="n">
        <v>45.39</v>
      </c>
      <c r="K10" s="11" t="n">
        <v>21.56</v>
      </c>
      <c r="L10" s="11" t="n">
        <v>292.83</v>
      </c>
      <c r="M10" s="11" t="n">
        <v>1.44</v>
      </c>
      <c r="N10" s="11" t="n">
        <v>13.66</v>
      </c>
      <c r="O10" s="11" t="n">
        <v>22.26</v>
      </c>
      <c r="P10" s="11" t="n">
        <v>1.72</v>
      </c>
      <c r="Q10" s="11" t="n">
        <v>10.45</v>
      </c>
      <c r="R10" s="11" t="n">
        <v>9.08</v>
      </c>
      <c r="S10" s="11" t="n">
        <v>11.65</v>
      </c>
    </row>
    <row r="11">
      <c r="A11" s="9" t="n">
        <v>1938</v>
      </c>
      <c r="B11" s="11" t="n">
        <v>32</v>
      </c>
      <c r="C11" s="11" t="n">
        <v>2.68</v>
      </c>
      <c r="D11" s="11" t="n">
        <v>6.99</v>
      </c>
      <c r="E11" s="11" t="n">
        <v>5.61</v>
      </c>
      <c r="F11" s="11" t="n">
        <v>5.65</v>
      </c>
      <c r="G11" s="11" t="n">
        <v>1.85</v>
      </c>
      <c r="H11" s="11" t="n">
        <v>17.59</v>
      </c>
      <c r="I11" s="11" t="n">
        <v>4.17</v>
      </c>
      <c r="J11" s="11" t="n">
        <v>55.93</v>
      </c>
      <c r="K11" s="11" t="n">
        <v>30.94</v>
      </c>
      <c r="L11" s="11" t="n">
        <v>463.86</v>
      </c>
      <c r="M11" s="11" t="n">
        <v>1.53</v>
      </c>
      <c r="N11" s="11" t="n">
        <v>16.13</v>
      </c>
      <c r="O11" s="11" t="n">
        <v>20.46</v>
      </c>
      <c r="P11" s="11" t="n">
        <v>2.63</v>
      </c>
      <c r="Q11" s="11" t="n">
        <v>10.44</v>
      </c>
      <c r="R11" s="11" t="n">
        <v>9.35</v>
      </c>
      <c r="S11" s="11" t="n">
        <v>12.38</v>
      </c>
    </row>
    <row r="12">
      <c r="A12" s="9" t="n">
        <v>1939</v>
      </c>
      <c r="B12" s="11" t="n">
        <v>41.02</v>
      </c>
      <c r="C12" s="11" t="n">
        <v>2.57</v>
      </c>
      <c r="D12" s="11" t="n">
        <v>9.289999999999999</v>
      </c>
      <c r="E12" s="11" t="n">
        <v>6.88</v>
      </c>
      <c r="F12" s="11" t="n">
        <v>7.08</v>
      </c>
      <c r="G12" s="11" t="n">
        <v>2.78</v>
      </c>
      <c r="H12" s="11" t="n">
        <v>18.39</v>
      </c>
      <c r="I12" s="11" t="n">
        <v>5.01</v>
      </c>
      <c r="J12" s="11" t="n">
        <v>100.33</v>
      </c>
      <c r="K12" s="11" t="n">
        <v>41.06</v>
      </c>
      <c r="L12" s="11" t="n">
        <v>451.38</v>
      </c>
      <c r="M12" s="11" t="n">
        <v>1.66</v>
      </c>
      <c r="N12" s="11" t="n">
        <v>22.99</v>
      </c>
      <c r="O12" s="11" t="n">
        <v>20.2</v>
      </c>
      <c r="P12" t="inlineStr">
        <is>
          <t>3,24</t>
        </is>
      </c>
      <c r="Q12" s="11" t="n">
        <v>13.15</v>
      </c>
      <c r="R12" s="11" t="n">
        <v>9.84</v>
      </c>
      <c r="S12" s="11" t="n">
        <v>13.38</v>
      </c>
    </row>
    <row r="13">
      <c r="A13" t="inlineStr">
        <is>
          <t>Sept. 1940</t>
        </is>
      </c>
      <c r="B13" s="11" t="n">
        <v>51.07</v>
      </c>
      <c r="C13" s="11" t="n">
        <v>3.21</v>
      </c>
      <c r="D13" s="11" t="n">
        <v>10.18</v>
      </c>
      <c r="E13" s="11" t="n">
        <v>8.09</v>
      </c>
      <c r="F13" s="11" t="n">
        <v>7.69</v>
      </c>
      <c r="G13" s="11" t="n">
        <v>2.45</v>
      </c>
      <c r="H13" s="11" t="n">
        <v>24</v>
      </c>
      <c r="I13" s="11" t="n">
        <v>5.88</v>
      </c>
      <c r="J13" s="11" t="n">
        <v>150</v>
      </c>
      <c r="K13" s="11" t="n">
        <v>43.65</v>
      </c>
      <c r="L13" s="11" t="n">
        <v>400</v>
      </c>
      <c r="M13" s="11" t="n">
        <v>1.8</v>
      </c>
      <c r="N13" s="11" t="n">
        <v>24</v>
      </c>
      <c r="O13" s="11" t="n">
        <v>24.75</v>
      </c>
      <c r="P13" s="11" t="n">
        <v>3.02</v>
      </c>
      <c r="Q13" s="11" t="n">
        <v>15.6</v>
      </c>
      <c r="R13" s="11" t="n">
        <v>9.85</v>
      </c>
      <c r="S13" s="11" t="n">
        <v>18.75</v>
      </c>
    </row>
    <row r="14">
      <c r="A14" t="inlineStr">
        <is>
          <t>Sept. 1941</t>
        </is>
      </c>
      <c r="B14" s="11" t="n">
        <v>52.7</v>
      </c>
      <c r="C14" s="11" t="n">
        <v>4.21</v>
      </c>
      <c r="D14" s="11" t="n">
        <v>11.38</v>
      </c>
      <c r="E14" s="11" t="n">
        <v>9.380000000000001</v>
      </c>
      <c r="F14" s="11" t="n">
        <v>7.01</v>
      </c>
      <c r="G14" s="11" t="n">
        <v>3.52</v>
      </c>
      <c r="H14" s="11" t="n">
        <v>33</v>
      </c>
      <c r="I14" s="11" t="n">
        <v>6.7</v>
      </c>
      <c r="J14" t="inlineStr"/>
      <c r="K14" s="11" t="n">
        <v>51.71</v>
      </c>
      <c r="L14" s="11" t="n">
        <v>492</v>
      </c>
      <c r="M14" s="11" t="n">
        <v>1.94</v>
      </c>
      <c r="N14" s="11" t="n">
        <v>24</v>
      </c>
      <c r="O14" s="11" t="n">
        <v>24.95</v>
      </c>
      <c r="P14" s="11" t="n">
        <v>3.02</v>
      </c>
      <c r="Q14" s="11" t="n">
        <v>15.6</v>
      </c>
      <c r="R14" s="11" t="n">
        <v>12.38</v>
      </c>
      <c r="S14" s="11" t="n">
        <v>18.75</v>
      </c>
    </row>
    <row r="16">
      <c r="A16" s="2" t="inlineStr">
        <is>
          <t>Transcriber's notes</t>
        </is>
      </c>
    </row>
    <row r="17">
      <c r="A17" t="inlineStr">
        <is>
          <t>First block (Rice–Gunny bag) on p.272; second block (Sugar–Coal) on p.273 headed '(Continued)'; merged on the shared year rows.</t>
        </is>
      </c>
    </row>
    <row r="18">
      <c r="A18" t="inlineStr">
        <is>
          <t>On p.273 the Cement–Coal figures are printed about one line above the Sugar/Cotton figures and year labels (the header row is set low); aligned by order (8 figure rows to 8 years).</t>
        </is>
      </c>
    </row>
    <row r="19">
      <c r="A19" t="inlineStr">
        <is>
          <t>Gunny bag column is printed into the binding gutter. Sept. 1941 value: '150.0' visible, final digit lost in the gutter — left blank. Sept. 1940 read as 150.00 (last digit partly in gutter).</t>
        </is>
      </c>
    </row>
    <row r="20">
      <c r="A20" t="inlineStr">
        <is>
          <t>Printed with comma/space for decimal point: Cotton Yarn 1936 '248,77', Lumber 1939 '3,24', Gasoline 1935 '8 76'; transcribed as printed.</t>
        </is>
      </c>
    </row>
    <row r="21">
      <c r="A21" t="inlineStr">
        <is>
          <t>No totals printed.</t>
        </is>
      </c>
    </row>
  </sheetData>
  <hyperlinks>
    <hyperlink xmlns:r="http://schemas.openxmlformats.org/officeDocument/2006/relationships" ref="A4" r:id="rId1"/>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M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Movements of Paid-up Capital</t>
        </is>
      </c>
    </row>
    <row r="2">
      <c r="A2" t="inlineStr">
        <is>
          <t>Commerce · printed pp. 274</t>
        </is>
      </c>
    </row>
    <row r="3">
      <c r="A3" t="inlineStr">
        <is>
          <t>(Unit: Amount in One Million M¥)</t>
        </is>
      </c>
    </row>
    <row r="4">
      <c r="A4" s="3" t="inlineStr">
        <is>
          <t>← Contents</t>
        </is>
      </c>
    </row>
    <row r="6">
      <c r="A6" s="5" t="inlineStr">
        <is>
          <t>Year</t>
        </is>
      </c>
      <c r="B6" s="5" t="inlineStr">
        <is>
          <t>Newly Established — Firms</t>
        </is>
      </c>
      <c r="C6" s="5" t="inlineStr">
        <is>
          <t>Newly Established — Amount</t>
        </is>
      </c>
      <c r="D6" s="5" t="inlineStr">
        <is>
          <t>Newly Increased — Firms</t>
        </is>
      </c>
      <c r="E6" s="5" t="inlineStr">
        <is>
          <t>Newly Increased — Amount</t>
        </is>
      </c>
      <c r="F6" s="5" t="inlineStr">
        <is>
          <t>Newly Paid-up — Firms</t>
        </is>
      </c>
      <c r="G6" s="5" t="inlineStr">
        <is>
          <t>Newly Paid-up — Amount</t>
        </is>
      </c>
      <c r="H6" s="5" t="inlineStr">
        <is>
          <t>Decreased — Firms</t>
        </is>
      </c>
      <c r="I6" s="5" t="inlineStr">
        <is>
          <t>Decreased — Amount</t>
        </is>
      </c>
      <c r="J6" s="5" t="inlineStr">
        <is>
          <t>Dissolved — Firms</t>
        </is>
      </c>
      <c r="K6" s="5" t="inlineStr">
        <is>
          <t>Dissolved — Amount</t>
        </is>
      </c>
      <c r="L6" s="5" t="inlineStr">
        <is>
          <t>Outstanding — Firms</t>
        </is>
      </c>
      <c r="M6" s="5" t="inlineStr">
        <is>
          <t>Outstanding — Amount</t>
        </is>
      </c>
    </row>
    <row r="7">
      <c r="A7" s="9" t="n">
        <v>1935</v>
      </c>
      <c r="B7" s="9" t="n">
        <v>358</v>
      </c>
      <c r="C7" s="8" t="n">
        <v>72</v>
      </c>
      <c r="D7" s="9" t="n">
        <v>43</v>
      </c>
      <c r="E7" s="8" t="n">
        <v>5.9</v>
      </c>
      <c r="F7" s="9" t="n">
        <v>33</v>
      </c>
      <c r="G7" s="8" t="n">
        <v>56.2</v>
      </c>
      <c r="H7" s="9" t="n">
        <v>13</v>
      </c>
      <c r="I7" s="8" t="n">
        <v>3.6</v>
      </c>
      <c r="J7" s="9" t="n">
        <v>93</v>
      </c>
      <c r="K7" s="8" t="n">
        <v>6.3</v>
      </c>
      <c r="L7" s="6" t="n">
        <v>2380</v>
      </c>
      <c r="M7" s="7" t="n">
        <v>1294.3</v>
      </c>
    </row>
    <row r="8">
      <c r="A8" s="9" t="n">
        <v>1936</v>
      </c>
      <c r="B8" s="9" t="n">
        <v>587</v>
      </c>
      <c r="C8" s="8" t="n">
        <v>186.3</v>
      </c>
      <c r="D8" s="9" t="n">
        <v>49</v>
      </c>
      <c r="E8" s="8" t="n">
        <v>15.9</v>
      </c>
      <c r="F8" s="9" t="n">
        <v>40</v>
      </c>
      <c r="G8" s="8" t="n">
        <v>51.6</v>
      </c>
      <c r="H8" s="9" t="n">
        <v>19</v>
      </c>
      <c r="I8" s="8" t="n">
        <v>19.7</v>
      </c>
      <c r="J8" s="9" t="n">
        <v>131</v>
      </c>
      <c r="K8" s="8" t="n">
        <v>24</v>
      </c>
      <c r="L8" s="6" t="n">
        <v>2836</v>
      </c>
      <c r="M8" s="7" t="n">
        <v>1505.6</v>
      </c>
    </row>
    <row r="9">
      <c r="A9" s="9" t="n">
        <v>1937</v>
      </c>
      <c r="B9" s="9" t="n">
        <v>686</v>
      </c>
      <c r="C9" s="8" t="n">
        <v>374.5</v>
      </c>
      <c r="D9" s="9" t="n">
        <v>96</v>
      </c>
      <c r="E9" s="8" t="n">
        <v>202.7</v>
      </c>
      <c r="F9" s="9" t="n">
        <v>65</v>
      </c>
      <c r="G9" s="8" t="n">
        <v>64.09999999999999</v>
      </c>
      <c r="H9" s="9" t="n">
        <v>11</v>
      </c>
      <c r="I9" s="8" t="n">
        <v>2.7</v>
      </c>
      <c r="J9" s="9" t="n">
        <v>140</v>
      </c>
      <c r="K9" s="8" t="n">
        <v>20</v>
      </c>
      <c r="L9" s="6" t="n">
        <v>3382</v>
      </c>
      <c r="M9" s="7" t="n">
        <v>2182.3</v>
      </c>
    </row>
    <row r="10">
      <c r="A10" s="9" t="n">
        <v>1938</v>
      </c>
      <c r="B10" s="6" t="n">
        <v>1015</v>
      </c>
      <c r="C10" s="8" t="n">
        <v>186.6</v>
      </c>
      <c r="D10" s="9" t="n">
        <v>171</v>
      </c>
      <c r="E10" s="8" t="n">
        <v>113.5</v>
      </c>
      <c r="F10" s="9" t="n">
        <v>137</v>
      </c>
      <c r="G10" s="8" t="n">
        <v>226.4</v>
      </c>
      <c r="H10" s="9" t="n">
        <v>5</v>
      </c>
      <c r="I10" s="8" t="n">
        <v>0.3</v>
      </c>
      <c r="J10" s="9" t="n">
        <v>174</v>
      </c>
      <c r="K10" s="8" t="n">
        <v>29.7</v>
      </c>
      <c r="L10" s="6" t="n">
        <v>4223</v>
      </c>
      <c r="M10" s="7" t="n">
        <v>2678.9</v>
      </c>
    </row>
    <row r="11">
      <c r="A11" s="9" t="n">
        <v>1939</v>
      </c>
      <c r="B11" s="9" t="n">
        <v>842</v>
      </c>
      <c r="C11" s="8" t="n">
        <v>180.1</v>
      </c>
      <c r="D11" s="9" t="n">
        <v>440</v>
      </c>
      <c r="E11" s="8" t="n">
        <v>247</v>
      </c>
      <c r="F11" s="9" t="n">
        <v>229</v>
      </c>
      <c r="G11" s="8" t="n">
        <v>468.6</v>
      </c>
      <c r="H11" s="9" t="n">
        <v>2</v>
      </c>
      <c r="I11" s="8" t="n">
        <v>0</v>
      </c>
      <c r="J11" s="9" t="n">
        <v>179</v>
      </c>
      <c r="K11" s="8" t="n">
        <v>23.2</v>
      </c>
      <c r="L11" s="6" t="n">
        <v>4886</v>
      </c>
      <c r="M11" s="7" t="n">
        <v>3551.3</v>
      </c>
    </row>
    <row r="12">
      <c r="A12" t="inlineStr">
        <is>
          <t>1940 (Jan.-Sept.)</t>
        </is>
      </c>
      <c r="B12" s="9" t="n">
        <v>312</v>
      </c>
      <c r="C12" s="8" t="n">
        <v>80.59999999999999</v>
      </c>
      <c r="D12" s="9" t="n">
        <v>195</v>
      </c>
      <c r="E12" s="8" t="n">
        <v>129.8</v>
      </c>
      <c r="F12" s="9" t="n">
        <v>96</v>
      </c>
      <c r="G12" s="8" t="n">
        <v>221.2</v>
      </c>
      <c r="H12" s="9" t="n">
        <v>3</v>
      </c>
      <c r="I12" s="8" t="n">
        <v>0.4</v>
      </c>
      <c r="J12" s="9" t="n">
        <v>185</v>
      </c>
      <c r="K12" s="8" t="n">
        <v>7.5</v>
      </c>
      <c r="L12" s="6" t="n">
        <v>5008</v>
      </c>
      <c r="M12" s="7" t="n">
        <v>3974.9</v>
      </c>
    </row>
    <row r="14">
      <c r="A14" s="2" t="inlineStr">
        <is>
          <t>Transcriber's notes</t>
        </is>
      </c>
    </row>
    <row r="15">
      <c r="A15" t="inlineStr">
        <is>
          <t>Printed in two blocks with the same year rows; merged.</t>
        </is>
      </c>
    </row>
    <row r="16">
      <c r="A16" t="inlineStr">
        <is>
          <t>No printed totals. Informal roll-forward check (not a printed total; approximate relationships only):</t>
        </is>
      </c>
    </row>
    <row r="17">
      <c r="A17" t="inlineStr">
        <is>
          <t>1936: prev Outstanding + newly established − dissolved = 2,836 firms (printed 2,836); prev Outstanding amount + established + increased + paid-up − decreased − dissolved = 1,504.4 (printed 1,505.6)</t>
        </is>
      </c>
    </row>
    <row r="18">
      <c r="A18" t="inlineStr">
        <is>
          <t>1937: prev Outstanding + newly established − dissolved = 3,382 firms (printed 3,382); prev Outstanding amount + established + increased + paid-up − decreased − dissolved = 2,124.2 (printed 2,182.3)</t>
        </is>
      </c>
    </row>
    <row r="19">
      <c r="A19" t="inlineStr">
        <is>
          <t>1938: prev Outstanding + newly established − dissolved = 4,223 firms (printed 4,223); prev Outstanding amount + established + increased + paid-up − decreased − dissolved = 2,678.8 (printed 2,678.9)</t>
        </is>
      </c>
    </row>
    <row r="20">
      <c r="A20" t="inlineStr">
        <is>
          <t>1939: prev Outstanding + newly established − dissolved = 4,886 firms (printed 4,886); prev Outstanding amount + established + increased + paid-up − decreased − dissolved = 3,551.4 (printed 3,551.3)</t>
        </is>
      </c>
    </row>
    <row r="21">
      <c r="A21" t="inlineStr">
        <is>
          <t>1940 (Jan.-Sept.): prev Outstanding + newly established − dissolved = 5,013 firms (printed 5,008); prev Outstanding amount + established + increased + paid-up − decreased − dissolved = 3,975.0 (printed 3,974.9)</t>
        </is>
      </c>
    </row>
  </sheetData>
  <hyperlinks>
    <hyperlink xmlns:r="http://schemas.openxmlformats.org/officeDocument/2006/relationships" ref="A4" r:id="rId1"/>
  </hyperlink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11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Companies Classified by Industries</t>
        </is>
      </c>
    </row>
    <row r="2">
      <c r="A2" t="inlineStr">
        <is>
          <t>Commerce · printed pp. 274, 275, 276</t>
        </is>
      </c>
    </row>
    <row r="3">
      <c r="A3" t="inlineStr">
        <is>
          <t>(Amount in 1,000) (As in September, 1940)</t>
        </is>
      </c>
    </row>
    <row r="4">
      <c r="A4" s="3" t="inlineStr">
        <is>
          <t>← Contents</t>
        </is>
      </c>
    </row>
    <row r="6">
      <c r="A6" s="5" t="inlineStr">
        <is>
          <t>Industries</t>
        </is>
      </c>
      <c r="B6" s="5" t="inlineStr">
        <is>
          <t>Joint Stock Cos. — No. of Cos.</t>
        </is>
      </c>
      <c r="C6" s="5" t="inlineStr">
        <is>
          <t>Joint Stock Cos. — Capital — Authorized</t>
        </is>
      </c>
      <c r="D6" s="5" t="inlineStr">
        <is>
          <t>Joint Stock Cos. — Capital — Paid-up</t>
        </is>
      </c>
      <c r="E6" s="5" t="inlineStr">
        <is>
          <t>Unlimited Partnership — No. of Cos.</t>
        </is>
      </c>
      <c r="F6" s="5" t="inlineStr">
        <is>
          <t>Unlimited Partnership — Capital</t>
        </is>
      </c>
      <c r="G6" s="5" t="inlineStr">
        <is>
          <t>Limited Partnership — No. of Cos.</t>
        </is>
      </c>
      <c r="H6" s="5" t="inlineStr">
        <is>
          <t>Limited Partnership — Capital</t>
        </is>
      </c>
      <c r="I6" s="5" t="inlineStr">
        <is>
          <t>All Companies — No. of Cos.</t>
        </is>
      </c>
      <c r="J6" s="5" t="inlineStr">
        <is>
          <t>All Companies — Capital</t>
        </is>
      </c>
      <c r="K6" s="5" t="inlineStr">
        <is>
          <t>All Companies — % No.</t>
        </is>
      </c>
      <c r="L6" s="5" t="inlineStr">
        <is>
          <t>All Companies — % Capital</t>
        </is>
      </c>
    </row>
    <row r="7">
      <c r="A7" t="inlineStr">
        <is>
          <t>Financing</t>
        </is>
      </c>
      <c r="B7" s="9" t="n">
        <v>129</v>
      </c>
      <c r="C7" s="6" t="n">
        <v>631780</v>
      </c>
      <c r="D7" s="6" t="n">
        <v>550871</v>
      </c>
      <c r="E7" s="9" t="n">
        <v>15</v>
      </c>
      <c r="F7" s="9" t="n">
        <v>684</v>
      </c>
      <c r="G7" s="9" t="n">
        <v>40</v>
      </c>
      <c r="H7" s="6" t="n">
        <v>1012</v>
      </c>
      <c r="I7" s="9" t="n">
        <v>184</v>
      </c>
      <c r="J7" s="6" t="n">
        <v>633477</v>
      </c>
      <c r="K7" s="11" t="n">
        <v>3.35</v>
      </c>
      <c r="L7" s="11" t="n">
        <v>9.66</v>
      </c>
    </row>
    <row r="8">
      <c r="A8" t="inlineStr">
        <is>
          <t>Insurance</t>
        </is>
      </c>
      <c r="B8" s="9" t="n">
        <v>3</v>
      </c>
      <c r="C8" s="6" t="n">
        <v>8100</v>
      </c>
      <c r="D8" s="6" t="n">
        <v>2775</v>
      </c>
      <c r="E8" t="inlineStr">
        <is>
          <t>—</t>
        </is>
      </c>
      <c r="F8" t="inlineStr">
        <is>
          <t>—</t>
        </is>
      </c>
      <c r="G8" t="inlineStr">
        <is>
          <t>—</t>
        </is>
      </c>
      <c r="H8" t="inlineStr">
        <is>
          <t>—</t>
        </is>
      </c>
      <c r="I8" s="9" t="n">
        <v>3</v>
      </c>
      <c r="J8" s="6" t="n">
        <v>8100</v>
      </c>
      <c r="K8" s="11" t="n">
        <v>0.05</v>
      </c>
      <c r="L8" s="11" t="n">
        <v>0.13</v>
      </c>
    </row>
    <row r="9">
      <c r="A9" t="inlineStr">
        <is>
          <t>Warehousing</t>
        </is>
      </c>
      <c r="B9" s="9" t="n">
        <v>16</v>
      </c>
      <c r="C9" s="6" t="n">
        <v>5805</v>
      </c>
      <c r="D9" s="6" t="n">
        <v>2375</v>
      </c>
      <c r="E9" s="9" t="n">
        <v>2</v>
      </c>
      <c r="F9" s="9" t="n">
        <v>115</v>
      </c>
      <c r="G9" s="9" t="n">
        <v>8</v>
      </c>
      <c r="H9" s="9" t="n">
        <v>450</v>
      </c>
      <c r="I9" s="9" t="n">
        <v>26</v>
      </c>
      <c r="J9" s="6" t="n">
        <v>6370</v>
      </c>
      <c r="K9" s="11" t="n">
        <v>0.47</v>
      </c>
      <c r="L9" s="11" t="n">
        <v>0.09</v>
      </c>
    </row>
    <row r="10">
      <c r="A10" t="inlineStr">
        <is>
          <t>Market &amp; Exchange</t>
        </is>
      </c>
      <c r="B10" s="9" t="n">
        <v>22</v>
      </c>
      <c r="C10" s="6" t="n">
        <v>24247</v>
      </c>
      <c r="D10" s="6" t="n">
        <v>9508</v>
      </c>
      <c r="E10" t="inlineStr">
        <is>
          <t>—</t>
        </is>
      </c>
      <c r="F10" t="inlineStr">
        <is>
          <t>—</t>
        </is>
      </c>
      <c r="G10" s="9" t="n">
        <v>2</v>
      </c>
      <c r="H10" s="9" t="n">
        <v>30</v>
      </c>
      <c r="I10" s="9" t="n">
        <v>24</v>
      </c>
      <c r="J10" s="6" t="n">
        <v>24277</v>
      </c>
      <c r="K10" s="11" t="n">
        <v>0.44</v>
      </c>
      <c r="L10" s="11" t="n">
        <v>0.37</v>
      </c>
    </row>
    <row r="11">
      <c r="A11" t="inlineStr">
        <is>
          <t>Commercial &amp; Foreign Trade</t>
        </is>
      </c>
      <c r="B11" s="9" t="n">
        <v>476</v>
      </c>
      <c r="C11" s="6" t="n">
        <v>448213</v>
      </c>
      <c r="D11" s="6" t="n">
        <v>262045</v>
      </c>
      <c r="E11" s="9" t="n">
        <v>942</v>
      </c>
      <c r="F11" s="6" t="n">
        <v>56589</v>
      </c>
      <c r="G11" s="6" t="n">
        <v>1118</v>
      </c>
      <c r="H11" s="6" t="n">
        <v>47641</v>
      </c>
      <c r="I11" s="6" t="n">
        <v>2536</v>
      </c>
      <c r="J11" s="6" t="n">
        <v>552440</v>
      </c>
      <c r="K11" s="11" t="n">
        <v>46.3</v>
      </c>
      <c r="L11" s="11" t="n">
        <v>8.43</v>
      </c>
    </row>
    <row r="12">
      <c r="A12" t="inlineStr">
        <is>
          <t>Traffic &amp; Express</t>
        </is>
      </c>
      <c r="B12" s="9" t="n">
        <v>79</v>
      </c>
      <c r="C12" s="6" t="n">
        <v>1039494</v>
      </c>
      <c r="D12" s="6" t="n">
        <v>913387</v>
      </c>
      <c r="E12" s="9" t="n">
        <v>31</v>
      </c>
      <c r="F12" s="6" t="n">
        <v>2616</v>
      </c>
      <c r="G12" s="9" t="n">
        <v>72</v>
      </c>
      <c r="H12" s="6" t="n">
        <v>3884</v>
      </c>
      <c r="I12" s="9" t="n">
        <v>182</v>
      </c>
      <c r="J12" s="6" t="n">
        <v>1045995</v>
      </c>
      <c r="K12" s="11" t="n">
        <v>3.32</v>
      </c>
      <c r="L12" s="11" t="n">
        <v>15.96</v>
      </c>
    </row>
    <row r="13">
      <c r="A13" t="inlineStr">
        <is>
          <t>Colonization &amp; Real Estate</t>
        </is>
      </c>
      <c r="B13" s="9" t="n">
        <v>94</v>
      </c>
      <c r="C13" s="6" t="n">
        <v>194797</v>
      </c>
      <c r="D13" s="6" t="n">
        <v>113949</v>
      </c>
      <c r="E13" s="9" t="n">
        <v>35</v>
      </c>
      <c r="F13" s="6" t="n">
        <v>15236</v>
      </c>
      <c r="G13" s="9" t="n">
        <v>74</v>
      </c>
      <c r="H13" s="6" t="n">
        <v>4987</v>
      </c>
      <c r="I13" s="9" t="n">
        <v>203</v>
      </c>
      <c r="J13" s="6" t="n">
        <v>215021</v>
      </c>
      <c r="K13" s="11" t="n">
        <v>3.71</v>
      </c>
      <c r="L13" s="11" t="n">
        <v>3.28</v>
      </c>
    </row>
    <row r="14">
      <c r="A14" t="inlineStr">
        <is>
          <t>Civil Engineering &amp; Architecture</t>
        </is>
      </c>
      <c r="B14" s="9" t="n">
        <v>74</v>
      </c>
      <c r="C14" s="6" t="n">
        <v>84598</v>
      </c>
      <c r="D14" s="6" t="n">
        <v>56857</v>
      </c>
      <c r="E14" s="9" t="n">
        <v>49</v>
      </c>
      <c r="F14" s="6" t="n">
        <v>4956</v>
      </c>
      <c r="G14" s="9" t="n">
        <v>211</v>
      </c>
      <c r="H14" s="6" t="n">
        <v>20357</v>
      </c>
      <c r="I14" s="9" t="n">
        <v>334</v>
      </c>
      <c r="J14" s="6" t="n">
        <v>109912</v>
      </c>
      <c r="K14" s="11" t="n">
        <v>6.1</v>
      </c>
      <c r="L14" s="11" t="n">
        <v>1.68</v>
      </c>
    </row>
    <row r="15">
      <c r="A15" t="inlineStr">
        <is>
          <t>Agriculture</t>
        </is>
      </c>
      <c r="B15" s="9" t="n">
        <v>27</v>
      </c>
      <c r="C15" s="6" t="n">
        <v>74690</v>
      </c>
      <c r="D15" s="6" t="n">
        <v>25097</v>
      </c>
      <c r="E15" s="9" t="n">
        <v>9</v>
      </c>
      <c r="F15" s="9" t="n">
        <v>686</v>
      </c>
      <c r="G15" s="9" t="n">
        <v>26</v>
      </c>
      <c r="H15" s="6" t="n">
        <v>1678</v>
      </c>
      <c r="I15" s="9" t="n">
        <v>62</v>
      </c>
      <c r="J15" s="6" t="n">
        <v>77055</v>
      </c>
      <c r="K15" s="11" t="n">
        <v>1.13</v>
      </c>
      <c r="L15" s="11" t="n">
        <v>1.18</v>
      </c>
    </row>
    <row r="16">
      <c r="A16" t="inlineStr">
        <is>
          <t>Forestry</t>
        </is>
      </c>
      <c r="B16" s="9" t="n">
        <v>36</v>
      </c>
      <c r="C16" s="6" t="n">
        <v>53453</v>
      </c>
      <c r="D16" s="6" t="n">
        <v>33444</v>
      </c>
      <c r="E16" s="9" t="n">
        <v>7</v>
      </c>
      <c r="F16" s="9" t="n">
        <v>678</v>
      </c>
      <c r="G16" s="9" t="n">
        <v>23</v>
      </c>
      <c r="H16" s="6" t="n">
        <v>2684</v>
      </c>
      <c r="I16" s="9" t="n">
        <v>66</v>
      </c>
      <c r="J16" s="6" t="n">
        <v>56815</v>
      </c>
      <c r="K16" s="11" t="n">
        <v>1.13</v>
      </c>
      <c r="L16" s="11" t="n">
        <v>0.87</v>
      </c>
    </row>
    <row r="17">
      <c r="A17" t="inlineStr">
        <is>
          <t>Livestock</t>
        </is>
      </c>
      <c r="B17" s="9" t="n">
        <v>17</v>
      </c>
      <c r="C17" s="6" t="n">
        <v>7558</v>
      </c>
      <c r="D17" s="6" t="n">
        <v>3924</v>
      </c>
      <c r="E17" s="9" t="n">
        <v>4</v>
      </c>
      <c r="F17" s="9" t="n">
        <v>36</v>
      </c>
      <c r="G17" s="9" t="n">
        <v>11</v>
      </c>
      <c r="H17" s="9" t="n">
        <v>646</v>
      </c>
      <c r="I17" s="9" t="n">
        <v>32</v>
      </c>
      <c r="J17" s="6" t="n">
        <v>8240</v>
      </c>
      <c r="K17" s="11" t="n">
        <v>0.58</v>
      </c>
      <c r="L17" s="11" t="n">
        <v>0.13</v>
      </c>
    </row>
    <row r="18">
      <c r="A18" t="inlineStr">
        <is>
          <t>Fishery</t>
        </is>
      </c>
      <c r="B18" s="9" t="n">
        <v>9</v>
      </c>
      <c r="C18" s="6" t="n">
        <v>21100</v>
      </c>
      <c r="D18" s="6" t="n">
        <v>15675</v>
      </c>
      <c r="E18" s="9" t="n">
        <v>1</v>
      </c>
      <c r="F18" s="9" t="n">
        <v>30</v>
      </c>
      <c r="G18" s="9" t="n">
        <v>7</v>
      </c>
      <c r="H18" s="9" t="n">
        <v>426</v>
      </c>
      <c r="I18" s="9" t="n">
        <v>17</v>
      </c>
      <c r="J18" s="6" t="n">
        <v>21556</v>
      </c>
      <c r="K18" s="11" t="n">
        <v>0.31</v>
      </c>
      <c r="L18" s="11" t="n">
        <v>0.33</v>
      </c>
    </row>
    <row r="19">
      <c r="A19" t="inlineStr">
        <is>
          <t>Mining</t>
        </is>
      </c>
      <c r="B19" s="9" t="n">
        <v>65</v>
      </c>
      <c r="C19" s="6" t="n">
        <v>860280</v>
      </c>
      <c r="D19" s="6" t="n">
        <v>742609</v>
      </c>
      <c r="E19" s="9" t="n">
        <v>18</v>
      </c>
      <c r="F19" s="6" t="n">
        <v>1084</v>
      </c>
      <c r="G19" s="9" t="n">
        <v>54</v>
      </c>
      <c r="H19" s="6" t="n">
        <v>4441</v>
      </c>
      <c r="I19" s="9" t="n">
        <v>137</v>
      </c>
      <c r="J19" s="6" t="n">
        <v>865805</v>
      </c>
      <c r="K19" s="11" t="n">
        <v>2.5</v>
      </c>
      <c r="L19" s="11" t="n">
        <v>13.21</v>
      </c>
    </row>
    <row r="20">
      <c r="A20" t="inlineStr">
        <is>
          <t>Metallic</t>
        </is>
      </c>
      <c r="B20" s="9" t="n">
        <v>61</v>
      </c>
      <c r="C20" s="6" t="n">
        <v>455052</v>
      </c>
      <c r="D20" s="6" t="n">
        <v>415514</v>
      </c>
      <c r="E20" s="9" t="n">
        <v>11</v>
      </c>
      <c r="F20" s="9" t="n">
        <v>827</v>
      </c>
      <c r="G20" s="9" t="n">
        <v>26</v>
      </c>
      <c r="H20" s="6" t="n">
        <v>2603</v>
      </c>
      <c r="I20" s="9" t="n">
        <v>98</v>
      </c>
      <c r="J20" s="6" t="n">
        <v>458482</v>
      </c>
      <c r="K20" s="11" t="n">
        <v>1.72</v>
      </c>
      <c r="L20" s="11" t="n">
        <v>6.99</v>
      </c>
    </row>
    <row r="21">
      <c r="A21" t="inlineStr">
        <is>
          <t>Machine &amp; Tools</t>
        </is>
      </c>
      <c r="B21" s="9" t="n">
        <v>118</v>
      </c>
      <c r="C21" s="6" t="n">
        <v>564173</v>
      </c>
      <c r="D21" s="6" t="n">
        <v>272635</v>
      </c>
      <c r="E21" s="9" t="n">
        <v>27</v>
      </c>
      <c r="F21" s="6" t="n">
        <v>1957</v>
      </c>
      <c r="G21" s="9" t="n">
        <v>64</v>
      </c>
      <c r="H21" s="6" t="n">
        <v>20921</v>
      </c>
      <c r="I21" s="9" t="n">
        <v>209</v>
      </c>
      <c r="J21" s="6" t="n">
        <v>587051</v>
      </c>
      <c r="K21" s="11" t="n">
        <v>3.82</v>
      </c>
      <c r="L21" s="11" t="n">
        <v>8.960000000000001</v>
      </c>
    </row>
    <row r="22">
      <c r="A22" t="inlineStr">
        <is>
          <t>Electric &amp; Gas</t>
        </is>
      </c>
      <c r="B22" s="9" t="n">
        <v>27</v>
      </c>
      <c r="C22" s="6" t="n">
        <v>236050</v>
      </c>
      <c r="D22" s="6" t="n">
        <v>211507</v>
      </c>
      <c r="E22" s="9" t="n">
        <v>3</v>
      </c>
      <c r="F22" s="9" t="n">
        <v>147</v>
      </c>
      <c r="G22" s="9" t="n">
        <v>6</v>
      </c>
      <c r="H22" s="9" t="n">
        <v>527</v>
      </c>
      <c r="I22" s="9" t="n">
        <v>36</v>
      </c>
      <c r="J22" s="6" t="n">
        <v>236720</v>
      </c>
      <c r="K22" s="11" t="n">
        <v>0.66</v>
      </c>
      <c r="L22" s="11" t="n">
        <v>3.61</v>
      </c>
    </row>
    <row r="23">
      <c r="A23" t="inlineStr">
        <is>
          <t>Chemical</t>
        </is>
      </c>
      <c r="B23" s="9" t="n">
        <v>130</v>
      </c>
      <c r="C23" s="6" t="n">
        <v>1072785</v>
      </c>
      <c r="D23" s="6" t="n">
        <v>795640</v>
      </c>
      <c r="E23" s="9" t="n">
        <v>34</v>
      </c>
      <c r="F23" s="6" t="n">
        <v>1280</v>
      </c>
      <c r="G23" s="9" t="n">
        <v>64</v>
      </c>
      <c r="H23" s="6" t="n">
        <v>9368</v>
      </c>
      <c r="I23" s="9" t="n">
        <v>228</v>
      </c>
      <c r="J23" s="6" t="n">
        <v>1083434</v>
      </c>
      <c r="K23" s="11" t="n">
        <v>4.16</v>
      </c>
      <c r="L23" s="11" t="n">
        <v>16.53</v>
      </c>
    </row>
    <row r="24">
      <c r="A24" t="inlineStr">
        <is>
          <t>Ceramic</t>
        </is>
      </c>
      <c r="B24" s="9" t="n">
        <v>58</v>
      </c>
      <c r="C24" s="6" t="n">
        <v>80586</v>
      </c>
      <c r="D24" s="6" t="n">
        <v>62004</v>
      </c>
      <c r="E24" s="9" t="n">
        <v>14</v>
      </c>
      <c r="F24" s="9" t="n">
        <v>649</v>
      </c>
      <c r="G24" s="9" t="n">
        <v>62</v>
      </c>
      <c r="H24" s="6" t="n">
        <v>2661</v>
      </c>
      <c r="I24" s="9" t="n">
        <v>134</v>
      </c>
      <c r="J24" s="6" t="n">
        <v>83897</v>
      </c>
      <c r="K24" s="11" t="n">
        <v>2.5</v>
      </c>
      <c r="L24" t="inlineStr">
        <is>
          <t>1:28</t>
        </is>
      </c>
    </row>
    <row r="25">
      <c r="A25" t="inlineStr">
        <is>
          <t>Textile</t>
        </is>
      </c>
      <c r="B25" s="9" t="n">
        <v>47</v>
      </c>
      <c r="C25" s="6" t="n">
        <v>140457</v>
      </c>
      <c r="D25" s="6" t="n">
        <v>88498</v>
      </c>
      <c r="E25" s="9" t="n">
        <v>15</v>
      </c>
      <c r="F25" s="9" t="n">
        <v>893</v>
      </c>
      <c r="G25" s="9" t="n">
        <v>13</v>
      </c>
      <c r="H25" s="9" t="n">
        <v>511</v>
      </c>
      <c r="I25" s="9" t="n">
        <v>75</v>
      </c>
      <c r="J25" s="6" t="n">
        <v>141861</v>
      </c>
      <c r="K25" s="11" t="n">
        <v>1.36</v>
      </c>
      <c r="L25" s="11" t="n">
        <v>2.16</v>
      </c>
    </row>
    <row r="26">
      <c r="A26" t="inlineStr">
        <is>
          <t>Foodstuff</t>
        </is>
      </c>
      <c r="B26" s="9" t="n">
        <v>91</v>
      </c>
      <c r="C26" t="inlineStr">
        <is>
          <t>112 905</t>
        </is>
      </c>
      <c r="D26" s="6" t="n">
        <v>70073</v>
      </c>
      <c r="E26" s="9" t="n">
        <v>74</v>
      </c>
      <c r="F26" s="6" t="n">
        <v>7000</v>
      </c>
      <c r="G26" s="9" t="n">
        <v>123</v>
      </c>
      <c r="H26" s="6" t="n">
        <v>3806</v>
      </c>
      <c r="I26" s="9" t="n">
        <v>288</v>
      </c>
      <c r="J26" s="6" t="n">
        <v>123712</v>
      </c>
      <c r="K26" s="11" t="n">
        <v>5.26</v>
      </c>
      <c r="L26" s="11" t="n">
        <v>1.89</v>
      </c>
    </row>
    <row r="27">
      <c r="A27" t="inlineStr">
        <is>
          <t>Mis. Industries</t>
        </is>
      </c>
      <c r="B27" s="9" t="n">
        <v>121</v>
      </c>
      <c r="C27" s="6" t="n">
        <v>155701</v>
      </c>
      <c r="D27" s="6" t="n">
        <v>121157</v>
      </c>
      <c r="E27" s="9" t="n">
        <v>64</v>
      </c>
      <c r="F27" s="6" t="n">
        <v>2982</v>
      </c>
      <c r="G27" s="9" t="n">
        <v>159</v>
      </c>
      <c r="H27" s="6" t="n">
        <v>8539</v>
      </c>
      <c r="I27" s="9" t="n">
        <v>344</v>
      </c>
      <c r="J27" s="6" t="n">
        <v>167222</v>
      </c>
      <c r="K27" s="11" t="n">
        <v>6.28</v>
      </c>
      <c r="L27" s="11" t="n">
        <v>2.55</v>
      </c>
    </row>
    <row r="28">
      <c r="A28" t="inlineStr">
        <is>
          <t>Others</t>
        </is>
      </c>
      <c r="B28" s="9" t="n">
        <v>77</v>
      </c>
      <c r="C28" s="6" t="n">
        <v>40319</v>
      </c>
      <c r="D28" s="6" t="n">
        <v>30987</v>
      </c>
      <c r="E28" s="9" t="n">
        <v>49</v>
      </c>
      <c r="F28" s="6" t="n">
        <v>1477</v>
      </c>
      <c r="G28" s="9" t="n">
        <v>135</v>
      </c>
      <c r="H28" s="6" t="n">
        <v>4440</v>
      </c>
      <c r="I28" s="9" t="n">
        <v>259</v>
      </c>
      <c r="J28" s="6" t="n">
        <v>46238</v>
      </c>
      <c r="K28" s="11" t="n">
        <v>4.64</v>
      </c>
      <c r="L28" s="11" t="n">
        <v>0.71</v>
      </c>
    </row>
    <row r="29">
      <c r="A29" t="inlineStr">
        <is>
          <t>Total</t>
        </is>
      </c>
      <c r="B29" s="6" t="n">
        <v>1777</v>
      </c>
      <c r="C29" s="6" t="n">
        <v>6312145</v>
      </c>
      <c r="D29" s="6" t="n">
        <v>4800534</v>
      </c>
      <c r="E29" s="6" t="n">
        <v>1402</v>
      </c>
      <c r="F29" s="6" t="n">
        <v>99924</v>
      </c>
      <c r="G29" s="6" t="n">
        <v>2298</v>
      </c>
      <c r="H29" s="6" t="n">
        <v>141624</v>
      </c>
      <c r="I29" s="6" t="n">
        <v>5477</v>
      </c>
      <c r="J29" s="6" t="n">
        <v>6553694</v>
      </c>
      <c r="K29" s="11" t="n">
        <v>100</v>
      </c>
      <c r="L29" s="11" t="n">
        <v>100</v>
      </c>
    </row>
    <row r="30">
      <c r="A30" t="inlineStr">
        <is>
          <t>of which:</t>
        </is>
      </c>
      <c r="B30" t="inlineStr"/>
      <c r="C30" t="inlineStr"/>
      <c r="D30" t="inlineStr"/>
      <c r="E30" t="inlineStr"/>
      <c r="F30" t="inlineStr"/>
      <c r="G30" t="inlineStr"/>
      <c r="H30" t="inlineStr"/>
      <c r="I30" t="inlineStr"/>
      <c r="J30" t="inlineStr"/>
      <c r="K30" t="inlineStr"/>
      <c r="L30" t="inlineStr"/>
    </row>
    <row r="31">
      <c r="A31" t="inlineStr">
        <is>
          <t>Manchoukuoan</t>
        </is>
      </c>
      <c r="B31" s="6" t="n">
        <v>1425</v>
      </c>
      <c r="C31" s="6" t="n">
        <v>5136935</v>
      </c>
      <c r="D31" s="6" t="n">
        <v>3850050</v>
      </c>
      <c r="E31" s="6" t="n">
        <v>1276</v>
      </c>
      <c r="F31" s="6" t="n">
        <v>85938</v>
      </c>
      <c r="G31" s="6" t="n">
        <v>1607</v>
      </c>
      <c r="H31" s="6" t="n">
        <v>116172</v>
      </c>
      <c r="I31" s="6" t="n">
        <v>4308</v>
      </c>
      <c r="J31" s="6" t="n">
        <v>5339046</v>
      </c>
      <c r="K31" s="11" t="n">
        <v>78.66</v>
      </c>
      <c r="L31" s="11" t="n">
        <v>81.47</v>
      </c>
    </row>
    <row r="32">
      <c r="A32" t="inlineStr">
        <is>
          <t>Japanese</t>
        </is>
      </c>
      <c r="B32" s="9" t="n">
        <v>352</v>
      </c>
      <c r="C32" s="6" t="n">
        <v>1175210</v>
      </c>
      <c r="D32" s="10" t="n">
        <v>950.4829999999999</v>
      </c>
      <c r="E32" s="9" t="n">
        <v>126</v>
      </c>
      <c r="F32" s="6" t="n">
        <v>13986</v>
      </c>
      <c r="G32" s="9" t="n">
        <v>691</v>
      </c>
      <c r="H32" s="6" t="n">
        <v>25451</v>
      </c>
      <c r="I32" s="6" t="n">
        <v>1169</v>
      </c>
      <c r="J32" s="6" t="n">
        <v>1214648</v>
      </c>
      <c r="K32" s="11" t="n">
        <v>21.34</v>
      </c>
      <c r="L32" s="11" t="n">
        <v>18.53</v>
      </c>
    </row>
    <row r="34">
      <c r="A34" s="2" t="inlineStr">
        <is>
          <t>Transcriber's notes</t>
        </is>
      </c>
    </row>
    <row r="35">
      <c r="A35" t="inlineStr">
        <is>
          <t>Printed in two column blocks: Joint Stock Cos./Unlimited Partnership (Financing–Insurance on p.274, Warehousing–Japanese on p.275) and Limited Partnership/All Companies (Financing–Agriculture on p.275, Forestry–Japanes on p.276). Merged on industry rows.</t>
        </is>
      </c>
    </row>
    <row r="36">
      <c r="A36" t="inlineStr">
        <is>
          <t>Row label 'Liverstock' in first block, 'Livestock' in second; 'Mis. Industries' / 'Mis. Ind.'; 'Japanese' / 'Japanes' [sic] — normalised to the first-block label.</t>
        </is>
      </c>
    </row>
    <row r="37">
      <c r="A37" t="inlineStr">
        <is>
          <t>Printed oddities transcribed as printed: Foodstuff Authorized '112 905' (space for comma); Japanese Paid-up '950.483' (full stop for comma); Ceramic % Capital '1:28'. Read as 112,905 / 950,483 / 1.28 for the checks.</t>
        </is>
      </c>
    </row>
    <row r="38">
      <c r="A38" t="inlineStr">
        <is>
          <t>Warehousing % Capital printed 0.09 although capital 6,370 is ~0.10% of 6,553,694; transcribed as printed.</t>
        </is>
      </c>
    </row>
    <row r="39">
      <c r="A39" t="inlineStr">
        <is>
          <t>Total, col Joint Stock Cos. — No. of Cos.: printed 1,777, parts sum to 1,777 — reconciles</t>
        </is>
      </c>
    </row>
    <row r="40">
      <c r="A40" t="inlineStr">
        <is>
          <t>Total = Manchoukuoan + Japanese, col Joint Stock Cos. — No. of Cos.: printed 1,777, parts sum to 1,777 — reconciles</t>
        </is>
      </c>
    </row>
    <row r="41">
      <c r="A41" t="inlineStr">
        <is>
          <t>Total, col Joint Stock Cos. — Capital — Authorized: printed 6,312,145, parts sum to 6,312,143 — does NOT reconcile (diff 2)</t>
        </is>
      </c>
    </row>
    <row r="42">
      <c r="A42" t="inlineStr">
        <is>
          <t>Total = Manchoukuoan + Japanese, col Joint Stock Cos. — Capital — Authorized: printed 6,312,145, parts sum to 6,312,145 — reconciles</t>
        </is>
      </c>
    </row>
    <row r="43">
      <c r="A43" t="inlineStr">
        <is>
          <t>Total, col Joint Stock Cos. — Capital — Paid-up: printed 4,800,534, parts sum to 4,800,531 — does NOT reconcile (diff 3)</t>
        </is>
      </c>
    </row>
    <row r="44">
      <c r="A44" t="inlineStr">
        <is>
          <t>Total = Manchoukuoan + Japanese, col Joint Stock Cos. — Capital — Paid-up: printed 4,800,534, parts sum to 4,800,533 — does NOT reconcile (diff 1)</t>
        </is>
      </c>
    </row>
    <row r="45">
      <c r="A45" t="inlineStr">
        <is>
          <t>Total, col Unlimited Partnership — No. of Cos.: printed 1,402, parts sum to 1,404 — does NOT reconcile (diff -2)</t>
        </is>
      </c>
    </row>
    <row r="46">
      <c r="A46" t="inlineStr">
        <is>
          <t>Total = Manchoukuoan + Japanese, col Unlimited Partnership — No. of Cos.: printed 1,402, parts sum to 1,402 — reconciles</t>
        </is>
      </c>
    </row>
    <row r="47">
      <c r="A47" t="inlineStr">
        <is>
          <t>Total, col Unlimited Partnership — Capital: printed 99,924, parts sum to 99,922 — does NOT reconcile (diff 2)</t>
        </is>
      </c>
    </row>
    <row r="48">
      <c r="A48" t="inlineStr">
        <is>
          <t>Total = Manchoukuoan + Japanese, col Unlimited Partnership — Capital: printed 99,924, parts sum to 99,924 — reconciles</t>
        </is>
      </c>
    </row>
    <row r="49">
      <c r="A49" t="inlineStr">
        <is>
          <t>Total, col Limited Partnership — No. of Cos.: printed 2,298, parts sum to 2,298 — reconciles</t>
        </is>
      </c>
    </row>
    <row r="50">
      <c r="A50" t="inlineStr">
        <is>
          <t>Total = Manchoukuoan + Japanese, col Limited Partnership — No. of Cos.: printed 2,298, parts sum to 2,298 — reconciles</t>
        </is>
      </c>
    </row>
    <row r="51">
      <c r="A51" t="inlineStr">
        <is>
          <t>Total, col Limited Partnership — Capital: printed 141,624, parts sum to 141,612 — does NOT reconcile (diff 12)</t>
        </is>
      </c>
    </row>
    <row r="52">
      <c r="A52" t="inlineStr">
        <is>
          <t>Total = Manchoukuoan + Japanese, col Limited Partnership — Capital: printed 141,624, parts sum to 141,623 — does NOT reconcile (diff 1)</t>
        </is>
      </c>
    </row>
    <row r="53">
      <c r="A53" t="inlineStr">
        <is>
          <t>Total, col All Companies — No. of Cos.: printed 5,477, parts sum to 5,477 — reconciles</t>
        </is>
      </c>
    </row>
    <row r="54">
      <c r="A54" t="inlineStr">
        <is>
          <t>Total = Manchoukuoan + Japanese, col All Companies — No. of Cos.: printed 5,477, parts sum to 5,477 — reconciles</t>
        </is>
      </c>
    </row>
    <row r="55">
      <c r="A55" t="inlineStr">
        <is>
          <t>Total, col All Companies — Capital: printed 6,553,694, parts sum to 6,553,680 — does NOT reconcile (diff 14)</t>
        </is>
      </c>
    </row>
    <row r="56">
      <c r="A56" t="inlineStr">
        <is>
          <t>Total = Manchoukuoan + Japanese, col All Companies — Capital: printed 6,553,694, parts sum to 6,553,694 — reconciles</t>
        </is>
      </c>
    </row>
    <row r="57">
      <c r="A57" t="inlineStr">
        <is>
          <t>Total, col All Companies — % No.: printed 100.00, parts sum to 99.79 — does NOT reconcile (diff 0.21)</t>
        </is>
      </c>
    </row>
    <row r="58">
      <c r="A58" t="inlineStr">
        <is>
          <t>Total = Manchoukuoan + Japanese, col All Companies — % No.: printed 100.00, parts sum to 100 — reconciles</t>
        </is>
      </c>
    </row>
    <row r="59">
      <c r="A59" t="inlineStr">
        <is>
          <t>Total, col All Companies — % Capital: printed 100.00, parts sum to 100 — reconciles</t>
        </is>
      </c>
    </row>
    <row r="60">
      <c r="A60" t="inlineStr">
        <is>
          <t>Total = Manchoukuoan + Japanese, col All Companies — % Capital: printed 100.00, parts sum to 100 — reconciles</t>
        </is>
      </c>
    </row>
    <row r="61">
      <c r="A61" t="inlineStr">
        <is>
          <t>Financing All Cos. No. = JS + UP + LP: printed 184, parts sum to 184 — reconciles</t>
        </is>
      </c>
    </row>
    <row r="62">
      <c r="A62" t="inlineStr">
        <is>
          <t>Financing All Cos. Capital = JS authorized + UP + LP: printed 633,477, parts sum to 633,476 — does NOT reconcile (diff 1)</t>
        </is>
      </c>
    </row>
    <row r="63">
      <c r="A63" t="inlineStr">
        <is>
          <t>Insurance All Cos. No. = JS + UP + LP: printed 3, parts sum to 3 — reconciles</t>
        </is>
      </c>
    </row>
    <row r="64">
      <c r="A64" t="inlineStr">
        <is>
          <t>Insurance All Cos. Capital = JS authorized + UP + LP: printed 8,100, parts sum to 8,100 — reconciles</t>
        </is>
      </c>
    </row>
    <row r="65">
      <c r="A65" t="inlineStr">
        <is>
          <t>Warehousing All Cos. No. = JS + UP + LP: printed 26, parts sum to 26 — reconciles</t>
        </is>
      </c>
    </row>
    <row r="66">
      <c r="A66" t="inlineStr">
        <is>
          <t>Warehousing All Cos. Capital = JS authorized + UP + LP: printed 6,370, parts sum to 6,370 — reconciles</t>
        </is>
      </c>
    </row>
    <row r="67">
      <c r="A67" t="inlineStr">
        <is>
          <t>Market &amp; Exchange All Cos. No. = JS + UP + LP: printed 24, parts sum to 24 — reconciles</t>
        </is>
      </c>
    </row>
    <row r="68">
      <c r="A68" t="inlineStr">
        <is>
          <t>Market &amp; Exchange All Cos. Capital = JS authorized + UP + LP: printed 24,277, parts sum to 24,277 — reconciles</t>
        </is>
      </c>
    </row>
    <row r="69">
      <c r="A69" t="inlineStr">
        <is>
          <t>Commercial &amp; Foreign Trade All Cos. No. = JS + UP + LP: printed 2,536, parts sum to 2,536 — reconciles</t>
        </is>
      </c>
    </row>
    <row r="70">
      <c r="A70" t="inlineStr">
        <is>
          <t>Commercial &amp; Foreign Trade All Cos. Capital = JS authorized + UP + LP: printed 552,440, parts sum to 552,443 — does NOT reconcile (diff -3)</t>
        </is>
      </c>
    </row>
    <row r="71">
      <c r="A71" t="inlineStr">
        <is>
          <t>Traffic &amp; Express All Cos. No. = JS + UP + LP: printed 182, parts sum to 182 — reconciles</t>
        </is>
      </c>
    </row>
    <row r="72">
      <c r="A72" t="inlineStr">
        <is>
          <t>Traffic &amp; Express All Cos. Capital = JS authorized + UP + LP: printed 1,045,995, parts sum to 1,045,994 — does NOT reconcile (diff 1)</t>
        </is>
      </c>
    </row>
    <row r="73">
      <c r="A73" t="inlineStr">
        <is>
          <t>Colonization &amp; Real Estate All Cos. No. = JS + UP + LP: printed 203, parts sum to 203 — reconciles</t>
        </is>
      </c>
    </row>
    <row r="74">
      <c r="A74" t="inlineStr">
        <is>
          <t>Colonization &amp; Real Estate All Cos. Capital = JS authorized + UP + LP: printed 215,021, parts sum to 215,020 — does NOT reconcile (diff 1)</t>
        </is>
      </c>
    </row>
    <row r="75">
      <c r="A75" t="inlineStr">
        <is>
          <t>Civil Engineering &amp; Architecture All Cos. No. = JS + UP + LP: printed 334, parts sum to 334 — reconciles</t>
        </is>
      </c>
    </row>
    <row r="76">
      <c r="A76" t="inlineStr">
        <is>
          <t>Civil Engineering &amp; Architecture All Cos. Capital = JS authorized + UP + LP: printed 109,912, parts sum to 109,911 — does NOT reconcile (diff 1)</t>
        </is>
      </c>
    </row>
    <row r="77">
      <c r="A77" t="inlineStr">
        <is>
          <t>Agriculture All Cos. No. = JS + UP + LP: printed 62, parts sum to 62 — reconciles</t>
        </is>
      </c>
    </row>
    <row r="78">
      <c r="A78" t="inlineStr">
        <is>
          <t>Agriculture All Cos. Capital = JS authorized + UP + LP: printed 77,055, parts sum to 77,054 — does NOT reconcile (diff 1)</t>
        </is>
      </c>
    </row>
    <row r="79">
      <c r="A79" t="inlineStr">
        <is>
          <t>Forestry All Cos. No. = JS + UP + LP: printed 66, parts sum to 66 — reconciles</t>
        </is>
      </c>
    </row>
    <row r="80">
      <c r="A80" t="inlineStr">
        <is>
          <t>Forestry All Cos. Capital = JS authorized + UP + LP: printed 56,815, parts sum to 56,815 — reconciles</t>
        </is>
      </c>
    </row>
    <row r="81">
      <c r="A81" t="inlineStr">
        <is>
          <t>Livestock All Cos. No. = JS + UP + LP: printed 32, parts sum to 32 — reconciles</t>
        </is>
      </c>
    </row>
    <row r="82">
      <c r="A82" t="inlineStr">
        <is>
          <t>Livestock All Cos. Capital = JS authorized + UP + LP: printed 8,240, parts sum to 8,240 — reconciles</t>
        </is>
      </c>
    </row>
    <row r="83">
      <c r="A83" t="inlineStr">
        <is>
          <t>Fishery All Cos. No. = JS + UP + LP: printed 17, parts sum to 17 — reconciles</t>
        </is>
      </c>
    </row>
    <row r="84">
      <c r="A84" t="inlineStr">
        <is>
          <t>Fishery All Cos. Capital = JS authorized + UP + LP: printed 21,556, parts sum to 21,556 — reconciles</t>
        </is>
      </c>
    </row>
    <row r="85">
      <c r="A85" t="inlineStr">
        <is>
          <t>Mining All Cos. No. = JS + UP + LP: printed 137, parts sum to 137 — reconciles</t>
        </is>
      </c>
    </row>
    <row r="86">
      <c r="A86" t="inlineStr">
        <is>
          <t>Mining All Cos. Capital = JS authorized + UP + LP: printed 865,805, parts sum to 865,805 — reconciles</t>
        </is>
      </c>
    </row>
    <row r="87">
      <c r="A87" t="inlineStr">
        <is>
          <t>Metallic All Cos. No. = JS + UP + LP: printed 98, parts sum to 98 — reconciles</t>
        </is>
      </c>
    </row>
    <row r="88">
      <c r="A88" t="inlineStr">
        <is>
          <t>Metallic All Cos. Capital = JS authorized + UP + LP: printed 458,482, parts sum to 458,482 — reconciles</t>
        </is>
      </c>
    </row>
    <row r="89">
      <c r="A89" t="inlineStr">
        <is>
          <t>Machine &amp; Tools All Cos. No. = JS + UP + LP: printed 209, parts sum to 209 — reconciles</t>
        </is>
      </c>
    </row>
    <row r="90">
      <c r="A90" t="inlineStr">
        <is>
          <t>Machine &amp; Tools All Cos. Capital = JS authorized + UP + LP: printed 587,051, parts sum to 587,051 — reconciles</t>
        </is>
      </c>
    </row>
    <row r="91">
      <c r="A91" t="inlineStr">
        <is>
          <t>Electric &amp; Gas All Cos. No. = JS + UP + LP: printed 36, parts sum to 36 — reconciles</t>
        </is>
      </c>
    </row>
    <row r="92">
      <c r="A92" t="inlineStr">
        <is>
          <t>Electric &amp; Gas All Cos. Capital = JS authorized + UP + LP: printed 236,720, parts sum to 236,724 — does NOT reconcile (diff -4)</t>
        </is>
      </c>
    </row>
    <row r="93">
      <c r="A93" t="inlineStr">
        <is>
          <t>Chemical All Cos. No. = JS + UP + LP: printed 228, parts sum to 228 — reconciles</t>
        </is>
      </c>
    </row>
    <row r="94">
      <c r="A94" t="inlineStr">
        <is>
          <t>Chemical All Cos. Capital = JS authorized + UP + LP: printed 1,083,434, parts sum to 1,083,433 — does NOT reconcile (diff 1)</t>
        </is>
      </c>
    </row>
    <row r="95">
      <c r="A95" t="inlineStr">
        <is>
          <t>Ceramic All Cos. No. = JS + UP + LP: printed 134, parts sum to 134 — reconciles</t>
        </is>
      </c>
    </row>
    <row r="96">
      <c r="A96" t="inlineStr">
        <is>
          <t>Ceramic All Cos. Capital = JS authorized + UP + LP: printed 83,897, parts sum to 83,896 — does NOT reconcile (diff 1)</t>
        </is>
      </c>
    </row>
    <row r="97">
      <c r="A97" t="inlineStr">
        <is>
          <t>Textile All Cos. No. = JS + UP + LP: printed 75, parts sum to 75 — reconciles</t>
        </is>
      </c>
    </row>
    <row r="98">
      <c r="A98" t="inlineStr">
        <is>
          <t>Textile All Cos. Capital = JS authorized + UP + LP: printed 141,861, parts sum to 141,861 — reconciles</t>
        </is>
      </c>
    </row>
    <row r="99">
      <c r="A99" t="inlineStr">
        <is>
          <t>Foodstuff All Cos. No. = JS + UP + LP: printed 288, parts sum to 288 — reconciles</t>
        </is>
      </c>
    </row>
    <row r="100">
      <c r="A100" t="inlineStr">
        <is>
          <t>Foodstuff All Cos. Capital = JS authorized + UP + LP: printed 123,712, parts sum to 123,711 — does NOT reconcile (diff 1)</t>
        </is>
      </c>
    </row>
    <row r="101">
      <c r="A101" t="inlineStr">
        <is>
          <t>Mis. Industries All Cos. No. = JS + UP + LP: printed 344, parts sum to 344 — reconciles</t>
        </is>
      </c>
    </row>
    <row r="102">
      <c r="A102" t="inlineStr">
        <is>
          <t>Mis. Industries All Cos. Capital = JS authorized + UP + LP: printed 167,222, parts sum to 167,222 — reconciles</t>
        </is>
      </c>
    </row>
    <row r="103">
      <c r="A103" t="inlineStr">
        <is>
          <t>Others All Cos. No. = JS + UP + LP: printed 259, parts sum to 261 — does NOT reconcile (diff -2)</t>
        </is>
      </c>
    </row>
    <row r="104">
      <c r="A104" t="inlineStr">
        <is>
          <t>Others All Cos. Capital = JS authorized + UP + LP: printed 46,238, parts sum to 46,236 — does NOT reconcile (diff 2)</t>
        </is>
      </c>
    </row>
    <row r="105">
      <c r="A105" t="inlineStr">
        <is>
          <t>Total All Cos. No. = JS + UP + LP: printed 5,477, parts sum to 5,477 — reconciles</t>
        </is>
      </c>
    </row>
    <row r="106">
      <c r="A106" t="inlineStr">
        <is>
          <t>Total All Cos. Capital = JS authorized + UP + LP: printed 6,553,694, parts sum to 6,553,693 — does NOT reconcile (diff 1)</t>
        </is>
      </c>
    </row>
    <row r="107">
      <c r="A107" t="inlineStr">
        <is>
          <t>Manchoukuoan All Cos. No. = JS + UP + LP: printed 4,308, parts sum to 4,308 — reconciles</t>
        </is>
      </c>
    </row>
    <row r="108">
      <c r="A108" t="inlineStr">
        <is>
          <t>Manchoukuoan All Cos. Capital = JS authorized + UP + LP: printed 5,339,046, parts sum to 5,339,045 — does NOT reconcile (diff 1)</t>
        </is>
      </c>
    </row>
    <row r="109">
      <c r="A109" t="inlineStr">
        <is>
          <t>Japanese All Cos. No. = JS + UP + LP: printed 1,169, parts sum to 1,169 — reconciles</t>
        </is>
      </c>
    </row>
    <row r="110">
      <c r="A110" t="inlineStr">
        <is>
          <t>Japanese All Cos. Capital = JS authorized + UP + LP: printed 1,214,648, parts sum to 1,214,647 — does NOT reconcile (diff 1)</t>
        </is>
      </c>
    </row>
  </sheetData>
  <hyperlinks>
    <hyperlink xmlns:r="http://schemas.openxmlformats.org/officeDocument/2006/relationships" ref="A4" r:id="rId1"/>
  </hyperlink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G8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8. No. of Patent Right, Utility Model and Trade Marks Registered</t>
        </is>
      </c>
    </row>
    <row r="2">
      <c r="A2" t="inlineStr">
        <is>
          <t>Commerce · printed pp. 276, 277</t>
        </is>
      </c>
    </row>
    <row r="3">
      <c r="A3" s="3" t="inlineStr">
        <is>
          <t>← Contents</t>
        </is>
      </c>
    </row>
    <row r="5">
      <c r="A5" s="5" t="inlineStr">
        <is>
          <t>Nationality / Year</t>
        </is>
      </c>
      <c r="B5" s="5" t="inlineStr">
        <is>
          <t>Patent Right — Applied</t>
        </is>
      </c>
      <c r="C5" s="5" t="inlineStr">
        <is>
          <t>Patent Right — Granted</t>
        </is>
      </c>
      <c r="D5" s="5" t="inlineStr">
        <is>
          <t>Utility Model — Applied</t>
        </is>
      </c>
      <c r="E5" s="5" t="inlineStr">
        <is>
          <t>Utility Model — Granted</t>
        </is>
      </c>
      <c r="F5" s="5" t="inlineStr">
        <is>
          <t>Trade Mark — Applied</t>
        </is>
      </c>
      <c r="G5" s="5" t="inlineStr">
        <is>
          <t>Trade Mark — Granted</t>
        </is>
      </c>
    </row>
    <row r="6">
      <c r="A6" t="inlineStr">
        <is>
          <t>Manchoukuoan</t>
        </is>
      </c>
      <c r="B6" t="inlineStr"/>
      <c r="C6" t="inlineStr"/>
      <c r="D6" t="inlineStr"/>
      <c r="E6" t="inlineStr"/>
      <c r="F6" t="inlineStr"/>
      <c r="G6" t="inlineStr"/>
    </row>
    <row r="7">
      <c r="A7" s="9" t="n">
        <v>1936</v>
      </c>
      <c r="B7" s="9" t="n">
        <v>6</v>
      </c>
      <c r="C7" s="9" t="n">
        <v>1</v>
      </c>
      <c r="D7" s="9" t="n">
        <v>8</v>
      </c>
      <c r="E7" t="inlineStr">
        <is>
          <t>—</t>
        </is>
      </c>
      <c r="F7" s="9" t="n">
        <v>299</v>
      </c>
      <c r="G7" s="9" t="n">
        <v>166</v>
      </c>
    </row>
    <row r="8">
      <c r="A8" s="9" t="n">
        <v>1937</v>
      </c>
      <c r="B8" s="9" t="n">
        <v>23</v>
      </c>
      <c r="C8" t="inlineStr">
        <is>
          <t>—</t>
        </is>
      </c>
      <c r="D8" s="9" t="n">
        <v>6</v>
      </c>
      <c r="E8" t="inlineStr">
        <is>
          <t>—</t>
        </is>
      </c>
      <c r="F8" s="9" t="n">
        <v>289</v>
      </c>
      <c r="G8" s="9" t="n">
        <v>211</v>
      </c>
    </row>
    <row r="9">
      <c r="A9" s="9" t="n">
        <v>1938</v>
      </c>
      <c r="B9" s="9" t="n">
        <v>47</v>
      </c>
      <c r="C9" t="inlineStr">
        <is>
          <t>—</t>
        </is>
      </c>
      <c r="D9" s="9" t="n">
        <v>20</v>
      </c>
      <c r="E9" t="inlineStr">
        <is>
          <t>—</t>
        </is>
      </c>
      <c r="F9" s="9" t="n">
        <v>492</v>
      </c>
      <c r="G9" s="9" t="n">
        <v>232</v>
      </c>
    </row>
    <row r="10">
      <c r="A10" s="9" t="n">
        <v>1939</v>
      </c>
      <c r="B10" s="9" t="n">
        <v>65</v>
      </c>
      <c r="C10" s="9" t="n">
        <v>7</v>
      </c>
      <c r="D10" s="9" t="n">
        <v>19</v>
      </c>
      <c r="E10" s="9" t="n">
        <v>4</v>
      </c>
      <c r="F10" s="9" t="n">
        <v>459</v>
      </c>
      <c r="G10" s="9" t="n">
        <v>442</v>
      </c>
    </row>
    <row r="11">
      <c r="A11" t="inlineStr">
        <is>
          <t>Japanese</t>
        </is>
      </c>
      <c r="B11" t="inlineStr"/>
      <c r="C11" t="inlineStr"/>
      <c r="D11" t="inlineStr"/>
      <c r="E11" t="inlineStr"/>
      <c r="F11" t="inlineStr"/>
      <c r="G11" t="inlineStr"/>
    </row>
    <row r="12">
      <c r="A12" s="9" t="n">
        <v>1936</v>
      </c>
      <c r="B12" s="6" t="n">
        <v>4284</v>
      </c>
      <c r="C12" s="9" t="n">
        <v>527</v>
      </c>
      <c r="D12" s="9" t="n">
        <v>753</v>
      </c>
      <c r="E12" s="9" t="n">
        <v>120</v>
      </c>
      <c r="F12" s="6" t="n">
        <v>1926</v>
      </c>
      <c r="G12" s="6" t="n">
        <v>2607</v>
      </c>
    </row>
    <row r="13">
      <c r="A13" s="9" t="n">
        <v>1937</v>
      </c>
      <c r="B13" s="6" t="n">
        <v>7659</v>
      </c>
      <c r="C13" s="6" t="n">
        <v>4219</v>
      </c>
      <c r="D13" s="6" t="n">
        <v>1505</v>
      </c>
      <c r="E13" s="9" t="n">
        <v>556</v>
      </c>
      <c r="F13" s="6" t="n">
        <v>1737</v>
      </c>
      <c r="G13" s="6" t="n">
        <v>1752</v>
      </c>
    </row>
    <row r="14">
      <c r="A14" s="9" t="n">
        <v>1938</v>
      </c>
      <c r="B14" s="6" t="n">
        <v>2289</v>
      </c>
      <c r="C14" s="6" t="n">
        <v>3283</v>
      </c>
      <c r="D14" s="9" t="n">
        <v>400</v>
      </c>
      <c r="E14" s="9" t="n">
        <v>740</v>
      </c>
      <c r="F14" s="6" t="n">
        <v>2025</v>
      </c>
      <c r="G14" s="6" t="n">
        <v>1333</v>
      </c>
    </row>
    <row r="15">
      <c r="A15" s="9" t="n">
        <v>1939</v>
      </c>
      <c r="B15" s="6" t="n">
        <v>3009</v>
      </c>
      <c r="C15" s="6" t="n">
        <v>2397</v>
      </c>
      <c r="D15" s="9" t="n">
        <v>464</v>
      </c>
      <c r="E15" s="9" t="n">
        <v>298</v>
      </c>
      <c r="F15" s="6" t="n">
        <v>2360</v>
      </c>
      <c r="G15" s="6" t="n">
        <v>2130</v>
      </c>
    </row>
    <row r="16">
      <c r="A16" t="inlineStr">
        <is>
          <t>British</t>
        </is>
      </c>
      <c r="B16" t="inlineStr"/>
      <c r="C16" t="inlineStr"/>
      <c r="D16" t="inlineStr"/>
      <c r="E16" t="inlineStr"/>
      <c r="F16" t="inlineStr"/>
      <c r="G16" t="inlineStr"/>
    </row>
    <row r="17">
      <c r="A17" s="9" t="n">
        <v>1936</v>
      </c>
      <c r="B17" s="9" t="n">
        <v>23</v>
      </c>
      <c r="C17" t="inlineStr">
        <is>
          <t>—</t>
        </is>
      </c>
      <c r="D17" s="9" t="n">
        <v>2</v>
      </c>
      <c r="E17" t="inlineStr">
        <is>
          <t>—</t>
        </is>
      </c>
      <c r="F17" s="9" t="n">
        <v>63</v>
      </c>
      <c r="G17" s="9" t="n">
        <v>437</v>
      </c>
    </row>
    <row r="18">
      <c r="A18" s="9" t="n">
        <v>1937</v>
      </c>
      <c r="B18" s="9" t="n">
        <v>94</v>
      </c>
      <c r="C18" s="9" t="n">
        <v>13</v>
      </c>
      <c r="D18" t="inlineStr">
        <is>
          <t>—</t>
        </is>
      </c>
      <c r="E18" t="inlineStr">
        <is>
          <t>—</t>
        </is>
      </c>
      <c r="F18" s="9" t="n">
        <v>69</v>
      </c>
      <c r="G18" s="9" t="n">
        <v>154</v>
      </c>
    </row>
    <row r="19">
      <c r="A19" s="9" t="n">
        <v>1938</v>
      </c>
      <c r="B19" s="9" t="n">
        <v>8</v>
      </c>
      <c r="C19" s="9" t="n">
        <v>45</v>
      </c>
      <c r="D19" s="9" t="n">
        <v>1</v>
      </c>
      <c r="E19" t="inlineStr">
        <is>
          <t>—</t>
        </is>
      </c>
      <c r="F19" s="9" t="n">
        <v>64</v>
      </c>
      <c r="G19" s="9" t="n">
        <v>25</v>
      </c>
    </row>
    <row r="20">
      <c r="A20" s="9" t="n">
        <v>1939</v>
      </c>
      <c r="B20" s="9" t="n">
        <v>15</v>
      </c>
      <c r="C20" s="9" t="n">
        <v>22</v>
      </c>
      <c r="D20" t="inlineStr">
        <is>
          <t>—</t>
        </is>
      </c>
      <c r="E20" t="inlineStr">
        <is>
          <t>—</t>
        </is>
      </c>
      <c r="F20" s="9" t="n">
        <v>16</v>
      </c>
      <c r="G20" s="9" t="n">
        <v>32</v>
      </c>
    </row>
    <row r="21">
      <c r="A21" t="inlineStr">
        <is>
          <t>U.S.A.</t>
        </is>
      </c>
      <c r="B21" t="inlineStr"/>
      <c r="C21" t="inlineStr"/>
      <c r="D21" t="inlineStr"/>
      <c r="E21" t="inlineStr"/>
      <c r="F21" t="inlineStr"/>
      <c r="G21" t="inlineStr"/>
    </row>
    <row r="22">
      <c r="A22" s="9" t="n">
        <v>1936</v>
      </c>
      <c r="B22" s="9" t="n">
        <v>98</v>
      </c>
      <c r="C22" s="9" t="n">
        <v>5</v>
      </c>
      <c r="D22" s="9" t="n">
        <v>13</v>
      </c>
      <c r="E22" t="inlineStr">
        <is>
          <t>—</t>
        </is>
      </c>
      <c r="F22" s="9" t="n">
        <v>110</v>
      </c>
      <c r="G22" s="9" t="n">
        <v>307</v>
      </c>
    </row>
    <row r="23">
      <c r="A23" s="9" t="n">
        <v>1937</v>
      </c>
      <c r="B23" s="9" t="n">
        <v>249</v>
      </c>
      <c r="C23" s="9" t="n">
        <v>61</v>
      </c>
      <c r="D23" s="9" t="n">
        <v>6</v>
      </c>
      <c r="E23" t="inlineStr">
        <is>
          <t>—</t>
        </is>
      </c>
      <c r="F23" s="9" t="n">
        <v>113</v>
      </c>
      <c r="G23" s="9" t="n">
        <v>180</v>
      </c>
    </row>
    <row r="24">
      <c r="A24" s="9" t="n">
        <v>1938</v>
      </c>
      <c r="B24" s="9" t="n">
        <v>53</v>
      </c>
      <c r="C24" s="9" t="n">
        <v>114</v>
      </c>
      <c r="D24" s="9" t="n">
        <v>1</v>
      </c>
      <c r="E24" s="9" t="n">
        <v>8</v>
      </c>
      <c r="F24" s="9" t="n">
        <v>66</v>
      </c>
      <c r="G24" s="9" t="n">
        <v>68</v>
      </c>
    </row>
    <row r="25">
      <c r="A25" s="9" t="n">
        <v>1939</v>
      </c>
      <c r="B25" s="9" t="n">
        <v>64</v>
      </c>
      <c r="C25" s="9" t="n">
        <v>66</v>
      </c>
      <c r="D25" s="9" t="n">
        <v>1</v>
      </c>
      <c r="E25" s="9" t="n">
        <v>5</v>
      </c>
      <c r="F25" s="9" t="n">
        <v>48</v>
      </c>
      <c r="G25" s="9" t="n">
        <v>122</v>
      </c>
    </row>
    <row r="26">
      <c r="A26" t="inlineStr">
        <is>
          <t>German</t>
        </is>
      </c>
      <c r="B26" t="inlineStr"/>
      <c r="C26" t="inlineStr"/>
      <c r="D26" t="inlineStr"/>
      <c r="E26" t="inlineStr"/>
      <c r="F26" t="inlineStr"/>
      <c r="G26" t="inlineStr"/>
    </row>
    <row r="27">
      <c r="A27" s="9" t="n">
        <v>1936</v>
      </c>
      <c r="B27" s="6" t="n">
        <v>1210</v>
      </c>
      <c r="C27" s="9" t="n">
        <v>259</v>
      </c>
      <c r="D27" s="9" t="n">
        <v>5</v>
      </c>
      <c r="E27" t="inlineStr">
        <is>
          <t>—</t>
        </is>
      </c>
      <c r="F27" s="9" t="n">
        <v>176</v>
      </c>
      <c r="G27" s="9" t="n">
        <v>492</v>
      </c>
    </row>
    <row r="28">
      <c r="A28" s="9" t="n">
        <v>1937</v>
      </c>
      <c r="B28" s="9" t="n">
        <v>766</v>
      </c>
      <c r="C28" s="9" t="n">
        <v>513</v>
      </c>
      <c r="D28" s="9" t="n">
        <v>34</v>
      </c>
      <c r="E28" s="9" t="n">
        <v>3</v>
      </c>
      <c r="F28" s="9" t="n">
        <v>147</v>
      </c>
      <c r="G28" s="9" t="n">
        <v>205</v>
      </c>
    </row>
    <row r="29">
      <c r="A29" s="9" t="n">
        <v>1938</v>
      </c>
      <c r="B29" s="9" t="n">
        <v>374</v>
      </c>
      <c r="C29" s="9" t="n">
        <v>230</v>
      </c>
      <c r="D29" s="9" t="n">
        <v>35</v>
      </c>
      <c r="E29" s="9" t="n">
        <v>11</v>
      </c>
      <c r="F29" s="9" t="n">
        <v>151</v>
      </c>
      <c r="G29" s="9" t="n">
        <v>94</v>
      </c>
    </row>
    <row r="30">
      <c r="A30" s="9" t="n">
        <v>1939</v>
      </c>
      <c r="B30" s="9" t="n">
        <v>331</v>
      </c>
      <c r="C30" s="9" t="n">
        <v>435</v>
      </c>
      <c r="D30" s="9" t="n">
        <v>10</v>
      </c>
      <c r="E30" s="9" t="n">
        <v>14</v>
      </c>
      <c r="F30" s="9" t="n">
        <v>104</v>
      </c>
      <c r="G30" s="9" t="n">
        <v>121</v>
      </c>
    </row>
    <row r="31">
      <c r="A31" t="inlineStr">
        <is>
          <t>French</t>
        </is>
      </c>
      <c r="B31" t="inlineStr"/>
      <c r="C31" t="inlineStr"/>
      <c r="D31" t="inlineStr"/>
      <c r="E31" t="inlineStr"/>
      <c r="F31" t="inlineStr"/>
      <c r="G31" t="inlineStr"/>
    </row>
    <row r="32">
      <c r="A32" s="9" t="n">
        <v>1936</v>
      </c>
      <c r="B32" s="9" t="n">
        <v>30</v>
      </c>
      <c r="C32" t="inlineStr">
        <is>
          <t>—</t>
        </is>
      </c>
      <c r="D32" t="inlineStr">
        <is>
          <t>—</t>
        </is>
      </c>
      <c r="E32" t="inlineStr">
        <is>
          <t>—</t>
        </is>
      </c>
      <c r="F32" s="9" t="n">
        <v>17</v>
      </c>
      <c r="G32" s="9" t="n">
        <v>176</v>
      </c>
    </row>
    <row r="33">
      <c r="A33" s="9" t="n">
        <v>1937</v>
      </c>
      <c r="B33" s="9" t="n">
        <v>41</v>
      </c>
      <c r="C33" s="9" t="n">
        <v>15</v>
      </c>
      <c r="D33" t="inlineStr">
        <is>
          <t>—</t>
        </is>
      </c>
      <c r="E33" t="inlineStr">
        <is>
          <t>—</t>
        </is>
      </c>
      <c r="F33" s="9" t="n">
        <v>13</v>
      </c>
      <c r="G33" s="9" t="n">
        <v>29</v>
      </c>
    </row>
    <row r="34">
      <c r="A34" s="9" t="n">
        <v>1938</v>
      </c>
      <c r="B34" s="9" t="n">
        <v>13</v>
      </c>
      <c r="C34" s="9" t="n">
        <v>19</v>
      </c>
      <c r="D34" t="inlineStr">
        <is>
          <t>—</t>
        </is>
      </c>
      <c r="E34" t="inlineStr">
        <is>
          <t>—</t>
        </is>
      </c>
      <c r="F34" s="9" t="n">
        <v>16</v>
      </c>
      <c r="G34" s="9" t="n">
        <v>4</v>
      </c>
    </row>
    <row r="35">
      <c r="A35" s="9" t="n">
        <v>1939</v>
      </c>
      <c r="B35" s="9" t="n">
        <v>12</v>
      </c>
      <c r="C35" s="9" t="n">
        <v>11</v>
      </c>
      <c r="D35" t="inlineStr">
        <is>
          <t>—</t>
        </is>
      </c>
      <c r="E35" t="inlineStr">
        <is>
          <t>—</t>
        </is>
      </c>
      <c r="F35" s="9" t="n">
        <v>5</v>
      </c>
      <c r="G35" s="9" t="n">
        <v>15</v>
      </c>
    </row>
    <row r="36">
      <c r="A36" t="inlineStr">
        <is>
          <t>Italian</t>
        </is>
      </c>
      <c r="B36" t="inlineStr"/>
      <c r="C36" t="inlineStr"/>
      <c r="D36" t="inlineStr"/>
      <c r="E36" t="inlineStr"/>
      <c r="F36" t="inlineStr"/>
      <c r="G36" t="inlineStr"/>
    </row>
    <row r="37">
      <c r="A37" s="9" t="n">
        <v>1936</v>
      </c>
      <c r="B37" s="9" t="n">
        <v>12</v>
      </c>
      <c r="C37" t="inlineStr">
        <is>
          <t>—</t>
        </is>
      </c>
      <c r="D37" t="inlineStr">
        <is>
          <t>—</t>
        </is>
      </c>
      <c r="E37" t="inlineStr">
        <is>
          <t>—</t>
        </is>
      </c>
      <c r="F37" s="9" t="n">
        <v>6</v>
      </c>
      <c r="G37" s="9" t="n">
        <v>12</v>
      </c>
    </row>
    <row r="38">
      <c r="A38" s="9" t="n">
        <v>1937</v>
      </c>
      <c r="B38" s="9" t="n">
        <v>33</v>
      </c>
      <c r="C38" s="9" t="n">
        <v>7</v>
      </c>
      <c r="D38" t="inlineStr">
        <is>
          <t>—</t>
        </is>
      </c>
      <c r="E38" t="inlineStr">
        <is>
          <t>—</t>
        </is>
      </c>
      <c r="F38" s="9" t="n">
        <v>1</v>
      </c>
      <c r="G38" s="9" t="n">
        <v>7</v>
      </c>
    </row>
    <row r="39">
      <c r="A39" s="9" t="n">
        <v>1938</v>
      </c>
      <c r="B39" s="9" t="n">
        <v>5</v>
      </c>
      <c r="C39" s="9" t="n">
        <v>25</v>
      </c>
      <c r="D39" t="inlineStr">
        <is>
          <t>—</t>
        </is>
      </c>
      <c r="E39" t="inlineStr">
        <is>
          <t>—</t>
        </is>
      </c>
      <c r="F39" t="inlineStr">
        <is>
          <t>—</t>
        </is>
      </c>
      <c r="G39" t="inlineStr">
        <is>
          <t>—</t>
        </is>
      </c>
    </row>
    <row r="40">
      <c r="A40" s="9" t="n">
        <v>1939</v>
      </c>
      <c r="B40" s="9" t="n">
        <v>10</v>
      </c>
      <c r="C40" s="9" t="n">
        <v>2</v>
      </c>
      <c r="D40" t="inlineStr">
        <is>
          <t>—</t>
        </is>
      </c>
      <c r="E40" t="inlineStr">
        <is>
          <t>—</t>
        </is>
      </c>
      <c r="F40" s="9" t="n">
        <v>4</v>
      </c>
      <c r="G40" s="9" t="n">
        <v>5</v>
      </c>
    </row>
    <row r="41">
      <c r="A41" t="inlineStr">
        <is>
          <t>Swiss</t>
        </is>
      </c>
      <c r="B41" t="inlineStr"/>
      <c r="C41" t="inlineStr"/>
      <c r="D41" t="inlineStr"/>
      <c r="E41" t="inlineStr"/>
      <c r="F41" t="inlineStr"/>
      <c r="G41" t="inlineStr"/>
    </row>
    <row r="42">
      <c r="A42" s="9" t="n">
        <v>1936</v>
      </c>
      <c r="B42" s="9" t="n">
        <v>20</v>
      </c>
      <c r="C42" s="9" t="n">
        <v>5</v>
      </c>
      <c r="D42" t="inlineStr">
        <is>
          <t>—</t>
        </is>
      </c>
      <c r="E42" t="inlineStr">
        <is>
          <t>—</t>
        </is>
      </c>
      <c r="F42" t="inlineStr">
        <is>
          <t>—</t>
        </is>
      </c>
      <c r="G42" t="inlineStr">
        <is>
          <t>—</t>
        </is>
      </c>
    </row>
    <row r="43">
      <c r="A43" s="9" t="n">
        <v>1937</v>
      </c>
      <c r="B43" s="9" t="n">
        <v>22</v>
      </c>
      <c r="C43" s="9" t="n">
        <v>16</v>
      </c>
      <c r="D43" t="inlineStr">
        <is>
          <t>—</t>
        </is>
      </c>
      <c r="E43" t="inlineStr">
        <is>
          <t>—</t>
        </is>
      </c>
      <c r="F43" t="inlineStr">
        <is>
          <t>—</t>
        </is>
      </c>
      <c r="G43" t="inlineStr">
        <is>
          <t>—</t>
        </is>
      </c>
    </row>
    <row r="44">
      <c r="A44" s="9" t="n">
        <v>1938</v>
      </c>
      <c r="B44" s="9" t="n">
        <v>18</v>
      </c>
      <c r="C44" s="9" t="n">
        <v>8</v>
      </c>
      <c r="D44" t="inlineStr">
        <is>
          <t>—</t>
        </is>
      </c>
      <c r="E44" t="inlineStr">
        <is>
          <t>—</t>
        </is>
      </c>
      <c r="F44" s="9" t="n">
        <v>10</v>
      </c>
      <c r="G44" s="9" t="n">
        <v>9</v>
      </c>
    </row>
    <row r="45">
      <c r="A45" s="9" t="n">
        <v>1939</v>
      </c>
      <c r="B45" s="9" t="n">
        <v>2</v>
      </c>
      <c r="C45" s="9" t="n">
        <v>8</v>
      </c>
      <c r="D45" t="inlineStr">
        <is>
          <t>—</t>
        </is>
      </c>
      <c r="E45" t="inlineStr">
        <is>
          <t>—</t>
        </is>
      </c>
      <c r="F45" s="9" t="n">
        <v>5</v>
      </c>
      <c r="G45" s="9" t="n">
        <v>13</v>
      </c>
    </row>
    <row r="46">
      <c r="A46" t="inlineStr">
        <is>
          <t>Total incl. Others</t>
        </is>
      </c>
      <c r="B46" t="inlineStr"/>
      <c r="C46" t="inlineStr"/>
      <c r="D46" t="inlineStr"/>
      <c r="E46" t="inlineStr"/>
      <c r="F46" t="inlineStr"/>
      <c r="G46" t="inlineStr"/>
    </row>
    <row r="47">
      <c r="A47" s="9" t="n">
        <v>1936</v>
      </c>
      <c r="B47" s="6" t="n">
        <v>5735</v>
      </c>
      <c r="C47" s="9" t="n">
        <v>800</v>
      </c>
      <c r="D47" s="9" t="n">
        <v>783</v>
      </c>
      <c r="E47" s="9" t="n">
        <v>120</v>
      </c>
      <c r="F47" s="6" t="n">
        <v>2655</v>
      </c>
      <c r="G47" s="6" t="n">
        <v>4330</v>
      </c>
    </row>
    <row r="48">
      <c r="A48" s="9" t="n">
        <v>1937</v>
      </c>
      <c r="B48" s="6" t="n">
        <v>8965</v>
      </c>
      <c r="C48" s="6" t="n">
        <v>4880</v>
      </c>
      <c r="D48" s="6" t="n">
        <v>1551</v>
      </c>
      <c r="E48" s="9" t="n">
        <v>559</v>
      </c>
      <c r="F48" s="6" t="n">
        <v>2426</v>
      </c>
      <c r="G48" s="6" t="n">
        <v>2591</v>
      </c>
    </row>
    <row r="49">
      <c r="A49" s="9" t="n">
        <v>1938</v>
      </c>
      <c r="B49" s="6" t="n">
        <v>2827</v>
      </c>
      <c r="C49" s="6" t="n">
        <v>3740</v>
      </c>
      <c r="D49" s="9" t="n">
        <v>457</v>
      </c>
      <c r="E49" s="9" t="n">
        <v>759</v>
      </c>
      <c r="F49" s="6" t="n">
        <v>2847</v>
      </c>
      <c r="G49" s="6" t="n">
        <v>1800</v>
      </c>
    </row>
    <row r="50">
      <c r="A50" s="9" t="n">
        <v>1939</v>
      </c>
      <c r="B50" s="6" t="n">
        <v>3536</v>
      </c>
      <c r="C50" s="6" t="n">
        <v>2966</v>
      </c>
      <c r="D50" s="9" t="n">
        <v>494</v>
      </c>
      <c r="E50" s="9" t="n">
        <v>321</v>
      </c>
      <c r="F50" s="6" t="n">
        <v>3277</v>
      </c>
      <c r="G50" s="6" t="n">
        <v>2910</v>
      </c>
    </row>
    <row r="52">
      <c r="A52" s="2" t="inlineStr">
        <is>
          <t>Footnotes</t>
        </is>
      </c>
    </row>
    <row r="53">
      <c r="A53" t="inlineStr">
        <is>
          <t>Note: The number granted is inclusive of those applied for, during previous years.</t>
        </is>
      </c>
    </row>
    <row r="55">
      <c r="A55" s="2" t="inlineStr">
        <is>
          <t>Transcriber's notes</t>
        </is>
      </c>
    </row>
    <row r="56">
      <c r="A56" t="inlineStr">
        <is>
          <t>Manchoukuoan and Japanese on p.276; British–Total on p.277 headed '(Continued)'. Merged. Nationality groups (braced in print) rendered as heading rows.</t>
        </is>
      </c>
    </row>
    <row r="57">
      <c r="A57" t="inlineStr">
        <is>
          <t>Total row is 'Total incl. Others', so listed nationalities need not sum to it; comparison below:</t>
        </is>
      </c>
    </row>
    <row r="58">
      <c r="A58" t="inlineStr">
        <is>
          <t>1936 Patent Right — Applied: Total incl. Others 5,735; listed nationalities sum to 5,683 — 'Others' implied 52</t>
        </is>
      </c>
    </row>
    <row r="59">
      <c r="A59" t="inlineStr">
        <is>
          <t>1936 Patent Right — Granted: Total incl. Others 800; listed nationalities sum to 797 — 'Others' implied 3</t>
        </is>
      </c>
    </row>
    <row r="60">
      <c r="A60" t="inlineStr">
        <is>
          <t>1936 Utility Model — Applied: Total incl. Others 783; listed nationalities sum to 781 — 'Others' implied 2</t>
        </is>
      </c>
    </row>
    <row r="61">
      <c r="A61" t="inlineStr">
        <is>
          <t>1936 Utility Model — Granted: Total incl. Others 120; listed nationalities sum to 120 — equals total</t>
        </is>
      </c>
    </row>
    <row r="62">
      <c r="A62" t="inlineStr">
        <is>
          <t>1936 Trade Mark — Applied: Total incl. Others 2,655; listed nationalities sum to 2,597 — 'Others' implied 58</t>
        </is>
      </c>
    </row>
    <row r="63">
      <c r="A63" t="inlineStr">
        <is>
          <t>1936 Trade Mark — Granted: Total incl. Others 4,330; listed nationalities sum to 4,197 — 'Others' implied 133</t>
        </is>
      </c>
    </row>
    <row r="64">
      <c r="A64" t="inlineStr">
        <is>
          <t>1937 Patent Right — Applied: Total incl. Others 8,965; listed nationalities sum to 8,887 — 'Others' implied 78</t>
        </is>
      </c>
    </row>
    <row r="65">
      <c r="A65" t="inlineStr">
        <is>
          <t>1937 Patent Right — Granted: Total incl. Others 4,880; listed nationalities sum to 4,844 — 'Others' implied 36</t>
        </is>
      </c>
    </row>
    <row r="66">
      <c r="A66" t="inlineStr">
        <is>
          <t>1937 Utility Model — Applied: Total incl. Others 1,551; listed nationalities sum to 1,551 — equals total</t>
        </is>
      </c>
    </row>
    <row r="67">
      <c r="A67" t="inlineStr">
        <is>
          <t>1937 Utility Model — Granted: Total incl. Others 559; listed nationalities sum to 559 — equals total</t>
        </is>
      </c>
    </row>
    <row r="68">
      <c r="A68" t="inlineStr">
        <is>
          <t>1937 Trade Mark — Applied: Total incl. Others 2,426; listed nationalities sum to 2,369 — 'Others' implied 57</t>
        </is>
      </c>
    </row>
    <row r="69">
      <c r="A69" t="inlineStr">
        <is>
          <t>1937 Trade Mark — Granted: Total incl. Others 2,591; listed nationalities sum to 2,538 — 'Others' implied 53</t>
        </is>
      </c>
    </row>
    <row r="70">
      <c r="A70" t="inlineStr">
        <is>
          <t>1938 Patent Right — Applied: Total incl. Others 2,827; listed nationalities sum to 2,807 — 'Others' implied 20</t>
        </is>
      </c>
    </row>
    <row r="71">
      <c r="A71" t="inlineStr">
        <is>
          <t>1938 Patent Right — Granted: Total incl. Others 3,740; listed nationalities sum to 3,724 — 'Others' implied 16</t>
        </is>
      </c>
    </row>
    <row r="72">
      <c r="A72" t="inlineStr">
        <is>
          <t>1938 Utility Model — Applied: Total incl. Others 457; listed nationalities sum to 457 — equals total</t>
        </is>
      </c>
    </row>
    <row r="73">
      <c r="A73" t="inlineStr">
        <is>
          <t>1938 Utility Model — Granted: Total incl. Others 759; listed nationalities sum to 759 — equals total</t>
        </is>
      </c>
    </row>
    <row r="74">
      <c r="A74" t="inlineStr">
        <is>
          <t>1938 Trade Mark — Applied: Total incl. Others 2,847; listed nationalities sum to 2,824 — 'Others' implied 23</t>
        </is>
      </c>
    </row>
    <row r="75">
      <c r="A75" t="inlineStr">
        <is>
          <t>1938 Trade Mark — Granted: Total incl. Others 1,800; listed nationalities sum to 1,765 — 'Others' implied 35</t>
        </is>
      </c>
    </row>
    <row r="76">
      <c r="A76" t="inlineStr">
        <is>
          <t>1939 Patent Right — Applied: Total incl. Others 3,536; listed nationalities sum to 3,508 — 'Others' implied 28</t>
        </is>
      </c>
    </row>
    <row r="77">
      <c r="A77" t="inlineStr">
        <is>
          <t>1939 Patent Right — Granted: Total incl. Others 2,966; listed nationalities sum to 2,948 — 'Others' implied 18</t>
        </is>
      </c>
    </row>
    <row r="78">
      <c r="A78" t="inlineStr">
        <is>
          <t>1939 Utility Model — Applied: Total incl. Others 494; listed nationalities sum to 494 — equals total</t>
        </is>
      </c>
    </row>
    <row r="79">
      <c r="A79" t="inlineStr">
        <is>
          <t>1939 Utility Model — Granted: Total incl. Others 321; listed nationalities sum to 321 — equals total</t>
        </is>
      </c>
    </row>
    <row r="80">
      <c r="A80" t="inlineStr">
        <is>
          <t>1939 Trade Mark — Applied: Total incl. Others 3,277; listed nationalities sum to 3,001 — 'Others' implied 276</t>
        </is>
      </c>
    </row>
    <row r="81">
      <c r="A81" t="inlineStr">
        <is>
          <t>1939 Trade Mark — Granted: Total incl. Others 2,910; listed nationalities sum to 2,880 — 'Others' implied 30</t>
        </is>
      </c>
    </row>
  </sheetData>
  <hyperlinks>
    <hyperlink xmlns:r="http://schemas.openxmlformats.org/officeDocument/2006/relationships" ref="A3" r:id="rId1"/>
  </hyperlink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[Revised Five-Year Industrial Program: production goals]</t>
        </is>
      </c>
    </row>
    <row r="2">
      <c r="A2" t="inlineStr">
        <is>
          <t>Commerce · printed pp. 281, 282</t>
        </is>
      </c>
    </row>
    <row r="3">
      <c r="A3" t="inlineStr">
        <is>
          <t>1. Production goal:</t>
        </is>
      </c>
    </row>
    <row r="4">
      <c r="A4" s="3" t="inlineStr">
        <is>
          <t>← Contents</t>
        </is>
      </c>
    </row>
    <row r="6">
      <c r="A6" s="5" t="inlineStr">
        <is>
          <t>Item</t>
        </is>
      </c>
      <c r="B6" s="5" t="inlineStr">
        <is>
          <t>Goal</t>
        </is>
      </c>
      <c r="C6" s="5" t="inlineStr">
        <is>
          <t>Unit</t>
        </is>
      </c>
      <c r="D6" s="5" t="inlineStr">
        <is>
          <t>Remark</t>
        </is>
      </c>
    </row>
    <row r="7">
      <c r="A7" t="inlineStr">
        <is>
          <t>a. Pig iron</t>
        </is>
      </c>
      <c r="B7" s="6" t="n">
        <v>4650000</v>
      </c>
      <c r="C7" t="inlineStr">
        <is>
          <t>metric tons</t>
        </is>
      </c>
      <c r="D7" t="inlineStr"/>
    </row>
    <row r="8">
      <c r="A8" t="inlineStr">
        <is>
          <t>b. Steel ingots</t>
        </is>
      </c>
      <c r="B8" s="6" t="n">
        <v>4000000</v>
      </c>
      <c r="C8" t="inlineStr">
        <is>
          <t>„ „</t>
        </is>
      </c>
      <c r="D8" t="inlineStr"/>
    </row>
    <row r="9">
      <c r="A9" t="inlineStr">
        <is>
          <t>c. Steel billets</t>
        </is>
      </c>
      <c r="B9" s="6" t="n">
        <v>2200000</v>
      </c>
      <c r="C9" t="inlineStr">
        <is>
          <t>„ „</t>
        </is>
      </c>
      <c r="D9" t="inlineStr"/>
    </row>
    <row r="10">
      <c r="A10" t="inlineStr">
        <is>
          <t>d. Steel materials</t>
        </is>
      </c>
      <c r="B10" s="6" t="n">
        <v>1850000</v>
      </c>
      <c r="C10" t="inlineStr">
        <is>
          <t>„ „</t>
        </is>
      </c>
      <c r="D10" t="inlineStr"/>
    </row>
    <row r="11">
      <c r="A11" t="inlineStr">
        <is>
          <t>e. Ore-mining</t>
        </is>
      </c>
      <c r="B11" s="6" t="n">
        <v>12000000</v>
      </c>
      <c r="C11" t="inlineStr">
        <is>
          <t>„ „</t>
        </is>
      </c>
      <c r="D11" t="inlineStr">
        <is>
          <t>(The above is to be in charge of the Showa Steel Works, the Penhsihu Coal and Iron Company and the Tungpientao Development Company).</t>
        </is>
      </c>
    </row>
    <row r="12">
      <c r="A12" t="inlineStr">
        <is>
          <t>f. Coal</t>
        </is>
      </c>
      <c r="B12" s="6" t="n">
        <v>32000000</v>
      </c>
      <c r="C12" t="inlineStr">
        <is>
          <t>metric tons</t>
        </is>
      </c>
      <c r="D12" t="inlineStr">
        <is>
          <t>(To be in charge of the South Manchuria Railway Company, the Manchuria Coal Mining Company and the Penhsihu Coal and Iron Company).</t>
        </is>
      </c>
    </row>
    <row r="13">
      <c r="A13" t="inlineStr">
        <is>
          <t>g. Liquid fuel</t>
        </is>
      </c>
      <c r="B13" s="6" t="n">
        <v>1700000</v>
      </c>
      <c r="C13" t="inlineStr">
        <is>
          <t>metric tons</t>
        </is>
      </c>
      <c r="D13" t="inlineStr">
        <is>
          <t>(To be in charge of the Fushun Fuel Factory of S.M.R., the Manchuria Synthetic Fuel Company and the Manchuria Liquefaction Industrial Company).</t>
        </is>
      </c>
    </row>
    <row r="14">
      <c r="A14" t="inlineStr">
        <is>
          <t>h. Oil-shale</t>
        </is>
      </c>
      <c r="B14" s="6" t="n">
        <v>700000</v>
      </c>
      <c r="C14" t="inlineStr">
        <is>
          <t>metric tons</t>
        </is>
      </c>
      <c r="D14" t="inlineStr">
        <is>
          <t>(To be in charge of the Fushun Oilshale Factory of the S.M.R., etc.)</t>
        </is>
      </c>
    </row>
    <row r="15">
      <c r="A15" t="inlineStr">
        <is>
          <t>i. Gold</t>
        </is>
      </c>
      <c r="B15" t="inlineStr">
        <is>
          <t>¥300,000,000</t>
        </is>
      </c>
      <c r="C15" t="inlineStr">
        <is>
          <t>(including alluvial gold)</t>
        </is>
      </c>
      <c r="D15" t="inlineStr"/>
    </row>
    <row r="16">
      <c r="A16" t="inlineStr">
        <is>
          <t>j. Electric power</t>
        </is>
      </c>
      <c r="B16" s="6" t="n">
        <v>2500000</v>
      </c>
      <c r="C16" t="inlineStr">
        <is>
          <t>kilowatts</t>
        </is>
      </c>
      <c r="D16" t="inlineStr">
        <is>
          <t>(To be in charge of the Fuhsin, Fushun, Dairen, Anshan, Penhsihu and other leading heat-engine plants and the Yalu and Sungari water power stations).</t>
        </is>
      </c>
    </row>
    <row r="18">
      <c r="A18" s="2" t="inlineStr">
        <is>
          <t>Transcriber's notes</t>
        </is>
      </c>
    </row>
    <row r="19">
      <c r="A19" t="inlineStr">
        <is>
          <t>Lettered in-text list with an aligned figure column; included as a table per brief (list in columns with figures). Items a–g on p.281, h–j on p.282.</t>
        </is>
      </c>
    </row>
    <row r="20">
      <c r="A20" t="inlineStr">
        <is>
          <t>'„ „' = ditto marks for 'metric tons' as printed.</t>
        </is>
      </c>
    </row>
    <row r="21">
      <c r="A21" t="inlineStr">
        <is>
          <t>Parenthetical remarks printed under items transcribed into Remark column.</t>
        </is>
      </c>
    </row>
    <row r="22">
      <c r="A22" t="inlineStr">
        <is>
          <t>No totals printed.</t>
        </is>
      </c>
    </row>
  </sheetData>
  <hyperlinks>
    <hyperlink xmlns:r="http://schemas.openxmlformats.org/officeDocument/2006/relationships" ref="A4" r:id="rId1"/>
  </hyperlink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K11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10. Principal Japanese Investments Since 1932</t>
        </is>
      </c>
    </row>
    <row r="2">
      <c r="A2" t="inlineStr">
        <is>
          <t>Commerce · printed pp. 290, 291</t>
        </is>
      </c>
    </row>
    <row r="3">
      <c r="A3" t="inlineStr">
        <is>
          <t>(Unit: ¥1,000)</t>
        </is>
      </c>
    </row>
    <row r="4">
      <c r="A4" s="3" t="inlineStr">
        <is>
          <t>← Contents</t>
        </is>
      </c>
    </row>
    <row r="6">
      <c r="A6" s="5" t="inlineStr">
        <is>
          <t>Item</t>
        </is>
      </c>
      <c r="B6" s="5" t="inlineStr">
        <is>
          <t>1932</t>
        </is>
      </c>
      <c r="C6" s="5" t="inlineStr">
        <is>
          <t>1933</t>
        </is>
      </c>
      <c r="D6" s="5" t="inlineStr">
        <is>
          <t>1934</t>
        </is>
      </c>
      <c r="E6" s="5" t="inlineStr">
        <is>
          <t>1935</t>
        </is>
      </c>
      <c r="F6" s="5" t="inlineStr">
        <is>
          <t>1936</t>
        </is>
      </c>
      <c r="G6" s="5" t="inlineStr">
        <is>
          <t>1937</t>
        </is>
      </c>
      <c r="H6" s="5" t="inlineStr">
        <is>
          <t>1938</t>
        </is>
      </c>
      <c r="I6" s="5" t="inlineStr">
        <is>
          <t>1939</t>
        </is>
      </c>
      <c r="J6" s="5" t="inlineStr">
        <is>
          <t>1940</t>
        </is>
      </c>
      <c r="K6" s="5" t="inlineStr">
        <is>
          <t>Total</t>
        </is>
      </c>
    </row>
    <row r="7">
      <c r="A7" t="inlineStr">
        <is>
          <t>(1) S.M.R. Subscription</t>
        </is>
      </c>
      <c r="B7" s="6" t="n">
        <v>25000</v>
      </c>
      <c r="C7" s="6" t="n">
        <v>61000</v>
      </c>
      <c r="D7" s="6" t="n">
        <v>36000</v>
      </c>
      <c r="E7" s="6" t="n">
        <v>36000</v>
      </c>
      <c r="F7" s="6" t="n">
        <v>36000</v>
      </c>
      <c r="G7" s="6" t="n">
        <v>56000</v>
      </c>
      <c r="H7" s="6" t="n">
        <v>20000</v>
      </c>
      <c r="I7" s="6" t="n">
        <v>40000</v>
      </c>
      <c r="J7" s="6" t="n">
        <v>100000</v>
      </c>
      <c r="K7" s="6" t="n">
        <v>410000</v>
      </c>
    </row>
    <row r="8">
      <c r="A8" t="inlineStr">
        <is>
          <t>(2) Net increase of S.M.R. Debentures</t>
        </is>
      </c>
      <c r="B8" s="6" t="n">
        <v>40000</v>
      </c>
      <c r="C8" s="6" t="n">
        <v>20200</v>
      </c>
      <c r="D8" s="6" t="n">
        <v>130000</v>
      </c>
      <c r="E8" s="6" t="n">
        <v>135000</v>
      </c>
      <c r="F8" s="6" t="n">
        <v>155000</v>
      </c>
      <c r="G8" s="6" t="n">
        <v>21000</v>
      </c>
      <c r="H8" s="6" t="n">
        <v>115000</v>
      </c>
      <c r="I8" s="6" t="n">
        <v>210000</v>
      </c>
      <c r="J8" t="inlineStr">
        <is>
          <t>-30,000 / 275,000</t>
        </is>
      </c>
      <c r="K8" s="6" t="n">
        <v>1071200</v>
      </c>
    </row>
    <row r="9">
      <c r="A9" t="inlineStr">
        <is>
          <t>(3) S.M.R. Borrowings</t>
        </is>
      </c>
      <c r="B9" t="inlineStr">
        <is>
          <t>—</t>
        </is>
      </c>
      <c r="C9" t="inlineStr">
        <is>
          <t>—</t>
        </is>
      </c>
      <c r="D9" t="inlineStr">
        <is>
          <t>—</t>
        </is>
      </c>
      <c r="E9" s="6" t="n">
        <v>75000</v>
      </c>
      <c r="F9" s="6" t="n">
        <v>-75000</v>
      </c>
      <c r="G9" s="6" t="n">
        <v>84000</v>
      </c>
      <c r="H9" t="inlineStr">
        <is>
          <t>-74,000 / 15,000</t>
        </is>
      </c>
      <c r="I9" t="inlineStr">
        <is>
          <t>-25,000 / 50,000</t>
        </is>
      </c>
      <c r="J9" t="inlineStr">
        <is>
          <t>-98,000 / 93,000</t>
        </is>
      </c>
      <c r="K9" s="6" t="n">
        <v>45000</v>
      </c>
    </row>
    <row r="10">
      <c r="A10" t="inlineStr">
        <is>
          <t>(4) Opening of S.M.R. Holding Shares</t>
        </is>
      </c>
      <c r="B10" t="inlineStr">
        <is>
          <t>—</t>
        </is>
      </c>
      <c r="C10" t="inlineStr">
        <is>
          <t>—</t>
        </is>
      </c>
      <c r="D10" t="inlineStr">
        <is>
          <t>—</t>
        </is>
      </c>
      <c r="E10" s="9" t="n">
        <v>340</v>
      </c>
      <c r="F10" s="6" t="n">
        <v>17205</v>
      </c>
      <c r="G10" t="inlineStr">
        <is>
          <t>—</t>
        </is>
      </c>
      <c r="H10" s="6" t="n">
        <v>1344</v>
      </c>
      <c r="I10" s="6" t="n">
        <v>15391</v>
      </c>
      <c r="J10" s="6" t="n">
        <v>3950</v>
      </c>
      <c r="K10" s="6" t="n">
        <v>38230</v>
      </c>
    </row>
    <row r="11">
      <c r="A11" t="inlineStr">
        <is>
          <t>(5) Net Increase of Debentures of Principal Cos.</t>
        </is>
      </c>
      <c r="B11" t="inlineStr">
        <is>
          <t>—</t>
        </is>
      </c>
      <c r="C11" s="6" t="n">
        <v>1700</v>
      </c>
      <c r="D11" s="6" t="n">
        <v>30450</v>
      </c>
      <c r="E11" s="6" t="n">
        <v>38875</v>
      </c>
      <c r="F11" s="6" t="n">
        <v>31750</v>
      </c>
      <c r="G11" s="6" t="n">
        <v>27050</v>
      </c>
      <c r="H11" s="6" t="n">
        <v>127200</v>
      </c>
      <c r="I11" s="6" t="n">
        <v>499344</v>
      </c>
      <c r="J11" s="6" t="n">
        <v>308175</v>
      </c>
      <c r="K11" s="6" t="n">
        <v>1064544</v>
      </c>
    </row>
    <row r="12">
      <c r="A12" t="inlineStr">
        <is>
          <t>of which:</t>
        </is>
      </c>
      <c r="B12" t="inlineStr"/>
      <c r="C12" t="inlineStr"/>
      <c r="D12" t="inlineStr"/>
      <c r="E12" t="inlineStr"/>
      <c r="F12" t="inlineStr"/>
      <c r="G12" t="inlineStr"/>
      <c r="H12" t="inlineStr"/>
      <c r="I12" t="inlineStr"/>
      <c r="J12" t="inlineStr"/>
      <c r="K12" t="inlineStr"/>
    </row>
    <row r="13">
      <c r="A13" t="inlineStr">
        <is>
          <t>(a) Manchuria Chemical Industry Co.'s Debentures</t>
        </is>
      </c>
      <c r="B13" t="inlineStr">
        <is>
          <t>—</t>
        </is>
      </c>
      <c r="C13" t="inlineStr">
        <is>
          <t>—</t>
        </is>
      </c>
      <c r="D13" t="inlineStr">
        <is>
          <t>—</t>
        </is>
      </c>
      <c r="E13" t="inlineStr">
        <is>
          <t>—</t>
        </is>
      </c>
      <c r="F13" t="inlineStr">
        <is>
          <t>—</t>
        </is>
      </c>
      <c r="G13" t="inlineStr">
        <is>
          <t>—</t>
        </is>
      </c>
      <c r="H13" s="6" t="n">
        <v>10000</v>
      </c>
      <c r="I13" t="inlineStr">
        <is>
          <t>—</t>
        </is>
      </c>
      <c r="J13" t="inlineStr">
        <is>
          <t>—</t>
        </is>
      </c>
      <c r="K13" s="6" t="n">
        <v>10000</v>
      </c>
    </row>
    <row r="14">
      <c r="A14" t="inlineStr">
        <is>
          <t>(b) Ditto-Borrowings</t>
        </is>
      </c>
      <c r="B14" t="inlineStr">
        <is>
          <t>—</t>
        </is>
      </c>
      <c r="C14" t="inlineStr">
        <is>
          <t>—</t>
        </is>
      </c>
      <c r="D14" s="6" t="n">
        <v>12000</v>
      </c>
      <c r="E14" t="inlineStr">
        <is>
          <t>—</t>
        </is>
      </c>
      <c r="F14" s="6" t="n">
        <v>-6250</v>
      </c>
      <c r="G14" s="6" t="n">
        <v>4050</v>
      </c>
      <c r="H14" s="6" t="n">
        <v>-9800</v>
      </c>
      <c r="I14" t="inlineStr">
        <is>
          <t>—</t>
        </is>
      </c>
      <c r="J14" t="inlineStr">
        <is>
          <t>—</t>
        </is>
      </c>
      <c r="K14" s="9" t="n">
        <v>0</v>
      </c>
    </row>
    <row r="15">
      <c r="A15" t="inlineStr">
        <is>
          <t>(c) Manchuria Telephone &amp; Telegraph Debentures</t>
        </is>
      </c>
      <c r="B15" t="inlineStr">
        <is>
          <t>—</t>
        </is>
      </c>
      <c r="C15" t="inlineStr">
        <is>
          <t>—</t>
        </is>
      </c>
      <c r="D15" s="6" t="n">
        <v>8000</v>
      </c>
      <c r="E15" s="6" t="n">
        <v>7000</v>
      </c>
      <c r="F15" t="inlineStr">
        <is>
          <t>—</t>
        </is>
      </c>
      <c r="G15" s="6" t="n">
        <v>8000</v>
      </c>
      <c r="H15" s="6" t="n">
        <v>6000</v>
      </c>
      <c r="I15" s="6" t="n">
        <v>6000</v>
      </c>
      <c r="J15" s="6" t="n">
        <v>14000</v>
      </c>
      <c r="K15" s="6" t="n">
        <v>49000</v>
      </c>
    </row>
    <row r="16">
      <c r="A16" t="inlineStr">
        <is>
          <t>(d) Ditto-Borrowings</t>
        </is>
      </c>
      <c r="B16" t="inlineStr">
        <is>
          <t>—</t>
        </is>
      </c>
      <c r="C16" t="inlineStr">
        <is>
          <t>—</t>
        </is>
      </c>
      <c r="D16" t="inlineStr">
        <is>
          <t>—</t>
        </is>
      </c>
      <c r="E16" t="inlineStr">
        <is>
          <t>—</t>
        </is>
      </c>
      <c r="F16" t="inlineStr">
        <is>
          <t>—</t>
        </is>
      </c>
      <c r="G16" t="inlineStr">
        <is>
          <t>—</t>
        </is>
      </c>
      <c r="H16" t="inlineStr">
        <is>
          <t>—</t>
        </is>
      </c>
      <c r="I16" t="inlineStr">
        <is>
          <t>—</t>
        </is>
      </c>
      <c r="J16" t="inlineStr">
        <is>
          <t>-8,000 / 8,000</t>
        </is>
      </c>
      <c r="K16" s="9" t="n">
        <v>0</v>
      </c>
    </row>
    <row r="17">
      <c r="A17" t="inlineStr">
        <is>
          <t>(e) Manchuria Colliery Debentures</t>
        </is>
      </c>
      <c r="B17" t="inlineStr">
        <is>
          <t>—</t>
        </is>
      </c>
      <c r="C17" t="inlineStr">
        <is>
          <t>—</t>
        </is>
      </c>
      <c r="D17" t="inlineStr">
        <is>
          <t>—</t>
        </is>
      </c>
      <c r="E17" s="6" t="n">
        <v>10000</v>
      </c>
      <c r="F17" t="inlineStr">
        <is>
          <t>—</t>
        </is>
      </c>
      <c r="G17" t="inlineStr">
        <is>
          <t>—</t>
        </is>
      </c>
      <c r="H17" s="6" t="n">
        <v>10000</v>
      </c>
      <c r="I17" s="6" t="n">
        <v>30000</v>
      </c>
      <c r="J17" t="inlineStr">
        <is>
          <t>—</t>
        </is>
      </c>
      <c r="K17" s="6" t="n">
        <v>50000</v>
      </c>
    </row>
    <row r="18">
      <c r="A18" t="inlineStr">
        <is>
          <t>(f) Ditto-Borrowings</t>
        </is>
      </c>
      <c r="B18" t="inlineStr">
        <is>
          <t>—</t>
        </is>
      </c>
      <c r="C18" t="inlineStr">
        <is>
          <t>—</t>
        </is>
      </c>
      <c r="D18" t="inlineStr">
        <is>
          <t>—</t>
        </is>
      </c>
      <c r="E18" t="inlineStr">
        <is>
          <t>—</t>
        </is>
      </c>
      <c r="F18" s="6" t="n">
        <v>5000</v>
      </c>
      <c r="G18" t="inlineStr">
        <is>
          <t>-5,000 / 10,000</t>
        </is>
      </c>
      <c r="H18" t="inlineStr">
        <is>
          <t>-10,000 / 20,000</t>
        </is>
      </c>
      <c r="I18" t="inlineStr">
        <is>
          <t>-30,000 / 40,000</t>
        </is>
      </c>
      <c r="J18" t="inlineStr">
        <is>
          <t>—</t>
        </is>
      </c>
      <c r="K18" s="6" t="n">
        <v>30000</v>
      </c>
    </row>
    <row r="19">
      <c r="A19" t="inlineStr">
        <is>
          <t>(g) Manchuria Electric Debentures</t>
        </is>
      </c>
      <c r="B19" t="inlineStr">
        <is>
          <t>—</t>
        </is>
      </c>
      <c r="C19" t="inlineStr">
        <is>
          <t>—</t>
        </is>
      </c>
      <c r="D19" t="inlineStr">
        <is>
          <t>—</t>
        </is>
      </c>
      <c r="E19" s="6" t="n">
        <v>10000</v>
      </c>
      <c r="F19" s="6" t="n">
        <v>15000</v>
      </c>
      <c r="G19" t="inlineStr">
        <is>
          <t>—</t>
        </is>
      </c>
      <c r="H19" t="inlineStr">
        <is>
          <t>—</t>
        </is>
      </c>
      <c r="I19" s="6" t="n">
        <v>40000</v>
      </c>
      <c r="J19" s="6" t="n">
        <v>60000</v>
      </c>
      <c r="K19" s="6" t="n">
        <v>125000</v>
      </c>
    </row>
    <row r="20">
      <c r="A20" t="inlineStr">
        <is>
          <t>(h) Ditto-Borrowings</t>
        </is>
      </c>
      <c r="B20" t="inlineStr">
        <is>
          <t>—</t>
        </is>
      </c>
      <c r="C20" t="inlineStr">
        <is>
          <t>—</t>
        </is>
      </c>
      <c r="D20" t="inlineStr">
        <is>
          <t>—</t>
        </is>
      </c>
      <c r="E20" t="inlineStr">
        <is>
          <t>—</t>
        </is>
      </c>
      <c r="F20" t="inlineStr">
        <is>
          <t>—</t>
        </is>
      </c>
      <c r="G20" t="inlineStr">
        <is>
          <t>—</t>
        </is>
      </c>
      <c r="H20" s="6" t="n">
        <v>20000</v>
      </c>
      <c r="I20" t="inlineStr">
        <is>
          <t>-40,000 / 55,000</t>
        </is>
      </c>
      <c r="J20" t="inlineStr">
        <is>
          <t>-60,000 / 50,000</t>
        </is>
      </c>
      <c r="K20" s="6" t="n">
        <v>25000</v>
      </c>
    </row>
    <row r="21">
      <c r="A21" t="inlineStr">
        <is>
          <t>(i) Showa Steel Debentures</t>
        </is>
      </c>
      <c r="B21" t="inlineStr">
        <is>
          <t>—</t>
        </is>
      </c>
      <c r="C21" t="inlineStr">
        <is>
          <t>—</t>
        </is>
      </c>
      <c r="D21" t="inlineStr">
        <is>
          <t>—</t>
        </is>
      </c>
      <c r="E21" s="6" t="n">
        <v>10000</v>
      </c>
      <c r="F21" s="6" t="n">
        <v>18000</v>
      </c>
      <c r="G21" t="inlineStr">
        <is>
          <t>—</t>
        </is>
      </c>
      <c r="H21" t="inlineStr">
        <is>
          <t>—</t>
        </is>
      </c>
      <c r="I21" s="6" t="n">
        <v>70000</v>
      </c>
      <c r="J21" t="inlineStr">
        <is>
          <t>—</t>
        </is>
      </c>
      <c r="K21" s="6" t="n">
        <v>98000</v>
      </c>
    </row>
    <row r="22">
      <c r="A22" t="inlineStr">
        <is>
          <t>(j) Ditto-Borrowings</t>
        </is>
      </c>
      <c r="B22" t="inlineStr">
        <is>
          <t>—</t>
        </is>
      </c>
      <c r="C22" t="inlineStr">
        <is>
          <t>—</t>
        </is>
      </c>
      <c r="D22" t="inlineStr">
        <is>
          <t>—</t>
        </is>
      </c>
      <c r="E22" t="inlineStr">
        <is>
          <t>—</t>
        </is>
      </c>
      <c r="F22" t="inlineStr">
        <is>
          <t>—</t>
        </is>
      </c>
      <c r="G22" t="inlineStr">
        <is>
          <t>—</t>
        </is>
      </c>
      <c r="H22" t="inlineStr">
        <is>
          <t>—</t>
        </is>
      </c>
      <c r="I22" t="inlineStr">
        <is>
          <t>-70,000 / 70,000</t>
        </is>
      </c>
      <c r="J22" t="inlineStr">
        <is>
          <t>—</t>
        </is>
      </c>
      <c r="K22" s="9" t="n">
        <v>0</v>
      </c>
    </row>
    <row r="23">
      <c r="A23" t="inlineStr">
        <is>
          <t>(k) Manchuria Development Debentures</t>
        </is>
      </c>
      <c r="B23" t="inlineStr">
        <is>
          <t>—</t>
        </is>
      </c>
      <c r="C23" t="inlineStr">
        <is>
          <t>—</t>
        </is>
      </c>
      <c r="D23" t="inlineStr">
        <is>
          <t>—</t>
        </is>
      </c>
      <c r="E23" t="inlineStr">
        <is>
          <t>—</t>
        </is>
      </c>
      <c r="F23" t="inlineStr">
        <is>
          <t>—</t>
        </is>
      </c>
      <c r="G23" t="inlineStr">
        <is>
          <t>—</t>
        </is>
      </c>
      <c r="H23" s="6" t="n">
        <v>30000</v>
      </c>
      <c r="I23" s="6" t="n">
        <v>73000</v>
      </c>
      <c r="J23" s="6" t="n">
        <v>30000</v>
      </c>
      <c r="K23" s="6" t="n">
        <v>133000</v>
      </c>
    </row>
    <row r="24">
      <c r="A24" t="inlineStr">
        <is>
          <t>(l) Ditto-Borrowings</t>
        </is>
      </c>
      <c r="B24" t="inlineStr">
        <is>
          <t>—</t>
        </is>
      </c>
      <c r="C24" t="inlineStr">
        <is>
          <t>—</t>
        </is>
      </c>
      <c r="D24" t="inlineStr">
        <is>
          <t>—</t>
        </is>
      </c>
      <c r="E24" t="inlineStr">
        <is>
          <t>—</t>
        </is>
      </c>
      <c r="F24" t="inlineStr">
        <is>
          <t>—</t>
        </is>
      </c>
      <c r="G24" t="inlineStr">
        <is>
          <t>—</t>
        </is>
      </c>
      <c r="H24" t="inlineStr">
        <is>
          <t>—</t>
        </is>
      </c>
      <c r="I24" t="inlineStr">
        <is>
          <t>—</t>
        </is>
      </c>
      <c r="J24" t="inlineStr">
        <is>
          <t>-30,000 / 40,000</t>
        </is>
      </c>
      <c r="K24" s="6" t="n">
        <v>10000</v>
      </c>
    </row>
    <row r="25">
      <c r="A25" t="inlineStr">
        <is>
          <t>(m) Manchuria Ind. Development Debentures</t>
        </is>
      </c>
      <c r="B25" t="inlineStr">
        <is>
          <t>—</t>
        </is>
      </c>
      <c r="C25" t="inlineStr">
        <is>
          <t>—</t>
        </is>
      </c>
      <c r="D25" t="inlineStr">
        <is>
          <t>—</t>
        </is>
      </c>
      <c r="E25" t="inlineStr">
        <is>
          <t>—</t>
        </is>
      </c>
      <c r="F25" t="inlineStr">
        <is>
          <t>—</t>
        </is>
      </c>
      <c r="G25" t="inlineStr">
        <is>
          <t>—</t>
        </is>
      </c>
      <c r="H25" t="inlineStr">
        <is>
          <t>—</t>
        </is>
      </c>
      <c r="I25" s="6" t="n">
        <v>130000</v>
      </c>
      <c r="J25" s="6" t="n">
        <v>130000</v>
      </c>
      <c r="K25" s="6" t="n">
        <v>260000</v>
      </c>
    </row>
    <row r="26">
      <c r="A26" t="inlineStr">
        <is>
          <t>(n) Ditto-Borrowings</t>
        </is>
      </c>
      <c r="B26" t="inlineStr">
        <is>
          <t>—</t>
        </is>
      </c>
      <c r="C26" t="inlineStr">
        <is>
          <t>—</t>
        </is>
      </c>
      <c r="D26" t="inlineStr">
        <is>
          <t>—</t>
        </is>
      </c>
      <c r="E26" t="inlineStr">
        <is>
          <t>—</t>
        </is>
      </c>
      <c r="F26" t="inlineStr">
        <is>
          <t>—</t>
        </is>
      </c>
      <c r="G26" s="6" t="n">
        <v>10000</v>
      </c>
      <c r="H26" s="6" t="n">
        <v>38500</v>
      </c>
      <c r="I26" t="inlineStr">
        <is>
          <t>-102,000 / 122,000</t>
        </is>
      </c>
      <c r="J26" t="inlineStr">
        <is>
          <t>-110,000 / 82,000</t>
        </is>
      </c>
      <c r="K26" s="6" t="n">
        <v>40500</v>
      </c>
    </row>
    <row r="27">
      <c r="A27" t="inlineStr">
        <is>
          <t>(o) Ditto-Public Subscription</t>
        </is>
      </c>
      <c r="B27" t="inlineStr">
        <is>
          <t>—</t>
        </is>
      </c>
      <c r="C27" t="inlineStr">
        <is>
          <t>—</t>
        </is>
      </c>
      <c r="D27" t="inlineStr">
        <is>
          <t>—</t>
        </is>
      </c>
      <c r="E27" t="inlineStr">
        <is>
          <t>—</t>
        </is>
      </c>
      <c r="F27" t="inlineStr">
        <is>
          <t>—</t>
        </is>
      </c>
      <c r="G27" t="inlineStr">
        <is>
          <t>—</t>
        </is>
      </c>
      <c r="H27" t="inlineStr">
        <is>
          <t>—</t>
        </is>
      </c>
      <c r="I27" s="6" t="n">
        <v>27135</v>
      </c>
      <c r="J27" s="6" t="n">
        <v>28742</v>
      </c>
      <c r="K27" s="6" t="n">
        <v>55877</v>
      </c>
    </row>
    <row r="28">
      <c r="A28" t="inlineStr">
        <is>
          <t>(p) S. Manchuria Elec. Debentures</t>
        </is>
      </c>
      <c r="B28" t="inlineStr">
        <is>
          <t>—</t>
        </is>
      </c>
      <c r="C28" t="inlineStr">
        <is>
          <t>—</t>
        </is>
      </c>
      <c r="D28" s="6" t="n">
        <v>10000</v>
      </c>
      <c r="E28" t="inlineStr">
        <is>
          <t>—</t>
        </is>
      </c>
      <c r="F28" t="inlineStr">
        <is>
          <t>—</t>
        </is>
      </c>
      <c r="G28" t="inlineStr">
        <is>
          <t>—</t>
        </is>
      </c>
      <c r="H28" t="inlineStr">
        <is>
          <t>—</t>
        </is>
      </c>
      <c r="I28" t="inlineStr">
        <is>
          <t>—</t>
        </is>
      </c>
      <c r="J28" t="inlineStr">
        <is>
          <t>—</t>
        </is>
      </c>
      <c r="K28" s="6" t="n">
        <v>10000</v>
      </c>
    </row>
    <row r="29">
      <c r="A29" t="inlineStr">
        <is>
          <t>(q) Penhsihu Colliery &amp; Iron, Debentures</t>
        </is>
      </c>
      <c r="B29" t="inlineStr">
        <is>
          <t>—</t>
        </is>
      </c>
      <c r="C29" t="inlineStr">
        <is>
          <t>—</t>
        </is>
      </c>
      <c r="D29" t="inlineStr">
        <is>
          <t>—</t>
        </is>
      </c>
      <c r="E29" t="inlineStr">
        <is>
          <t>—</t>
        </is>
      </c>
      <c r="F29" t="inlineStr">
        <is>
          <t>—</t>
        </is>
      </c>
      <c r="G29" t="inlineStr">
        <is>
          <t>—</t>
        </is>
      </c>
      <c r="H29" t="inlineStr">
        <is>
          <t>—</t>
        </is>
      </c>
      <c r="I29" s="6" t="n">
        <v>25000</v>
      </c>
      <c r="J29" t="inlineStr">
        <is>
          <t>—</t>
        </is>
      </c>
      <c r="K29" s="6" t="n">
        <v>25000</v>
      </c>
    </row>
    <row r="30">
      <c r="A30" t="inlineStr">
        <is>
          <t>(r) Ditto-Borrowings</t>
        </is>
      </c>
      <c r="B30" t="inlineStr">
        <is>
          <t>—</t>
        </is>
      </c>
      <c r="C30" t="inlineStr">
        <is>
          <t>—</t>
        </is>
      </c>
      <c r="D30" t="inlineStr">
        <is>
          <t>—</t>
        </is>
      </c>
      <c r="E30" t="inlineStr">
        <is>
          <t>—</t>
        </is>
      </c>
      <c r="F30" t="inlineStr">
        <is>
          <t>—</t>
        </is>
      </c>
      <c r="G30" t="inlineStr">
        <is>
          <t>—</t>
        </is>
      </c>
      <c r="H30" t="inlineStr">
        <is>
          <t>—</t>
        </is>
      </c>
      <c r="I30" t="inlineStr">
        <is>
          <t>-25,000 / 29,000</t>
        </is>
      </c>
      <c r="J30" s="6" t="n">
        <v>15000</v>
      </c>
      <c r="K30" s="6" t="n">
        <v>19000</v>
      </c>
    </row>
    <row r="31">
      <c r="A31" t="inlineStr">
        <is>
          <t>(s) Industrial Bank of Manchou, Debentures</t>
        </is>
      </c>
      <c r="B31" t="inlineStr">
        <is>
          <t>—</t>
        </is>
      </c>
      <c r="C31" t="inlineStr">
        <is>
          <t>—</t>
        </is>
      </c>
      <c r="D31" t="inlineStr">
        <is>
          <t>—</t>
        </is>
      </c>
      <c r="E31" t="inlineStr">
        <is>
          <t>—</t>
        </is>
      </c>
      <c r="F31" t="inlineStr">
        <is>
          <t>—</t>
        </is>
      </c>
      <c r="G31" t="inlineStr">
        <is>
          <t>—</t>
        </is>
      </c>
      <c r="H31" s="6" t="n">
        <v>10000</v>
      </c>
      <c r="I31" s="6" t="n">
        <v>20000</v>
      </c>
      <c r="J31" s="6" t="n">
        <v>45000</v>
      </c>
      <c r="K31" s="6" t="n">
        <v>75000</v>
      </c>
    </row>
    <row r="32">
      <c r="A32" t="inlineStr">
        <is>
          <t>(t) Ditto-Public Subscription</t>
        </is>
      </c>
      <c r="B32" t="inlineStr">
        <is>
          <t>—</t>
        </is>
      </c>
      <c r="C32" t="inlineStr">
        <is>
          <t>—</t>
        </is>
      </c>
      <c r="D32" t="inlineStr">
        <is>
          <t>—</t>
        </is>
      </c>
      <c r="E32" t="inlineStr">
        <is>
          <t>—</t>
        </is>
      </c>
      <c r="F32" t="inlineStr">
        <is>
          <t>—</t>
        </is>
      </c>
      <c r="G32" t="inlineStr">
        <is>
          <t>—</t>
        </is>
      </c>
      <c r="H32" t="inlineStr">
        <is>
          <t>—</t>
        </is>
      </c>
      <c r="I32" s="6" t="n">
        <v>12799</v>
      </c>
      <c r="J32" t="inlineStr">
        <is>
          <t>—</t>
        </is>
      </c>
      <c r="K32" s="6" t="n">
        <v>12799</v>
      </c>
    </row>
    <row r="33">
      <c r="A33" t="inlineStr">
        <is>
          <t>(u) Ditto-Borrowings</t>
        </is>
      </c>
      <c r="B33" t="inlineStr">
        <is>
          <t>—</t>
        </is>
      </c>
      <c r="C33" t="inlineStr">
        <is>
          <t>—</t>
        </is>
      </c>
      <c r="D33" t="inlineStr">
        <is>
          <t>—</t>
        </is>
      </c>
      <c r="E33" t="inlineStr">
        <is>
          <t>—</t>
        </is>
      </c>
      <c r="F33" t="inlineStr">
        <is>
          <t>—</t>
        </is>
      </c>
      <c r="G33" t="inlineStr">
        <is>
          <t>—</t>
        </is>
      </c>
      <c r="H33" t="inlineStr">
        <is>
          <t>—</t>
        </is>
      </c>
      <c r="I33" t="inlineStr">
        <is>
          <t>—</t>
        </is>
      </c>
      <c r="J33" t="inlineStr">
        <is>
          <t>-45,000 / 55,000</t>
        </is>
      </c>
      <c r="K33" s="6" t="n">
        <v>10000</v>
      </c>
    </row>
    <row r="34">
      <c r="A34" t="inlineStr">
        <is>
          <t>(v) Other Debentures</t>
        </is>
      </c>
      <c r="B34" t="inlineStr">
        <is>
          <t>—</t>
        </is>
      </c>
      <c r="C34" s="6" t="n">
        <v>1700</v>
      </c>
      <c r="D34" s="9" t="n">
        <v>450</v>
      </c>
      <c r="E34" s="6" t="n">
        <v>1875</v>
      </c>
      <c r="F34" t="inlineStr">
        <is>
          <t>—</t>
        </is>
      </c>
      <c r="G34" t="inlineStr">
        <is>
          <t>—</t>
        </is>
      </c>
      <c r="H34" s="6" t="n">
        <v>2500</v>
      </c>
      <c r="I34" s="6" t="n">
        <v>3300</v>
      </c>
      <c r="J34" t="inlineStr">
        <is>
          <t>-8,000 / 8,000</t>
        </is>
      </c>
      <c r="K34" s="6" t="n">
        <v>9825</v>
      </c>
    </row>
    <row r="35">
      <c r="A35" t="inlineStr">
        <is>
          <t>(w) Other Borrowings</t>
        </is>
      </c>
      <c r="B35" t="inlineStr">
        <is>
          <t>—</t>
        </is>
      </c>
      <c r="C35" t="inlineStr">
        <is>
          <t>—</t>
        </is>
      </c>
      <c r="D35" t="inlineStr">
        <is>
          <t>—</t>
        </is>
      </c>
      <c r="E35" t="inlineStr">
        <is>
          <t>—</t>
        </is>
      </c>
      <c r="F35" t="inlineStr">
        <is>
          <t>—</t>
        </is>
      </c>
      <c r="G35" t="inlineStr">
        <is>
          <t>—</t>
        </is>
      </c>
      <c r="H35" t="inlineStr">
        <is>
          <t>—</t>
        </is>
      </c>
      <c r="I35" s="6" t="n">
        <v>13110</v>
      </c>
      <c r="J35" s="6" t="n">
        <v>3433</v>
      </c>
      <c r="K35" s="6" t="n">
        <v>16543</v>
      </c>
    </row>
    <row r="36">
      <c r="A36" t="inlineStr">
        <is>
          <t>(6) Capital paid for New Established or Newly Called</t>
        </is>
      </c>
      <c r="B36" s="6" t="n">
        <v>12203</v>
      </c>
      <c r="C36" s="6" t="n">
        <v>38345</v>
      </c>
      <c r="D36" s="6" t="n">
        <v>65225</v>
      </c>
      <c r="E36" s="6" t="n">
        <v>21983</v>
      </c>
      <c r="F36" s="6" t="n">
        <v>59440</v>
      </c>
      <c r="G36" s="10" t="n">
        <v>84.863</v>
      </c>
      <c r="H36" s="6" t="n">
        <v>133897</v>
      </c>
      <c r="I36" s="6" t="n">
        <v>228978</v>
      </c>
      <c r="J36" s="6" t="n">
        <v>151579</v>
      </c>
      <c r="K36" s="6" t="n">
        <v>796513</v>
      </c>
    </row>
    <row r="37">
      <c r="A37" t="inlineStr">
        <is>
          <t>(7) State Borrowings</t>
        </is>
      </c>
      <c r="B37" s="6" t="n">
        <v>20000</v>
      </c>
      <c r="C37" t="inlineStr">
        <is>
          <t>—</t>
        </is>
      </c>
      <c r="D37" t="inlineStr">
        <is>
          <t>—</t>
        </is>
      </c>
      <c r="E37" s="6" t="n">
        <v>-2000</v>
      </c>
      <c r="F37" s="6" t="n">
        <v>-2000</v>
      </c>
      <c r="G37" s="6" t="n">
        <v>-2000</v>
      </c>
      <c r="H37" s="6" t="n">
        <v>-2000</v>
      </c>
      <c r="I37" t="inlineStr">
        <is>
          <t>—</t>
        </is>
      </c>
      <c r="J37" t="inlineStr">
        <is>
          <t>—</t>
        </is>
      </c>
      <c r="K37" s="6" t="n">
        <v>12000</v>
      </c>
    </row>
    <row r="38">
      <c r="A38" t="inlineStr">
        <is>
          <t>(8) State Foundation Loans</t>
        </is>
      </c>
      <c r="B38" t="inlineStr">
        <is>
          <t>—</t>
        </is>
      </c>
      <c r="C38" s="6" t="n">
        <v>30000</v>
      </c>
      <c r="D38" t="inlineStr">
        <is>
          <t>—</t>
        </is>
      </c>
      <c r="E38" s="6" t="n">
        <v>-2000</v>
      </c>
      <c r="F38" s="6" t="n">
        <v>-2000</v>
      </c>
      <c r="G38" s="6" t="n">
        <v>-6000</v>
      </c>
      <c r="H38" s="6" t="n">
        <v>-8000</v>
      </c>
      <c r="I38" t="inlineStr">
        <is>
          <t>—</t>
        </is>
      </c>
      <c r="J38" t="inlineStr">
        <is>
          <t>—</t>
        </is>
      </c>
      <c r="K38" s="6" t="n">
        <v>10000</v>
      </c>
    </row>
    <row r="39">
      <c r="A39" t="inlineStr">
        <is>
          <t>(9) N. Manchuria Ry. Loans</t>
        </is>
      </c>
      <c r="B39" t="inlineStr">
        <is>
          <t>—</t>
        </is>
      </c>
      <c r="C39" t="inlineStr">
        <is>
          <t>—</t>
        </is>
      </c>
      <c r="D39" t="inlineStr">
        <is>
          <t>—</t>
        </is>
      </c>
      <c r="E39" s="6" t="n">
        <v>60000</v>
      </c>
      <c r="F39" s="6" t="n">
        <v>60000</v>
      </c>
      <c r="G39" s="6" t="n">
        <v>60000</v>
      </c>
      <c r="H39" s="6" t="n">
        <v>50000</v>
      </c>
      <c r="I39" t="inlineStr">
        <is>
          <t>—</t>
        </is>
      </c>
      <c r="J39" t="inlineStr">
        <is>
          <t>—</t>
        </is>
      </c>
      <c r="K39" s="6" t="n">
        <v>170000</v>
      </c>
    </row>
    <row r="40">
      <c r="A40" t="inlineStr">
        <is>
          <t>(10) Ditto-Borrowings</t>
        </is>
      </c>
      <c r="B40" t="inlineStr">
        <is>
          <t>—</t>
        </is>
      </c>
      <c r="C40" t="inlineStr">
        <is>
          <t>—</t>
        </is>
      </c>
      <c r="D40" t="inlineStr">
        <is>
          <t>—</t>
        </is>
      </c>
      <c r="E40" s="6" t="n">
        <v>15400</v>
      </c>
      <c r="F40" s="6" t="n">
        <v>-15400</v>
      </c>
      <c r="G40" s="6" t="n">
        <v>-38360</v>
      </c>
      <c r="H40" s="6" t="n">
        <v>-38360</v>
      </c>
      <c r="I40" t="inlineStr">
        <is>
          <t>—</t>
        </is>
      </c>
      <c r="J40" t="inlineStr">
        <is>
          <t>—</t>
        </is>
      </c>
      <c r="K40" s="9" t="n">
        <v>0</v>
      </c>
    </row>
    <row r="41">
      <c r="A41" t="inlineStr">
        <is>
          <t>(11) State Investment Loans</t>
        </is>
      </c>
      <c r="B41" t="inlineStr">
        <is>
          <t>—</t>
        </is>
      </c>
      <c r="C41" t="inlineStr">
        <is>
          <t>—</t>
        </is>
      </c>
      <c r="D41" s="6" t="n">
        <v>10000</v>
      </c>
      <c r="E41" t="inlineStr">
        <is>
          <t>—</t>
        </is>
      </c>
      <c r="F41" t="inlineStr">
        <is>
          <t>—</t>
        </is>
      </c>
      <c r="G41" t="inlineStr">
        <is>
          <t>—</t>
        </is>
      </c>
      <c r="H41" s="9" t="n">
        <v>-600</v>
      </c>
      <c r="I41" s="6" t="n">
        <v>135000</v>
      </c>
      <c r="J41" t="inlineStr">
        <is>
          <t>-8,000 / 215,000</t>
        </is>
      </c>
      <c r="K41" s="6" t="n">
        <v>351400</v>
      </c>
    </row>
    <row r="42">
      <c r="A42" t="inlineStr">
        <is>
          <t>(12) Ditto-Borrowings</t>
        </is>
      </c>
      <c r="B42" t="inlineStr">
        <is>
          <t>—</t>
        </is>
      </c>
      <c r="C42" t="inlineStr">
        <is>
          <t>—</t>
        </is>
      </c>
      <c r="D42" t="inlineStr">
        <is>
          <t>—</t>
        </is>
      </c>
      <c r="E42" t="inlineStr">
        <is>
          <t>—</t>
        </is>
      </c>
      <c r="F42" t="inlineStr">
        <is>
          <t>—</t>
        </is>
      </c>
      <c r="G42" t="inlineStr">
        <is>
          <t>—</t>
        </is>
      </c>
      <c r="H42" s="6" t="n">
        <v>100000</v>
      </c>
      <c r="I42" s="6" t="n">
        <v>-100000</v>
      </c>
      <c r="J42" t="inlineStr">
        <is>
          <t>-135,000 / 135,000</t>
        </is>
      </c>
      <c r="K42" s="9" t="n">
        <v>0</v>
      </c>
    </row>
    <row r="43">
      <c r="A43" t="inlineStr">
        <is>
          <t>(13) Hydro Electric Loans</t>
        </is>
      </c>
      <c r="B43" t="inlineStr">
        <is>
          <t>—</t>
        </is>
      </c>
      <c r="C43" t="inlineStr">
        <is>
          <t>—</t>
        </is>
      </c>
      <c r="D43" t="inlineStr">
        <is>
          <t>—</t>
        </is>
      </c>
      <c r="E43" t="inlineStr">
        <is>
          <t>—</t>
        </is>
      </c>
      <c r="F43" t="inlineStr">
        <is>
          <t>—</t>
        </is>
      </c>
      <c r="G43" t="inlineStr">
        <is>
          <t>—</t>
        </is>
      </c>
      <c r="H43" t="inlineStr">
        <is>
          <t>—</t>
        </is>
      </c>
      <c r="I43" s="6" t="n">
        <v>50000</v>
      </c>
      <c r="J43" t="inlineStr">
        <is>
          <t>—</t>
        </is>
      </c>
      <c r="K43" s="6" t="n">
        <v>50000</v>
      </c>
    </row>
    <row r="44">
      <c r="A44" t="inlineStr">
        <is>
          <t>(14) Financing Industry Loans</t>
        </is>
      </c>
      <c r="B44" t="inlineStr">
        <is>
          <t>—</t>
        </is>
      </c>
      <c r="C44" t="inlineStr">
        <is>
          <t>—</t>
        </is>
      </c>
      <c r="D44" t="inlineStr">
        <is>
          <t>—</t>
        </is>
      </c>
      <c r="E44" t="inlineStr">
        <is>
          <t>—</t>
        </is>
      </c>
      <c r="F44" t="inlineStr">
        <is>
          <t>—</t>
        </is>
      </c>
      <c r="G44" t="inlineStr">
        <is>
          <t>—</t>
        </is>
      </c>
      <c r="H44" t="inlineStr">
        <is>
          <t>—</t>
        </is>
      </c>
      <c r="I44" t="inlineStr">
        <is>
          <t>—</t>
        </is>
      </c>
      <c r="J44" t="inlineStr">
        <is>
          <t>—</t>
        </is>
      </c>
      <c r="K44" s="6" t="n">
        <v>45000</v>
      </c>
    </row>
    <row r="45">
      <c r="A45" t="inlineStr">
        <is>
          <t>TOTAL</t>
        </is>
      </c>
      <c r="B45" s="6" t="n">
        <v>97203</v>
      </c>
      <c r="C45" s="6" t="n">
        <v>151245</v>
      </c>
      <c r="D45" t="inlineStr"/>
      <c r="E45" s="6" t="n">
        <v>378598</v>
      </c>
      <c r="F45" s="6" t="n">
        <v>262995</v>
      </c>
      <c r="G45" s="6" t="n">
        <v>348273</v>
      </c>
      <c r="H45" s="6" t="n">
        <v>439481</v>
      </c>
      <c r="I45" s="6" t="n">
        <v>1103713</v>
      </c>
      <c r="J45" s="6" t="n">
        <v>1010704</v>
      </c>
      <c r="K45" s="6" t="n">
        <v>4063887</v>
      </c>
    </row>
    <row r="47">
      <c r="A47" s="2" t="inlineStr">
        <is>
          <t>Transcriber's notes</t>
        </is>
      </c>
    </row>
    <row r="48">
      <c r="A48" t="inlineStr">
        <is>
          <t>Table printed sideways across pp.290–291; read from rotated crops. Items (1)–(k) on p.290, (l)–TOTAL on p.291.</t>
        </is>
      </c>
    </row>
    <row r="49">
      <c r="A49" t="inlineStr">
        <is>
          <t>Cells printing two figures one above the other (a decrease and an increase in the same year, e.g. '-30,000' over '275,000') are recorded as 'upper / lower'. Row totals equal the net of both.</t>
        </is>
      </c>
    </row>
    <row r="50">
      <c r="A50" t="inlineStr">
        <is>
          <t>Minus signs printed as short dashes before figures; recorded as '-'.</t>
        </is>
      </c>
    </row>
    <row r="51">
      <c r="A51" t="inlineStr">
        <is>
          <t>(6) 1937 printed '84.863' (full stop for comma); transcribed as printed, read as 84,863 for checks.</t>
        </is>
      </c>
    </row>
    <row r="52">
      <c r="A52" t="inlineStr">
        <is>
          <t>TOTAL 1934: first digit damaged (reads '?71,675'); left blank. Items (1)–(14) for 1934 sum to 271,675, so the figure is probably 271,675, but not recorded as read.</t>
        </is>
      </c>
    </row>
    <row r="53">
      <c r="A53" t="inlineStr">
        <is>
          <t>(14) Financing Industry Loans: every year printed '—' but Total printed 45,000.</t>
        </is>
      </c>
    </row>
    <row r="54">
      <c r="A54" t="inlineStr">
        <is>
          <t>(1) S.M.R. Subscription: row sum 1932–1940 = 410,000; printed Total 410,000 — reconciles</t>
        </is>
      </c>
    </row>
    <row r="55">
      <c r="A55" t="inlineStr">
        <is>
          <t>(2) Net increase of S.M.R. Debentures: row sum 1932–1940 = 1,071,200; printed Total 1,071,200 — reconciles</t>
        </is>
      </c>
    </row>
    <row r="56">
      <c r="A56" t="inlineStr">
        <is>
          <t>(3) S.M.R. Borrowings: row sum 1932–1940 = 45,000; printed Total 45,000 — reconciles</t>
        </is>
      </c>
    </row>
    <row r="57">
      <c r="A57" t="inlineStr">
        <is>
          <t>(4) Opening of S.M.R. Holding Shares: row sum 1932–1940 = 38,230; printed Total 38,230 — reconciles</t>
        </is>
      </c>
    </row>
    <row r="58">
      <c r="A58" t="inlineStr">
        <is>
          <t>(5) Net Increase of Debentures of Principal Cos.: row sum 1932–1940 = 1,064,544; printed Total 1,064,544 — reconciles</t>
        </is>
      </c>
    </row>
    <row r="59">
      <c r="A59" t="inlineStr">
        <is>
          <t>(a) Manchuria Chemical Industry Co.'s Debentures: row sum 1932–1940 = 10,000; printed Total 10,000 — reconciles</t>
        </is>
      </c>
    </row>
    <row r="60">
      <c r="A60" t="inlineStr">
        <is>
          <t>(b) Ditto-Borrowings: row sum 1932–1940 = 0; printed Total 0 — reconciles</t>
        </is>
      </c>
    </row>
    <row r="61">
      <c r="A61" t="inlineStr">
        <is>
          <t>(c) Manchuria Telephone &amp; Telegraph Debentures: row sum 1932–1940 = 49,000; printed Total 49,000 — reconciles</t>
        </is>
      </c>
    </row>
    <row r="62">
      <c r="A62" t="inlineStr">
        <is>
          <t>(d) Ditto-Borrowings: row sum 1932–1940 = 0; printed Total 0 — reconciles</t>
        </is>
      </c>
    </row>
    <row r="63">
      <c r="A63" t="inlineStr">
        <is>
          <t>(e) Manchuria Colliery Debentures: row sum 1932–1940 = 50,000; printed Total 50,000 — reconciles</t>
        </is>
      </c>
    </row>
    <row r="64">
      <c r="A64" t="inlineStr">
        <is>
          <t>(f) Ditto-Borrowings: row sum 1932–1940 = 30,000; printed Total 30,000 — reconciles</t>
        </is>
      </c>
    </row>
    <row r="65">
      <c r="A65" t="inlineStr">
        <is>
          <t>(g) Manchuria Electric Debentures: row sum 1932–1940 = 125,000; printed Total 125,000 — reconciles</t>
        </is>
      </c>
    </row>
    <row r="66">
      <c r="A66" t="inlineStr">
        <is>
          <t>(h) Ditto-Borrowings: row sum 1932–1940 = 25,000; printed Total 25,000 — reconciles</t>
        </is>
      </c>
    </row>
    <row r="67">
      <c r="A67" t="inlineStr">
        <is>
          <t>(i) Showa Steel Debentures: row sum 1932–1940 = 98,000; printed Total 98,000 — reconciles</t>
        </is>
      </c>
    </row>
    <row r="68">
      <c r="A68" t="inlineStr">
        <is>
          <t>(j) Ditto-Borrowings: row sum 1932–1940 = 0; printed Total 0 — reconciles</t>
        </is>
      </c>
    </row>
    <row r="69">
      <c r="A69" t="inlineStr">
        <is>
          <t>(k) Manchuria Development Debentures: row sum 1932–1940 = 133,000; printed Total 133,000 — reconciles</t>
        </is>
      </c>
    </row>
    <row r="70">
      <c r="A70" t="inlineStr">
        <is>
          <t>(l) Ditto-Borrowings: row sum 1932–1940 = 10,000; printed Total 10,000 — reconciles</t>
        </is>
      </c>
    </row>
    <row r="71">
      <c r="A71" t="inlineStr">
        <is>
          <t>(m) Manchuria Ind. Development Debentures: row sum 1932–1940 = 260,000; printed Total 260,000 — reconciles</t>
        </is>
      </c>
    </row>
    <row r="72">
      <c r="A72" t="inlineStr">
        <is>
          <t>(n) Ditto-Borrowings: row sum 1932–1940 = 40,500; printed Total 40,500 — reconciles</t>
        </is>
      </c>
    </row>
    <row r="73">
      <c r="A73" t="inlineStr">
        <is>
          <t>(o) Ditto-Public Subscription: row sum 1932–1940 = 55,877; printed Total 55,877 — reconciles</t>
        </is>
      </c>
    </row>
    <row r="74">
      <c r="A74" t="inlineStr">
        <is>
          <t>(p) S. Manchuria Elec. Debentures: row sum 1932–1940 = 10,000; printed Total 10,000 — reconciles</t>
        </is>
      </c>
    </row>
    <row r="75">
      <c r="A75" t="inlineStr">
        <is>
          <t>(q) Penhsihu Colliery &amp; Iron, Debentures: row sum 1932–1940 = 25,000; printed Total 25,000 — reconciles</t>
        </is>
      </c>
    </row>
    <row r="76">
      <c r="A76" t="inlineStr">
        <is>
          <t>(r) Ditto-Borrowings: row sum 1932–1940 = 19,000; printed Total 19,000 — reconciles</t>
        </is>
      </c>
    </row>
    <row r="77">
      <c r="A77" t="inlineStr">
        <is>
          <t>(s) Industrial Bank of Manchou, Debentures: row sum 1932–1940 = 75,000; printed Total 75,000 — reconciles</t>
        </is>
      </c>
    </row>
    <row r="78">
      <c r="A78" t="inlineStr">
        <is>
          <t>(t) Ditto-Public Subscription: row sum 1932–1940 = 12,799; printed Total 12,799 — reconciles</t>
        </is>
      </c>
    </row>
    <row r="79">
      <c r="A79" t="inlineStr">
        <is>
          <t>(u) Ditto-Borrowings: row sum 1932–1940 = 10,000; printed Total 10,000 — reconciles</t>
        </is>
      </c>
    </row>
    <row r="80">
      <c r="A80" t="inlineStr">
        <is>
          <t>(v) Other Debentures: row sum 1932–1940 = 9,825; printed Total 9,825 — reconciles</t>
        </is>
      </c>
    </row>
    <row r="81">
      <c r="A81" t="inlineStr">
        <is>
          <t>(w) Other Borrowings: row sum 1932–1940 = 16,543; printed Total 16,543 — reconciles</t>
        </is>
      </c>
    </row>
    <row r="82">
      <c r="A82" t="inlineStr">
        <is>
          <t>(6) Capital paid for New Established or Newly Called: row sum 1932–1940 = 796,513; printed Total 796,513 — reconciles</t>
        </is>
      </c>
    </row>
    <row r="83">
      <c r="A83" t="inlineStr">
        <is>
          <t>(7) State Borrowings: row sum 1932–1940 = 12,000; printed Total 12,000 — reconciles</t>
        </is>
      </c>
    </row>
    <row r="84">
      <c r="A84" t="inlineStr">
        <is>
          <t>(8) State Foundation Loans: row sum 1932–1940 = 12,000; printed Total 10,000 — does NOT reconcile (diff -2,000)</t>
        </is>
      </c>
    </row>
    <row r="85">
      <c r="A85" t="inlineStr">
        <is>
          <t>(9) N. Manchuria Ry. Loans: row sum 1932–1940 = 230,000; printed Total 170,000 — does NOT reconcile (diff -60,000)</t>
        </is>
      </c>
    </row>
    <row r="86">
      <c r="A86" t="inlineStr">
        <is>
          <t>(10) Ditto-Borrowings: row sum 1932–1940 = -76,720; printed Total 0 — does NOT reconcile (diff 76,720)</t>
        </is>
      </c>
    </row>
    <row r="87">
      <c r="A87" t="inlineStr">
        <is>
          <t>(11) State Investment Loans: row sum 1932–1940 = 351,400; printed Total 351,400 — reconciles</t>
        </is>
      </c>
    </row>
    <row r="88">
      <c r="A88" t="inlineStr">
        <is>
          <t>(12) Ditto-Borrowings: row sum 1932–1940 = 0; printed Total 0 — reconciles</t>
        </is>
      </c>
    </row>
    <row r="89">
      <c r="A89" t="inlineStr">
        <is>
          <t>(13) Hydro Electric Loans: row sum 1932–1940 = 50,000; printed Total 50,000 — reconciles</t>
        </is>
      </c>
    </row>
    <row r="90">
      <c r="A90" t="inlineStr">
        <is>
          <t>(14) Financing Industry Loans: row sum 1932–1940 = 0; printed Total 45,000 — does NOT reconcile (diff 45,000)</t>
        </is>
      </c>
    </row>
    <row r="91">
      <c r="A91" t="inlineStr">
        <is>
          <t>TOTAL 1932: items (1)–(14) sum to 97,203; printed 97,203 — reconciles</t>
        </is>
      </c>
    </row>
    <row r="92">
      <c r="A92" t="inlineStr">
        <is>
          <t>(5) 1932: sub-items (a)–(w) sum to 0; printed —</t>
        </is>
      </c>
    </row>
    <row r="93">
      <c r="A93" t="inlineStr">
        <is>
          <t>TOTAL 1933: items (1)–(14) sum to 151,245; printed 151,245 — reconciles</t>
        </is>
      </c>
    </row>
    <row r="94">
      <c r="A94" t="inlineStr">
        <is>
          <t>(5) 1933: sub-items (a)–(w) sum to 1,700; printed 1,700</t>
        </is>
      </c>
    </row>
    <row r="95">
      <c r="A95" t="inlineStr">
        <is>
          <t>TOTAL 1934: items (1)–(14) sum to 271,675; printed [unreadable]</t>
        </is>
      </c>
    </row>
    <row r="96">
      <c r="A96" t="inlineStr">
        <is>
          <t>(5) 1934: sub-items (a)–(w) sum to 30,450; printed 30,450</t>
        </is>
      </c>
    </row>
    <row r="97">
      <c r="A97" t="inlineStr">
        <is>
          <t>TOTAL 1935: items (1)–(14) sum to 378,598; printed 378,598 — reconciles</t>
        </is>
      </c>
    </row>
    <row r="98">
      <c r="A98" t="inlineStr">
        <is>
          <t>(5) 1935: sub-items (a)–(w) sum to 38,875; printed 38,875</t>
        </is>
      </c>
    </row>
    <row r="99">
      <c r="A99" t="inlineStr">
        <is>
          <t>TOTAL 1936: items (1)–(14) sum to 264,995; printed 262,995 — does NOT reconcile (diff -2,000)</t>
        </is>
      </c>
    </row>
    <row r="100">
      <c r="A100" t="inlineStr">
        <is>
          <t>(5) 1936: sub-items (a)–(w) sum to 31,750; printed 31,750</t>
        </is>
      </c>
    </row>
    <row r="101">
      <c r="A101" t="inlineStr">
        <is>
          <t>TOTAL 1937: items (1)–(14) sum to 286,553; printed 348,273 — does NOT reconcile (diff 61,720)</t>
        </is>
      </c>
    </row>
    <row r="102">
      <c r="A102" t="inlineStr">
        <is>
          <t>(5) 1937: sub-items (a)–(w) sum to 27,050; printed 27,050</t>
        </is>
      </c>
    </row>
    <row r="103">
      <c r="A103" t="inlineStr">
        <is>
          <t>TOTAL 1938: items (1)–(14) sum to 439,481; printed 439,481 — reconciles</t>
        </is>
      </c>
    </row>
    <row r="104">
      <c r="A104" t="inlineStr">
        <is>
          <t>(5) 1938: sub-items (a)–(w) sum to 127,200; printed 127,200</t>
        </is>
      </c>
    </row>
    <row r="105">
      <c r="A105" t="inlineStr">
        <is>
          <t>TOTAL 1939: items (1)–(14) sum to 1,103,713; printed 1,103,713 — reconciles</t>
        </is>
      </c>
    </row>
    <row r="106">
      <c r="A106" t="inlineStr">
        <is>
          <t>(5) 1939: sub-items (a)–(w) sum to 499,344; printed 499,344</t>
        </is>
      </c>
    </row>
    <row r="107">
      <c r="A107" t="inlineStr">
        <is>
          <t>TOTAL 1940: items (1)–(14) sum to 1,010,704; printed 1,010,704 — reconciles</t>
        </is>
      </c>
    </row>
    <row r="108">
      <c r="A108" t="inlineStr">
        <is>
          <t>(5) 1940: sub-items (a)–(w) sum to 308,175; printed 308,175</t>
        </is>
      </c>
    </row>
    <row r="109">
      <c r="A109" t="inlineStr">
        <is>
          <t>TOTAL Total: items (1)–(14) sum to 4,063,887; printed 4,063,887 — reconciles</t>
        </is>
      </c>
    </row>
    <row r="110">
      <c r="A110" t="inlineStr">
        <is>
          <t>(5) Total: sub-items (a)–(w) sum to 1,064,544; printed 1,064,544</t>
        </is>
      </c>
    </row>
    <row r="111">
      <c r="A111" t="inlineStr">
        <is>
          <t>Table 11 (IMG_5605_1) prints the 1934 total as 271,675, consistent with the column sum here; the damaged cell is still left blank.</t>
        </is>
      </c>
    </row>
  </sheetData>
  <hyperlinks>
    <hyperlink xmlns:r="http://schemas.openxmlformats.org/officeDocument/2006/relationships" ref="A4" r:id="rId1"/>
  </hyperlink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11. Disposal of Japanese Investments</t>
        </is>
      </c>
    </row>
    <row r="2">
      <c r="A2" t="inlineStr">
        <is>
          <t>Commerce · printed pp. 293</t>
        </is>
      </c>
    </row>
    <row r="3">
      <c r="A3" t="inlineStr">
        <is>
          <t>(Prepared by Manchuria Affairs Board, Japan)</t>
        </is>
      </c>
    </row>
    <row r="4">
      <c r="A4" s="3" t="inlineStr">
        <is>
          <t>← Contents</t>
        </is>
      </c>
    </row>
    <row r="6">
      <c r="A6" s="5" t="inlineStr">
        <is>
          <t>Year</t>
        </is>
      </c>
      <c r="B6" s="5" t="inlineStr">
        <is>
          <t>S.M.R. Co. &amp; affiliations (¥1,000)</t>
        </is>
      </c>
      <c r="C6" s="5" t="inlineStr">
        <is>
          <t>S.M.R. Co. &amp; affiliations %</t>
        </is>
      </c>
      <c r="D6" s="5" t="inlineStr">
        <is>
          <t>Manchoukuo Govt. affiliations (¥1,000)</t>
        </is>
      </c>
      <c r="E6" s="5" t="inlineStr">
        <is>
          <t>Manchoukuo Govt. affiliations %</t>
        </is>
      </c>
      <c r="F6" s="5" t="inlineStr">
        <is>
          <t>Total (¥1,000)</t>
        </is>
      </c>
      <c r="G6" s="5" t="inlineStr">
        <is>
          <t>Cummulative Total (¥1,000)</t>
        </is>
      </c>
    </row>
    <row r="7">
      <c r="A7" s="9" t="n">
        <v>1932</v>
      </c>
      <c r="B7" s="6" t="n">
        <v>65000</v>
      </c>
      <c r="C7" s="9" t="n">
        <v>69</v>
      </c>
      <c r="D7" s="6" t="n">
        <v>32203</v>
      </c>
      <c r="E7" s="9" t="n">
        <v>33</v>
      </c>
      <c r="F7" s="6" t="n">
        <v>97203</v>
      </c>
      <c r="G7" s="6" t="n">
        <v>97203</v>
      </c>
    </row>
    <row r="8">
      <c r="A8" s="9" t="n">
        <v>1933</v>
      </c>
      <c r="B8" s="6" t="n">
        <v>81200</v>
      </c>
      <c r="C8" s="9" t="n">
        <v>53</v>
      </c>
      <c r="D8" s="6" t="n">
        <v>70045</v>
      </c>
      <c r="E8" s="9" t="n">
        <v>47</v>
      </c>
      <c r="F8" s="6" t="n">
        <v>151245</v>
      </c>
      <c r="G8" s="6" t="n">
        <v>248448</v>
      </c>
    </row>
    <row r="9">
      <c r="A9" s="9" t="n">
        <v>1934</v>
      </c>
      <c r="B9" s="6" t="n">
        <v>188000</v>
      </c>
      <c r="C9" s="9" t="n">
        <v>69</v>
      </c>
      <c r="D9" s="6" t="n">
        <v>83675</v>
      </c>
      <c r="E9" s="9" t="n">
        <v>31</v>
      </c>
      <c r="F9" s="6" t="n">
        <v>271675</v>
      </c>
      <c r="G9" s="6" t="n">
        <v>520123</v>
      </c>
    </row>
    <row r="10">
      <c r="A10" s="9" t="n">
        <v>1935</v>
      </c>
      <c r="B10" s="6" t="n">
        <v>266350</v>
      </c>
      <c r="C10" s="9" t="n">
        <v>70</v>
      </c>
      <c r="D10" s="6" t="n">
        <v>112248</v>
      </c>
      <c r="E10" s="9" t="n">
        <v>30</v>
      </c>
      <c r="F10" s="6" t="n">
        <v>378598</v>
      </c>
      <c r="G10" s="6" t="n">
        <v>898721</v>
      </c>
    </row>
    <row r="11">
      <c r="A11" s="9" t="n">
        <v>1936</v>
      </c>
      <c r="B11" s="6" t="n">
        <v>191705</v>
      </c>
      <c r="C11" s="9" t="n">
        <v>73</v>
      </c>
      <c r="D11" s="6" t="n">
        <v>71294</v>
      </c>
      <c r="E11" s="9" t="n">
        <v>27</v>
      </c>
      <c r="F11" s="6" t="n">
        <v>262995</v>
      </c>
      <c r="G11" s="6" t="n">
        <v>1161716</v>
      </c>
    </row>
    <row r="12">
      <c r="A12" s="9" t="n">
        <v>1937</v>
      </c>
      <c r="B12" s="6" t="n">
        <v>165050</v>
      </c>
      <c r="C12" s="9" t="n">
        <v>48</v>
      </c>
      <c r="D12" s="6" t="n">
        <v>176223</v>
      </c>
      <c r="E12" s="9" t="n">
        <v>52</v>
      </c>
      <c r="F12" s="6" t="n">
        <v>348273</v>
      </c>
      <c r="G12" s="6" t="n">
        <v>1509989</v>
      </c>
    </row>
    <row r="13">
      <c r="A13" s="9" t="n">
        <v>1938</v>
      </c>
      <c r="B13" s="6" t="n">
        <v>77544</v>
      </c>
      <c r="C13" s="9" t="n">
        <v>18</v>
      </c>
      <c r="D13" s="6" t="n">
        <v>353437</v>
      </c>
      <c r="E13" s="9" t="n">
        <v>82</v>
      </c>
      <c r="F13" s="6" t="n">
        <v>439481</v>
      </c>
      <c r="G13" s="6" t="n">
        <v>1949470</v>
      </c>
    </row>
    <row r="14">
      <c r="A14" s="9" t="n">
        <v>1939</v>
      </c>
      <c r="B14" s="6" t="n">
        <v>290391</v>
      </c>
      <c r="C14" s="9" t="n">
        <v>26</v>
      </c>
      <c r="D14" s="6" t="n">
        <v>813323</v>
      </c>
      <c r="E14" s="9" t="n">
        <v>74</v>
      </c>
      <c r="F14" s="6" t="n">
        <v>1103713</v>
      </c>
      <c r="G14" s="6" t="n">
        <v>3053183</v>
      </c>
    </row>
    <row r="15">
      <c r="A15" s="9" t="n">
        <v>1940</v>
      </c>
      <c r="B15" s="6" t="n">
        <v>343950</v>
      </c>
      <c r="C15" s="9" t="n">
        <v>34</v>
      </c>
      <c r="D15" s="6" t="n">
        <v>666754</v>
      </c>
      <c r="E15" s="9" t="n">
        <v>66</v>
      </c>
      <c r="F15" s="6" t="n">
        <v>1010704</v>
      </c>
      <c r="G15" s="6" t="n">
        <v>4063887</v>
      </c>
    </row>
    <row r="16">
      <c r="A16" t="inlineStr">
        <is>
          <t>Total</t>
        </is>
      </c>
      <c r="B16" s="6" t="n">
        <v>1669190</v>
      </c>
      <c r="C16" s="9" t="n">
        <v>42</v>
      </c>
      <c r="D16" s="6" t="n">
        <v>2394692</v>
      </c>
      <c r="E16" s="9" t="n">
        <v>56</v>
      </c>
      <c r="F16" s="6" t="n">
        <v>4063887</v>
      </c>
      <c r="G16" t="inlineStr">
        <is>
          <t>—</t>
        </is>
      </c>
    </row>
    <row r="18">
      <c r="A18" s="2" t="inlineStr">
        <is>
          <t>Transcriber's notes</t>
        </is>
      </c>
    </row>
    <row r="19">
      <c r="A19" t="inlineStr">
        <is>
          <t>Heading 'Cummulative' [sic].</t>
        </is>
      </c>
    </row>
    <row r="20">
      <c r="A20" t="inlineStr">
        <is>
          <t>Figure rows printed about half a line above the year labels; aligned by order.</t>
        </is>
      </c>
    </row>
    <row r="21">
      <c r="A21" t="inlineStr">
        <is>
          <t>Yearly totals match the TOTAL row of Table 10 (IMG_5604_1), including 1934 = 271,675.</t>
        </is>
      </c>
    </row>
    <row r="22">
      <c r="A22" t="inlineStr">
        <is>
          <t>1932 Total = S.M.R. + Manchoukuo Govt.: printed 97,203, parts sum to 97,203 — reconciles</t>
        </is>
      </c>
    </row>
    <row r="23">
      <c r="A23" t="inlineStr">
        <is>
          <t>1932 Cumulative: computed 97,203, printed 97,203 — reconciles</t>
        </is>
      </c>
    </row>
    <row r="24">
      <c r="A24" t="inlineStr">
        <is>
          <t>1932 %: computed 67 / 33, printed 69 / 33</t>
        </is>
      </c>
    </row>
    <row r="25">
      <c r="A25" t="inlineStr">
        <is>
          <t>1933 Total = S.M.R. + Manchoukuo Govt.: printed 151,245, parts sum to 151,245 — reconciles</t>
        </is>
      </c>
    </row>
    <row r="26">
      <c r="A26" t="inlineStr">
        <is>
          <t>1933 Cumulative: computed 248,448, printed 248,448 — reconciles</t>
        </is>
      </c>
    </row>
    <row r="27">
      <c r="A27" t="inlineStr">
        <is>
          <t>1933 %: computed 54 / 46, printed 53 / 47</t>
        </is>
      </c>
    </row>
    <row r="28">
      <c r="A28" t="inlineStr">
        <is>
          <t>1934 Total = S.M.R. + Manchoukuo Govt.: printed 271,675, parts sum to 271,675 — reconciles</t>
        </is>
      </c>
    </row>
    <row r="29">
      <c r="A29" t="inlineStr">
        <is>
          <t>1934 Cumulative: computed 520,123, printed 520,123 — reconciles</t>
        </is>
      </c>
    </row>
    <row r="30">
      <c r="A30" t="inlineStr">
        <is>
          <t>1934 %: computed 69 / 31, printed 69 / 31</t>
        </is>
      </c>
    </row>
    <row r="31">
      <c r="A31" t="inlineStr">
        <is>
          <t>1935 Total = S.M.R. + Manchoukuo Govt.: printed 378,598, parts sum to 378,598 — reconciles</t>
        </is>
      </c>
    </row>
    <row r="32">
      <c r="A32" t="inlineStr">
        <is>
          <t>1935 Cumulative: computed 898,721, printed 898,721 — reconciles</t>
        </is>
      </c>
    </row>
    <row r="33">
      <c r="A33" t="inlineStr">
        <is>
          <t>1935 %: computed 70 / 30, printed 70 / 30</t>
        </is>
      </c>
    </row>
    <row r="34">
      <c r="A34" t="inlineStr">
        <is>
          <t>1936 Total = S.M.R. + Manchoukuo Govt.: printed 262,995, parts sum to 262,999 — does NOT reconcile (diff -4)</t>
        </is>
      </c>
    </row>
    <row r="35">
      <c r="A35" t="inlineStr">
        <is>
          <t>1936 Cumulative: computed 1,161,716, printed 1,161,716 — reconciles</t>
        </is>
      </c>
    </row>
    <row r="36">
      <c r="A36" t="inlineStr">
        <is>
          <t>1936 %: computed 73 / 27, printed 73 / 27</t>
        </is>
      </c>
    </row>
    <row r="37">
      <c r="A37" t="inlineStr">
        <is>
          <t>1937 Total = S.M.R. + Manchoukuo Govt.: printed 348,273, parts sum to 341,273 — does NOT reconcile (diff 7,000)</t>
        </is>
      </c>
    </row>
    <row r="38">
      <c r="A38" t="inlineStr">
        <is>
          <t>1937 Cumulative: computed 1,509,989, printed 1,509,989 — reconciles</t>
        </is>
      </c>
    </row>
    <row r="39">
      <c r="A39" t="inlineStr">
        <is>
          <t>1937 %: computed 47 / 51, printed 48 / 52</t>
        </is>
      </c>
    </row>
    <row r="40">
      <c r="A40" t="inlineStr">
        <is>
          <t>1938 Total = S.M.R. + Manchoukuo Govt.: printed 439,481, parts sum to 430,981 — does NOT reconcile (diff 8,500)</t>
        </is>
      </c>
    </row>
    <row r="41">
      <c r="A41" t="inlineStr">
        <is>
          <t>1938 Cumulative: computed 1,949,470, printed 1,949,470 — reconciles</t>
        </is>
      </c>
    </row>
    <row r="42">
      <c r="A42" t="inlineStr">
        <is>
          <t>1938 %: computed 18 / 80, printed 18 / 82</t>
        </is>
      </c>
    </row>
    <row r="43">
      <c r="A43" t="inlineStr">
        <is>
          <t>1939 Total = S.M.R. + Manchoukuo Govt.: printed 1,103,713, parts sum to 1,103,714 — does NOT reconcile (diff -1)</t>
        </is>
      </c>
    </row>
    <row r="44">
      <c r="A44" t="inlineStr">
        <is>
          <t>1939 Cumulative: computed 3,053,183, printed 3,053,183 — reconciles</t>
        </is>
      </c>
    </row>
    <row r="45">
      <c r="A45" t="inlineStr">
        <is>
          <t>1939 %: computed 26 / 74, printed 26 / 74</t>
        </is>
      </c>
    </row>
    <row r="46">
      <c r="A46" t="inlineStr">
        <is>
          <t>1940 Total = S.M.R. + Manchoukuo Govt.: printed 1,010,704, parts sum to 1,010,704 — reconciles</t>
        </is>
      </c>
    </row>
    <row r="47">
      <c r="A47" t="inlineStr">
        <is>
          <t>1940 Cumulative: computed 4,063,887, printed 4,063,887 — reconciles</t>
        </is>
      </c>
    </row>
    <row r="48">
      <c r="A48" t="inlineStr">
        <is>
          <t>1940 %: computed 34 / 66, printed 34 / 66</t>
        </is>
      </c>
    </row>
    <row r="49">
      <c r="A49" t="inlineStr">
        <is>
          <t>Total col 1: printed 1,669,190, parts sum to 1,669,190 — reconciles</t>
        </is>
      </c>
    </row>
    <row r="50">
      <c r="A50" t="inlineStr">
        <is>
          <t>Total col 3: printed 2,394,692, parts sum to 2,379,202 — does NOT reconcile (diff 15,490)</t>
        </is>
      </c>
    </row>
    <row r="51">
      <c r="A51" t="inlineStr">
        <is>
          <t>Total col 5: printed 4,063,887, parts sum to 4,063,887 — reconciles</t>
        </is>
      </c>
    </row>
    <row r="52">
      <c r="A52" t="inlineStr">
        <is>
          <t>Total row = S.M.R. + Manchoukuo Govt.: printed 4,063,887, parts sum to 4,063,882 — does NOT reconcile (diff 5)</t>
        </is>
      </c>
    </row>
  </sheetData>
  <hyperlinks>
    <hyperlink xmlns:r="http://schemas.openxmlformats.org/officeDocument/2006/relationships" ref="A4" r:id="rId1"/>
  </hyperlink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12. Foreign Investments in Manchuria by Countries (1928)</t>
        </is>
      </c>
    </row>
    <row r="2">
      <c r="A2" t="inlineStr">
        <is>
          <t>Commerce · printed pp. 293</t>
        </is>
      </c>
    </row>
    <row r="3">
      <c r="A3" s="3" t="inlineStr">
        <is>
          <t>← Contents</t>
        </is>
      </c>
    </row>
    <row r="5">
      <c r="A5" s="5" t="inlineStr">
        <is>
          <t>Country</t>
        </is>
      </c>
      <c r="B5" s="5" t="inlineStr">
        <is>
          <t>Amount</t>
        </is>
      </c>
      <c r="C5" s="5" t="inlineStr">
        <is>
          <t>%</t>
        </is>
      </c>
    </row>
    <row r="6">
      <c r="A6" t="inlineStr">
        <is>
          <t>U.S.S.R.</t>
        </is>
      </c>
      <c r="B6" t="inlineStr">
        <is>
          <t>¥465,015,000</t>
        </is>
      </c>
      <c r="C6" s="8" t="n">
        <v>82.5</v>
      </c>
    </row>
    <row r="7">
      <c r="A7" t="inlineStr">
        <is>
          <t>Great Britain</t>
        </is>
      </c>
      <c r="B7" s="6" t="n">
        <v>39590000</v>
      </c>
      <c r="C7" s="8" t="n">
        <v>7</v>
      </c>
    </row>
    <row r="8">
      <c r="A8" t="inlineStr">
        <is>
          <t>United States</t>
        </is>
      </c>
      <c r="B8" s="6" t="n">
        <v>26400000</v>
      </c>
      <c r="C8" s="8" t="n">
        <v>6.5</v>
      </c>
    </row>
    <row r="9">
      <c r="A9" t="inlineStr">
        <is>
          <t>France</t>
        </is>
      </c>
      <c r="B9" s="6" t="n">
        <v>21086000</v>
      </c>
      <c r="C9" s="8" t="n">
        <v>3.8</v>
      </c>
    </row>
    <row r="10">
      <c r="A10" t="inlineStr">
        <is>
          <t>Sweden</t>
        </is>
      </c>
      <c r="B10" s="6" t="n">
        <v>850000</v>
      </c>
      <c r="C10" t="inlineStr">
        <is>
          <t>—</t>
        </is>
      </c>
    </row>
    <row r="11">
      <c r="A11" t="inlineStr">
        <is>
          <t>Denmark</t>
        </is>
      </c>
      <c r="B11" s="6" t="n">
        <v>157000</v>
      </c>
      <c r="C11" t="inlineStr">
        <is>
          <t>—</t>
        </is>
      </c>
    </row>
    <row r="12">
      <c r="A12" t="inlineStr">
        <is>
          <t>Total</t>
        </is>
      </c>
      <c r="B12" s="6" t="n">
        <v>553098000</v>
      </c>
      <c r="C12" s="8" t="n">
        <v>100</v>
      </c>
    </row>
    <row r="14">
      <c r="A14" s="2" t="inlineStr">
        <is>
          <t>Transcriber's notes</t>
        </is>
      </c>
    </row>
    <row r="15">
      <c r="A15" t="inlineStr">
        <is>
          <t>Total amount: printed 553,098,000, parts sum to 553,098,000 — reconciles</t>
        </is>
      </c>
    </row>
    <row r="16">
      <c r="A16" t="inlineStr">
        <is>
          <t>Total %: printed 100.0, parts sum to 99.8 — does NOT reconcile (diff 0.2)</t>
        </is>
      </c>
    </row>
    <row r="17">
      <c r="A17" t="inlineStr">
        <is>
          <t>Computed %: U.S.S.R. 84.1, Great Britain 7.2, United States 4.8, France 3.8, Sweden 0.2, Denmark 0.0</t>
        </is>
      </c>
    </row>
  </sheetData>
  <hyperlinks>
    <hyperlink xmlns:r="http://schemas.openxmlformats.org/officeDocument/2006/relationships" ref="A3" r:id="rId1"/>
  </hyperlink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13. Financial Condition of Manchuria Industrial Development Corporation</t>
        </is>
      </c>
    </row>
    <row r="2">
      <c r="A2" t="inlineStr">
        <is>
          <t>Commerce · printed pp. 295, 296</t>
        </is>
      </c>
    </row>
    <row r="3">
      <c r="A3" t="inlineStr">
        <is>
          <t>(In ¥1,000)</t>
        </is>
      </c>
    </row>
    <row r="4">
      <c r="A4" s="3" t="inlineStr">
        <is>
          <t>← Contents</t>
        </is>
      </c>
    </row>
    <row r="6">
      <c r="A6" s="5" t="inlineStr">
        <is>
          <t>Period</t>
        </is>
      </c>
      <c r="B6" s="5" t="inlineStr">
        <is>
          <t>Average paid up capital</t>
        </is>
      </c>
      <c r="C6" s="5" t="inlineStr">
        <is>
          <t>Profit</t>
        </is>
      </c>
      <c r="D6" s="5" t="inlineStr">
        <is>
          <t>Profit Rate (%)</t>
        </is>
      </c>
      <c r="E6" s="5" t="inlineStr">
        <is>
          <t>Dividend Rate (%)</t>
        </is>
      </c>
    </row>
    <row r="7">
      <c r="A7" t="inlineStr">
        <is>
          <t>1933 2nd half</t>
        </is>
      </c>
      <c r="B7" s="6" t="n">
        <v>65083</v>
      </c>
      <c r="C7" s="6" t="n">
        <v>5910</v>
      </c>
      <c r="D7" s="8" t="n">
        <v>18.2</v>
      </c>
      <c r="E7" s="8" t="n">
        <v>10</v>
      </c>
    </row>
    <row r="8">
      <c r="A8" t="inlineStr">
        <is>
          <t>1934 1st half</t>
        </is>
      </c>
      <c r="B8" s="6" t="n">
        <v>71420</v>
      </c>
      <c r="C8" s="6" t="n">
        <v>10590</v>
      </c>
      <c r="D8" s="8" t="n">
        <v>29.7</v>
      </c>
      <c r="E8" s="8" t="n">
        <v>12</v>
      </c>
    </row>
    <row r="9">
      <c r="A9" t="inlineStr">
        <is>
          <t>1934 2nd half</t>
        </is>
      </c>
      <c r="B9" s="6" t="n">
        <v>94505</v>
      </c>
      <c r="C9" s="6" t="n">
        <v>11933</v>
      </c>
      <c r="D9" s="8" t="n">
        <v>25.3</v>
      </c>
      <c r="E9" s="8" t="n">
        <v>12</v>
      </c>
    </row>
    <row r="10">
      <c r="A10" t="inlineStr">
        <is>
          <t>1935 1st half</t>
        </is>
      </c>
      <c r="B10" s="6" t="n">
        <v>99415</v>
      </c>
      <c r="C10" s="6" t="n">
        <v>6747</v>
      </c>
      <c r="D10" s="8" t="n">
        <v>13.6</v>
      </c>
      <c r="E10" s="8" t="n">
        <v>12</v>
      </c>
    </row>
    <row r="11">
      <c r="A11" t="inlineStr">
        <is>
          <t>1935 2nd half</t>
        </is>
      </c>
      <c r="B11" s="6" t="n">
        <v>112671</v>
      </c>
      <c r="C11" s="6" t="n">
        <v>7606</v>
      </c>
      <c r="D11" s="8" t="n">
        <v>13.5</v>
      </c>
      <c r="E11" s="8" t="n">
        <v>10</v>
      </c>
    </row>
    <row r="12">
      <c r="A12" t="inlineStr">
        <is>
          <t>1936 1st half</t>
        </is>
      </c>
      <c r="B12" s="6" t="n">
        <v>124561</v>
      </c>
      <c r="C12" s="6" t="n">
        <v>8907</v>
      </c>
      <c r="D12" s="8" t="n">
        <v>14.3</v>
      </c>
      <c r="E12" s="8" t="n">
        <v>10</v>
      </c>
    </row>
    <row r="13">
      <c r="A13" t="inlineStr">
        <is>
          <t>1936 2nd half</t>
        </is>
      </c>
      <c r="B13" s="6" t="n">
        <v>124561</v>
      </c>
      <c r="C13" s="6" t="n">
        <v>11367</v>
      </c>
      <c r="D13" s="8" t="n">
        <v>18.3</v>
      </c>
      <c r="E13" s="8" t="n">
        <v>10</v>
      </c>
    </row>
    <row r="14">
      <c r="A14" t="inlineStr">
        <is>
          <t>1937 1st half</t>
        </is>
      </c>
      <c r="B14" s="6" t="n">
        <v>119955</v>
      </c>
      <c r="C14" s="6" t="n">
        <v>8107</v>
      </c>
      <c r="D14" s="8" t="n">
        <v>13.5</v>
      </c>
      <c r="E14" s="8" t="n">
        <v>10</v>
      </c>
    </row>
    <row r="15">
      <c r="A15" t="inlineStr">
        <is>
          <t>1937 2nd half</t>
        </is>
      </c>
      <c r="B15" s="6" t="n">
        <v>196349</v>
      </c>
      <c r="C15" s="6" t="n">
        <v>10955</v>
      </c>
      <c r="D15" s="8" t="n">
        <v>11.2</v>
      </c>
      <c r="E15" t="inlineStr">
        <is>
          <t>12.0*</t>
        </is>
      </c>
    </row>
    <row r="16">
      <c r="A16" t="inlineStr">
        <is>
          <t>1938 1st half</t>
        </is>
      </c>
      <c r="B16" s="6" t="n">
        <v>291535</v>
      </c>
      <c r="C16" s="6" t="n">
        <v>14019</v>
      </c>
      <c r="D16" s="8" t="n">
        <v>9.6</v>
      </c>
      <c r="E16" t="inlineStr">
        <is>
          <t>(A) 5.0 (B) 10.0</t>
        </is>
      </c>
    </row>
    <row r="17">
      <c r="A17" t="inlineStr">
        <is>
          <t>1938 2nd half</t>
        </is>
      </c>
      <c r="B17" s="6" t="n">
        <v>396750</v>
      </c>
      <c r="C17" s="6" t="n">
        <v>17883</v>
      </c>
      <c r="D17" s="8" t="n">
        <v>9</v>
      </c>
      <c r="E17" t="inlineStr">
        <is>
          <t>(A) 5.0 (B) 10.0</t>
        </is>
      </c>
    </row>
    <row r="18">
      <c r="A18" t="inlineStr">
        <is>
          <t>1939 1st half</t>
        </is>
      </c>
      <c r="B18" s="6" t="n">
        <v>450000</v>
      </c>
      <c r="C18" s="6" t="n">
        <v>30270</v>
      </c>
      <c r="D18" s="8" t="n">
        <v>13.5</v>
      </c>
      <c r="E18" t="inlineStr">
        <is>
          <t>(A) 5.0 (B) 10.0</t>
        </is>
      </c>
    </row>
    <row r="19">
      <c r="A19" t="inlineStr">
        <is>
          <t>1939 2nd half</t>
        </is>
      </c>
      <c r="B19" s="6" t="n">
        <v>450000</v>
      </c>
      <c r="C19" s="6" t="n">
        <v>30540</v>
      </c>
      <c r="D19" s="8" t="n">
        <v>13.6</v>
      </c>
      <c r="E19" t="inlineStr">
        <is>
          <t>(A) 5.0 (B) 10.0</t>
        </is>
      </c>
    </row>
    <row r="20">
      <c r="A20" t="inlineStr">
        <is>
          <t>1940 1st half</t>
        </is>
      </c>
      <c r="B20" s="6" t="n">
        <v>450000</v>
      </c>
      <c r="C20" s="6" t="n">
        <v>30617</v>
      </c>
      <c r="D20" s="8" t="n">
        <v>13.6</v>
      </c>
      <c r="E20" t="inlineStr">
        <is>
          <t>(A) 5.0 (B) 10.0</t>
        </is>
      </c>
    </row>
    <row r="21">
      <c r="A21" t="inlineStr">
        <is>
          <t>1940 2nd half</t>
        </is>
      </c>
      <c r="B21" s="6" t="n">
        <v>450000</v>
      </c>
      <c r="C21" s="6" t="n">
        <v>24281</v>
      </c>
      <c r="D21" s="8" t="n">
        <v>10.8</v>
      </c>
      <c r="E21" t="inlineStr">
        <is>
          <t>(A) 5.0 (B) 10.0</t>
        </is>
      </c>
    </row>
    <row r="22">
      <c r="A22" t="inlineStr">
        <is>
          <t>1941 1st half</t>
        </is>
      </c>
      <c r="B22" s="6" t="n">
        <v>450000</v>
      </c>
      <c r="C22" s="6" t="n">
        <v>27754</v>
      </c>
      <c r="D22" s="8" t="n">
        <v>12.3</v>
      </c>
      <c r="E22" t="inlineStr">
        <is>
          <t>(A) 4.0 (B) 8.0</t>
        </is>
      </c>
    </row>
    <row r="24">
      <c r="A24" s="2" t="inlineStr">
        <is>
          <t>Footnotes</t>
        </is>
      </c>
    </row>
    <row r="25">
      <c r="A25" t="inlineStr">
        <is>
          <t>Note: * Inclusive of 2% special distribution.</t>
        </is>
      </c>
    </row>
    <row r="26">
      <c r="A26" t="inlineStr">
        <is>
          <t>(A) Dividend for Government.</t>
        </is>
      </c>
    </row>
    <row r="27">
      <c r="A27" t="inlineStr">
        <is>
          <t>(B) Dividend for Private Holders.</t>
        </is>
      </c>
    </row>
    <row r="29">
      <c r="A29" s="2" t="inlineStr">
        <is>
          <t>Transcriber's notes</t>
        </is>
      </c>
    </row>
    <row r="30">
      <c r="A30" t="inlineStr">
        <is>
          <t>1933–1938 on p.295 (IMG_5606); 1939–1941 on p.296 (IMG_5607, next batch) headed '(Continued)', merged here per brief. Next batch should not re-transcribe the p.296 continuation of Table 13.</t>
        </is>
      </c>
    </row>
    <row r="31">
      <c r="A31" t="inlineStr">
        <is>
          <t>Years printed once with braces over 1st/2nd half; year repeated in each row label here.</t>
        </is>
      </c>
    </row>
    <row r="32">
      <c r="A32" t="inlineStr">
        <is>
          <t>No totals printed. Informational: Profit Rate appears to be annualised (Profit×2 ÷ capital): 1933 2nd half 18.2 (printed 18.2), 1934 1st half 29.7 (printed 29.7), 1934 2nd half 25.3 (printed 25.3), 1935 1st half 13.6 (printed 13.6), 1935 2nd half 13.5 (printed 13.5), 1936 1st half 14.3 (printed 14.3), 1936 2nd half 18.3 (printed 18.3), 1937 1st half 13.5 (printed 13.5), 1937 2nd half 11.2 (printed 11.2), 1938 1st half 9.6 (printed 9.6), 1938 2nd half 9.0 (printed 9.0), 1939 1st half 13.5 (printed 13.5), 1939 2nd half 13.6 (printed 13.6), 1940 1st half 13.6 (printed 13.6), 1940 2nd half 10.8 (printed 10.8), 1941 1st half 12.3 (printed 12.3)</t>
        </is>
      </c>
    </row>
  </sheetData>
  <hyperlinks>
    <hyperlink xmlns:r="http://schemas.openxmlformats.org/officeDocument/2006/relationships" ref="A4" r:id="rId1"/>
  </hyperlink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G8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14. Balance Sheet of Manchuria Industrial Development Corp.</t>
        </is>
      </c>
    </row>
    <row r="2">
      <c r="A2" t="inlineStr">
        <is>
          <t>Commerce · printed pp. 296, 297</t>
        </is>
      </c>
    </row>
    <row r="3">
      <c r="A3" t="inlineStr">
        <is>
          <t>(Unit: in ¥1,000)</t>
        </is>
      </c>
    </row>
    <row r="4">
      <c r="A4" s="3" t="inlineStr">
        <is>
          <t>← Contents</t>
        </is>
      </c>
    </row>
    <row r="6">
      <c r="A6" s="2" t="inlineStr">
        <is>
          <t>(A) Assets</t>
        </is>
      </c>
    </row>
    <row r="7">
      <c r="A7" s="5" t="inlineStr">
        <is>
          <t>Item</t>
        </is>
      </c>
      <c r="B7" s="5" t="inlineStr">
        <is>
          <t>Nov. 1938</t>
        </is>
      </c>
      <c r="C7" s="5" t="inlineStr">
        <is>
          <t>May 1939</t>
        </is>
      </c>
      <c r="D7" s="5" t="inlineStr">
        <is>
          <t>Nov. 1939</t>
        </is>
      </c>
      <c r="E7" s="5" t="inlineStr">
        <is>
          <t>May 1940</t>
        </is>
      </c>
      <c r="F7" s="5" t="inlineStr">
        <is>
          <t>Nov. 1940</t>
        </is>
      </c>
      <c r="G7" s="5" t="inlineStr">
        <is>
          <t>May 1941</t>
        </is>
      </c>
    </row>
    <row r="8">
      <c r="A8" t="inlineStr">
        <is>
          <t>Capital Uncalled</t>
        </is>
      </c>
      <c r="B8" s="6" t="n">
        <v>53250</v>
      </c>
      <c r="C8" t="inlineStr">
        <is>
          <t>—</t>
        </is>
      </c>
      <c r="D8" t="inlineStr">
        <is>
          <t>—</t>
        </is>
      </c>
      <c r="E8" t="inlineStr">
        <is>
          <t>—</t>
        </is>
      </c>
      <c r="F8" t="inlineStr">
        <is>
          <t>—</t>
        </is>
      </c>
      <c r="G8" t="inlineStr">
        <is>
          <t>—</t>
        </is>
      </c>
    </row>
    <row r="9">
      <c r="A9" t="inlineStr">
        <is>
          <t>Securities</t>
        </is>
      </c>
      <c r="B9" s="6" t="n">
        <v>515065</v>
      </c>
      <c r="C9" s="6" t="n">
        <v>650722</v>
      </c>
      <c r="D9" s="6" t="n">
        <v>840388</v>
      </c>
      <c r="E9" s="6" t="n">
        <v>1032952</v>
      </c>
      <c r="F9" s="6" t="n">
        <v>1228190</v>
      </c>
      <c r="G9" s="6" t="n">
        <v>1251384</v>
      </c>
    </row>
    <row r="10">
      <c r="A10" t="inlineStr">
        <is>
          <t>Fixed Assets</t>
        </is>
      </c>
      <c r="B10" s="6" t="n">
        <v>1175</v>
      </c>
      <c r="C10" s="6" t="n">
        <v>3050</v>
      </c>
      <c r="D10" s="6" t="n">
        <v>3540</v>
      </c>
      <c r="E10" s="6" t="n">
        <v>4641</v>
      </c>
      <c r="F10" s="6" t="n">
        <v>4701</v>
      </c>
      <c r="G10" s="6" t="n">
        <v>5446</v>
      </c>
    </row>
    <row r="11">
      <c r="A11" t="inlineStr">
        <is>
          <t>Affiliation Cos' Accounts</t>
        </is>
      </c>
      <c r="B11" s="6" t="n">
        <v>60590</v>
      </c>
      <c r="C11" s="6" t="n">
        <v>64766</v>
      </c>
      <c r="D11" s="6" t="n">
        <v>120223</v>
      </c>
      <c r="E11" s="6" t="n">
        <v>188494</v>
      </c>
      <c r="F11" s="6" t="n">
        <v>217495</v>
      </c>
      <c r="G11" s="6" t="n">
        <v>406732</v>
      </c>
    </row>
    <row r="12">
      <c r="A12" t="inlineStr">
        <is>
          <t>Acc't Receivable</t>
        </is>
      </c>
      <c r="B12" s="6" t="n">
        <v>5181</v>
      </c>
      <c r="C12" s="6" t="n">
        <v>10316</v>
      </c>
      <c r="D12" s="6" t="n">
        <v>14370</v>
      </c>
      <c r="E12" s="6" t="n">
        <v>13608</v>
      </c>
      <c r="F12" s="6" t="n">
        <v>19714</v>
      </c>
      <c r="G12" s="6" t="n">
        <v>20564</v>
      </c>
    </row>
    <row r="13">
      <c r="A13" t="inlineStr">
        <is>
          <t>Suspense Payments</t>
        </is>
      </c>
      <c r="B13" s="6" t="n">
        <v>9616</v>
      </c>
      <c r="C13" s="6" t="n">
        <v>9444</v>
      </c>
      <c r="D13" s="6" t="n">
        <v>7784</v>
      </c>
      <c r="E13" s="6" t="n">
        <v>5975</v>
      </c>
      <c r="F13" s="6" t="n">
        <v>7884</v>
      </c>
      <c r="G13" s="6" t="n">
        <v>9944</v>
      </c>
    </row>
    <row r="14">
      <c r="A14" t="inlineStr">
        <is>
          <t>Bank Accounts</t>
        </is>
      </c>
      <c r="B14" s="6" t="n">
        <v>14126</v>
      </c>
      <c r="C14" s="6" t="n">
        <v>25834</v>
      </c>
      <c r="D14" s="6" t="n">
        <v>71043</v>
      </c>
      <c r="E14" s="6" t="n">
        <v>26309</v>
      </c>
      <c r="F14" s="6" t="n">
        <v>25565</v>
      </c>
      <c r="G14" s="6" t="n">
        <v>28905</v>
      </c>
    </row>
    <row r="15">
      <c r="A15" t="inlineStr">
        <is>
          <t>Transfer Savings</t>
        </is>
      </c>
      <c r="B15" s="9" t="n">
        <v>19</v>
      </c>
      <c r="C15" s="9" t="n">
        <v>4</v>
      </c>
      <c r="D15" s="9" t="n">
        <v>4</v>
      </c>
      <c r="E15" s="9" t="n">
        <v>17</v>
      </c>
      <c r="F15" s="9" t="n">
        <v>3</v>
      </c>
      <c r="G15" s="9" t="n">
        <v>7</v>
      </c>
    </row>
    <row r="16">
      <c r="A16" t="inlineStr">
        <is>
          <t>Cash on Hand</t>
        </is>
      </c>
      <c r="B16" s="9" t="n">
        <v>8</v>
      </c>
      <c r="C16" s="9" t="n">
        <v>9</v>
      </c>
      <c r="D16" s="9" t="n">
        <v>5</v>
      </c>
      <c r="E16" s="9" t="n">
        <v>8</v>
      </c>
      <c r="F16" s="9" t="n">
        <v>7</v>
      </c>
      <c r="G16" s="9" t="n">
        <v>4</v>
      </c>
    </row>
    <row r="17">
      <c r="A17" t="inlineStr">
        <is>
          <t>Total</t>
        </is>
      </c>
      <c r="B17" s="6" t="n">
        <v>659030</v>
      </c>
      <c r="C17" s="6" t="n">
        <v>764146</v>
      </c>
      <c r="D17" s="6" t="n">
        <v>1057357</v>
      </c>
      <c r="E17" s="6" t="n">
        <v>1272003</v>
      </c>
      <c r="F17" s="6" t="n">
        <v>1503529</v>
      </c>
      <c r="G17" s="6" t="n">
        <v>1723987</v>
      </c>
    </row>
    <row r="19">
      <c r="A19" s="2" t="inlineStr">
        <is>
          <t>(B) Liabilities</t>
        </is>
      </c>
    </row>
    <row r="20">
      <c r="A20" s="5" t="inlineStr">
        <is>
          <t>Item</t>
        </is>
      </c>
      <c r="B20" s="5" t="inlineStr">
        <is>
          <t>Nov. 1938</t>
        </is>
      </c>
      <c r="C20" s="5" t="inlineStr">
        <is>
          <t>May 1939</t>
        </is>
      </c>
      <c r="D20" s="5" t="inlineStr">
        <is>
          <t>Nov. 1939</t>
        </is>
      </c>
      <c r="E20" s="5" t="inlineStr">
        <is>
          <t>May 1940</t>
        </is>
      </c>
      <c r="F20" s="5" t="inlineStr">
        <is>
          <t>Nov. 1940</t>
        </is>
      </c>
      <c r="G20" s="5" t="inlineStr">
        <is>
          <t>May 1941</t>
        </is>
      </c>
    </row>
    <row r="21">
      <c r="A21" t="inlineStr">
        <is>
          <t>Capital</t>
        </is>
      </c>
      <c r="B21" s="6" t="n">
        <v>450000</v>
      </c>
      <c r="C21" s="6" t="n">
        <v>450000</v>
      </c>
      <c r="D21" s="6" t="n">
        <v>450000</v>
      </c>
      <c r="E21" s="6" t="n">
        <v>450000</v>
      </c>
      <c r="F21" s="6" t="n">
        <v>450000</v>
      </c>
      <c r="G21" s="6" t="n">
        <v>450000</v>
      </c>
    </row>
    <row r="22">
      <c r="A22" t="inlineStr">
        <is>
          <t>Legal Reserves</t>
        </is>
      </c>
      <c r="B22" s="6" t="n">
        <v>24935</v>
      </c>
      <c r="C22" s="6" t="n">
        <v>25829</v>
      </c>
      <c r="D22" s="6" t="n">
        <v>27342</v>
      </c>
      <c r="E22" s="6" t="n">
        <v>28869</v>
      </c>
      <c r="F22" s="6" t="n">
        <v>30400</v>
      </c>
      <c r="G22" s="6" t="n">
        <v>31614</v>
      </c>
    </row>
    <row r="23">
      <c r="A23" t="inlineStr">
        <is>
          <t>Special Reserves</t>
        </is>
      </c>
      <c r="B23" s="6" t="n">
        <v>16358</v>
      </c>
      <c r="C23" s="6" t="n">
        <v>16358</v>
      </c>
      <c r="D23" s="6" t="n">
        <v>27359</v>
      </c>
      <c r="E23" s="6" t="n">
        <v>37358</v>
      </c>
      <c r="F23" s="6" t="n">
        <v>47358</v>
      </c>
      <c r="G23" s="6" t="n">
        <v>51358</v>
      </c>
    </row>
    <row r="24">
      <c r="A24" t="inlineStr">
        <is>
          <t>Debentures</t>
        </is>
      </c>
      <c r="B24" t="inlineStr">
        <is>
          <t>—</t>
        </is>
      </c>
      <c r="C24" s="6" t="n">
        <v>30000</v>
      </c>
      <c r="D24" s="6" t="n">
        <v>130000</v>
      </c>
      <c r="E24" s="6" t="n">
        <v>170000</v>
      </c>
      <c r="F24" s="6" t="n">
        <v>210000</v>
      </c>
      <c r="G24" s="6" t="n">
        <v>340000</v>
      </c>
    </row>
    <row r="25">
      <c r="A25" t="inlineStr">
        <is>
          <t>Affiliation Cos' Accounts</t>
        </is>
      </c>
      <c r="B25" s="6" t="n">
        <v>23985</v>
      </c>
      <c r="C25" s="6" t="n">
        <v>13130</v>
      </c>
      <c r="D25" s="6" t="n">
        <v>12646</v>
      </c>
      <c r="E25" s="6" t="n">
        <v>64329</v>
      </c>
      <c r="F25" s="6" t="n">
        <v>64042</v>
      </c>
      <c r="G25" s="6" t="n">
        <v>54045</v>
      </c>
    </row>
    <row r="26">
      <c r="A26" t="inlineStr">
        <is>
          <t>Deposits</t>
        </is>
      </c>
      <c r="B26" s="6" t="n">
        <v>1021</v>
      </c>
      <c r="C26" s="9" t="n">
        <v>791</v>
      </c>
      <c r="D26" s="9" t="n">
        <v>744</v>
      </c>
      <c r="E26" s="9" t="n">
        <v>771</v>
      </c>
      <c r="F26" s="9" t="n">
        <v>773</v>
      </c>
      <c r="G26" s="9" t="n">
        <v>614</v>
      </c>
    </row>
    <row r="27">
      <c r="A27" t="inlineStr">
        <is>
          <t>Suspense Receipts</t>
        </is>
      </c>
      <c r="B27" s="6" t="n">
        <v>3981</v>
      </c>
      <c r="C27" s="6" t="n">
        <v>1858</v>
      </c>
      <c r="D27" s="6" t="n">
        <v>1896</v>
      </c>
      <c r="E27" s="9" t="n">
        <v>880</v>
      </c>
      <c r="F27" s="9" t="n">
        <v>873</v>
      </c>
      <c r="G27" s="9" t="n">
        <v>955</v>
      </c>
    </row>
    <row r="28">
      <c r="A28" t="inlineStr">
        <is>
          <t>Acc't Payable</t>
        </is>
      </c>
      <c r="B28" s="9" t="n">
        <v>705</v>
      </c>
      <c r="C28" s="6" t="n">
        <v>1231</v>
      </c>
      <c r="D28" s="6" t="n">
        <v>2146</v>
      </c>
      <c r="E28" s="6" t="n">
        <v>2693</v>
      </c>
      <c r="F28" s="6" t="n">
        <v>2670</v>
      </c>
      <c r="G28" s="6" t="n">
        <v>3255</v>
      </c>
    </row>
    <row r="29">
      <c r="A29" t="inlineStr">
        <is>
          <t>Funded Debts</t>
        </is>
      </c>
      <c r="B29" s="6" t="n">
        <v>117410</v>
      </c>
      <c r="C29" s="6" t="n">
        <v>189940</v>
      </c>
      <c r="D29" s="6" t="n">
        <v>369210</v>
      </c>
      <c r="E29" s="6" t="n">
        <v>479010</v>
      </c>
      <c r="F29" s="6" t="n">
        <v>663590</v>
      </c>
      <c r="G29" s="6" t="n">
        <v>762802</v>
      </c>
    </row>
    <row r="30">
      <c r="A30" t="inlineStr">
        <is>
          <t>Carried from Previous Term</t>
        </is>
      </c>
      <c r="B30" s="6" t="n">
        <v>2753</v>
      </c>
      <c r="C30" s="6" t="n">
        <v>4738</v>
      </c>
      <c r="D30" s="6" t="n">
        <v>5475</v>
      </c>
      <c r="E30" s="6" t="n">
        <v>7456</v>
      </c>
      <c r="F30" s="6" t="n">
        <v>9542</v>
      </c>
      <c r="G30" s="6" t="n">
        <v>11589</v>
      </c>
    </row>
    <row r="31">
      <c r="A31" t="inlineStr">
        <is>
          <t>Net Profit of the Current Term</t>
        </is>
      </c>
      <c r="B31" s="6" t="n">
        <v>17883</v>
      </c>
      <c r="C31" s="6" t="n">
        <v>30271</v>
      </c>
      <c r="D31" s="6" t="n">
        <v>30540</v>
      </c>
      <c r="E31" s="6" t="n">
        <v>30617</v>
      </c>
      <c r="F31" s="6" t="n">
        <v>24281</v>
      </c>
      <c r="G31" s="6" t="n">
        <v>27754</v>
      </c>
    </row>
    <row r="32">
      <c r="A32" t="inlineStr">
        <is>
          <t>Total</t>
        </is>
      </c>
      <c r="B32" s="6" t="n">
        <v>659030</v>
      </c>
      <c r="C32" s="6" t="n">
        <v>764146</v>
      </c>
      <c r="D32" s="6" t="n">
        <v>1056357</v>
      </c>
      <c r="E32" s="6" t="n">
        <v>1272003</v>
      </c>
      <c r="F32" s="6" t="n">
        <v>1503529</v>
      </c>
      <c r="G32" s="6" t="n">
        <v>1723987</v>
      </c>
    </row>
    <row r="34">
      <c r="A34" s="2" t="inlineStr">
        <is>
          <t>(C) Disposition of Profit</t>
        </is>
      </c>
    </row>
    <row r="35">
      <c r="A35" s="5" t="inlineStr">
        <is>
          <t>Item</t>
        </is>
      </c>
      <c r="B35" s="5" t="inlineStr">
        <is>
          <t>Nov. 1938</t>
        </is>
      </c>
      <c r="C35" s="5" t="inlineStr">
        <is>
          <t>May 1939</t>
        </is>
      </c>
      <c r="D35" s="5" t="inlineStr">
        <is>
          <t>Nov. 1939</t>
        </is>
      </c>
      <c r="E35" s="5" t="inlineStr">
        <is>
          <t>May 1940</t>
        </is>
      </c>
      <c r="F35" s="5" t="inlineStr">
        <is>
          <t>Nov. 1940</t>
        </is>
      </c>
      <c r="G35" s="5" t="inlineStr">
        <is>
          <t>May 1941</t>
        </is>
      </c>
    </row>
    <row r="36">
      <c r="A36" t="inlineStr">
        <is>
          <t>Net Profit for the Current Term</t>
        </is>
      </c>
      <c r="B36" s="6" t="n">
        <v>17883</v>
      </c>
      <c r="C36" s="6" t="n">
        <v>30273</v>
      </c>
      <c r="D36" s="6" t="n">
        <v>30540</v>
      </c>
      <c r="E36" s="6" t="n">
        <v>30617</v>
      </c>
      <c r="F36" s="6" t="n">
        <v>24281</v>
      </c>
      <c r="G36" s="6" t="n">
        <v>27754</v>
      </c>
    </row>
    <row r="37">
      <c r="A37" t="inlineStr">
        <is>
          <t>Carried from the Previous Term</t>
        </is>
      </c>
      <c r="B37" s="6" t="n">
        <v>2752</v>
      </c>
      <c r="C37" s="6" t="n">
        <v>4738</v>
      </c>
      <c r="D37" s="6" t="n">
        <v>5475</v>
      </c>
      <c r="E37" s="6" t="n">
        <v>7476</v>
      </c>
      <c r="F37" s="6" t="n">
        <v>9542</v>
      </c>
      <c r="G37" s="6" t="n">
        <v>11589</v>
      </c>
    </row>
    <row r="38">
      <c r="A38" t="inlineStr">
        <is>
          <t>Total</t>
        </is>
      </c>
      <c r="B38" s="6" t="n">
        <v>20636</v>
      </c>
      <c r="C38" s="6" t="n">
        <v>35009</v>
      </c>
      <c r="D38" s="6" t="n">
        <v>36015</v>
      </c>
      <c r="E38" s="6" t="n">
        <v>38093</v>
      </c>
      <c r="F38" s="6" t="n">
        <v>33823</v>
      </c>
      <c r="G38" s="6" t="n">
        <v>38343</v>
      </c>
    </row>
    <row r="39">
      <c r="A39" t="inlineStr">
        <is>
          <t>Disposed as Follows:</t>
        </is>
      </c>
      <c r="B39" t="inlineStr"/>
      <c r="C39" t="inlineStr"/>
      <c r="D39" t="inlineStr"/>
      <c r="E39" t="inlineStr"/>
      <c r="F39" t="inlineStr"/>
      <c r="G39" t="inlineStr"/>
    </row>
    <row r="40">
      <c r="A40" t="inlineStr">
        <is>
          <t>Legal Reserve</t>
        </is>
      </c>
      <c r="B40" s="9" t="n">
        <v>894</v>
      </c>
      <c r="C40" s="6" t="n">
        <v>1514</v>
      </c>
      <c r="D40" s="6" t="n">
        <v>1527</v>
      </c>
      <c r="E40" s="6" t="n">
        <v>1531</v>
      </c>
      <c r="F40" s="6" t="n">
        <v>1214</v>
      </c>
      <c r="G40" s="6" t="n">
        <v>1388</v>
      </c>
    </row>
    <row r="41">
      <c r="A41" t="inlineStr">
        <is>
          <t>Special Reserve</t>
        </is>
      </c>
      <c r="B41" t="inlineStr">
        <is>
          <t>—</t>
        </is>
      </c>
      <c r="C41" s="6" t="n">
        <v>11000</v>
      </c>
      <c r="D41" s="6" t="n">
        <v>11000</v>
      </c>
      <c r="E41" s="6" t="n">
        <v>11000</v>
      </c>
      <c r="F41" s="6" t="n">
        <v>4000</v>
      </c>
      <c r="G41" s="6" t="n">
        <v>12000</v>
      </c>
    </row>
    <row r="42">
      <c r="A42" t="inlineStr">
        <is>
          <t>Dividends to Gov't. Share (5% Annum)</t>
        </is>
      </c>
      <c r="B42" s="6" t="n">
        <v>4959</v>
      </c>
      <c r="C42" s="6" t="n">
        <v>5625</v>
      </c>
      <c r="D42" s="6" t="n">
        <v>5625</v>
      </c>
      <c r="E42" s="6" t="n">
        <v>5625</v>
      </c>
      <c r="F42" s="6" t="n">
        <v>5625</v>
      </c>
      <c r="G42" t="inlineStr">
        <is>
          <t>*4,500</t>
        </is>
      </c>
    </row>
    <row r="43">
      <c r="A43" t="inlineStr">
        <is>
          <t>Div. to Public Shares (10% Annum)</t>
        </is>
      </c>
      <c r="B43" s="6" t="n">
        <v>9919</v>
      </c>
      <c r="C43" s="6" t="n">
        <v>11250</v>
      </c>
      <c r="D43" s="6" t="n">
        <v>11250</v>
      </c>
      <c r="E43" s="6" t="n">
        <v>11250</v>
      </c>
      <c r="F43" s="6" t="n">
        <v>11250</v>
      </c>
      <c r="G43" t="inlineStr">
        <is>
          <t>*9,000</t>
        </is>
      </c>
    </row>
    <row r="44">
      <c r="A44" t="inlineStr">
        <is>
          <t>Bonus</t>
        </is>
      </c>
      <c r="B44" s="9" t="n">
        <v>125</v>
      </c>
      <c r="C44" s="9" t="n">
        <v>145</v>
      </c>
      <c r="D44" s="9" t="n">
        <v>138</v>
      </c>
      <c r="E44" s="9" t="n">
        <v>145</v>
      </c>
      <c r="F44" s="9" t="n">
        <v>146</v>
      </c>
      <c r="G44" s="9" t="n">
        <v>150</v>
      </c>
    </row>
    <row r="45">
      <c r="A45" t="inlineStr">
        <is>
          <t>Carry over to Next Term</t>
        </is>
      </c>
      <c r="B45" s="6" t="n">
        <v>4738</v>
      </c>
      <c r="C45" s="6" t="n">
        <v>5475</v>
      </c>
      <c r="D45" s="6" t="n">
        <v>7476</v>
      </c>
      <c r="E45" s="6" t="n">
        <v>9542</v>
      </c>
      <c r="F45" s="6" t="n">
        <v>11589</v>
      </c>
      <c r="G45" s="6" t="n">
        <v>12305</v>
      </c>
    </row>
    <row r="47">
      <c r="A47" s="2" t="inlineStr">
        <is>
          <t>Footnotes</t>
        </is>
      </c>
    </row>
    <row r="48">
      <c r="A48" t="inlineStr">
        <is>
          <t>Note: * Dividends in this term were 4% for Government and 8% for public.</t>
        </is>
      </c>
    </row>
    <row r="50">
      <c r="A50" s="2" t="inlineStr">
        <is>
          <t>Transcriber's notes</t>
        </is>
      </c>
    </row>
    <row r="51">
      <c r="A51" t="inlineStr">
        <is>
          <t>(A) Assets Total Nov. 1938: printed 659,030, parts sum to 659,030 — reconciles</t>
        </is>
      </c>
    </row>
    <row r="52">
      <c r="A52" t="inlineStr">
        <is>
          <t>(A) Assets Total May 1939: printed 764,146, parts sum to 764,145 — does NOT reconcile (diff -1)</t>
        </is>
      </c>
    </row>
    <row r="53">
      <c r="A53" t="inlineStr">
        <is>
          <t>(A) Assets Total Nov. 1939: printed 1,057,357, parts sum to 1,057,357 — reconciles</t>
        </is>
      </c>
    </row>
    <row r="54">
      <c r="A54" t="inlineStr">
        <is>
          <t>(A) Assets Total May 1940: printed 1,272,003, parts sum to 1,272,004 — does NOT reconcile (diff +1)</t>
        </is>
      </c>
    </row>
    <row r="55">
      <c r="A55" t="inlineStr">
        <is>
          <t>(A) Assets Total Nov. 1940: printed 1,503,529, parts sum to 1,503,559 — does NOT reconcile (diff +30)</t>
        </is>
      </c>
    </row>
    <row r="56">
      <c r="A56" t="inlineStr">
        <is>
          <t>(A) Assets Total May 1941: printed 1,723,987, parts sum to 1,722,986 — does NOT reconcile (diff -1,001)</t>
        </is>
      </c>
    </row>
    <row r="57">
      <c r="A57" t="inlineStr">
        <is>
          <t>(B) Liabilities Total Nov. 1938: printed 659,030, parts sum to 659,031 — does NOT reconcile (diff +1)</t>
        </is>
      </c>
    </row>
    <row r="58">
      <c r="A58" t="inlineStr">
        <is>
          <t>(B) Liabilities Total May 1939: printed 764,146, parts sum to 764,146 — reconciles</t>
        </is>
      </c>
    </row>
    <row r="59">
      <c r="A59" t="inlineStr">
        <is>
          <t>(B) Liabilities Total Nov. 1939: printed 1,056,357, parts sum to 1,057,358 — does NOT reconcile (diff +1,001)</t>
        </is>
      </c>
    </row>
    <row r="60">
      <c r="A60" t="inlineStr">
        <is>
          <t>(B) Liabilities Total May 1940: printed 1,272,003, parts sum to 1,271,983 — does NOT reconcile (diff -20)</t>
        </is>
      </c>
    </row>
    <row r="61">
      <c r="A61" t="inlineStr">
        <is>
          <t>(B) Liabilities Total Nov. 1940: printed 1,503,529, parts sum to 1,503,529 — reconciles</t>
        </is>
      </c>
    </row>
    <row r="62">
      <c r="A62" t="inlineStr">
        <is>
          <t>(B) Liabilities Total May 1941: printed 1,723,987, parts sum to 1,733,986 — does NOT reconcile (diff +9,999)</t>
        </is>
      </c>
    </row>
    <row r="63">
      <c r="A63" t="inlineStr">
        <is>
          <t>(C) Total (net profit + carried) Nov. 1938: printed 20,636, parts sum to 20,635 — does NOT reconcile (diff -1)</t>
        </is>
      </c>
    </row>
    <row r="64">
      <c r="A64" t="inlineStr">
        <is>
          <t>(C) Total (net profit + carried) May 1939: printed 35,009, parts sum to 35,011 — does NOT reconcile (diff +2)</t>
        </is>
      </c>
    </row>
    <row r="65">
      <c r="A65" t="inlineStr">
        <is>
          <t>(C) Total (net profit + carried) Nov. 1939: printed 36,015, parts sum to 36,015 — reconciles</t>
        </is>
      </c>
    </row>
    <row r="66">
      <c r="A66" t="inlineStr">
        <is>
          <t>(C) Total (net profit + carried) May 1940: printed 38,093, parts sum to 38,093 — reconciles</t>
        </is>
      </c>
    </row>
    <row r="67">
      <c r="A67" t="inlineStr">
        <is>
          <t>(C) Total (net profit + carried) Nov. 1940: printed 33,823, parts sum to 33,823 — reconciles</t>
        </is>
      </c>
    </row>
    <row r="68">
      <c r="A68" t="inlineStr">
        <is>
          <t>(C) Total (net profit + carried) May 1941: printed 38,343, parts sum to 39,343 — does NOT reconcile (diff +1,000)</t>
        </is>
      </c>
    </row>
    <row r="69">
      <c r="A69" t="inlineStr">
        <is>
          <t>(C) Disposed items vs Total Nov. 1938: printed 20,636, parts sum to 20,635 — does NOT reconcile (diff -1)</t>
        </is>
      </c>
    </row>
    <row r="70">
      <c r="A70" t="inlineStr">
        <is>
          <t>(C) Disposed items vs Total May 1939: printed 35,009, parts sum to 35,009 — reconciles</t>
        </is>
      </c>
    </row>
    <row r="71">
      <c r="A71" t="inlineStr">
        <is>
          <t>(C) Disposed items vs Total Nov. 1939: printed 36,015, parts sum to 37,016 — does NOT reconcile (diff +1,001)</t>
        </is>
      </c>
    </row>
    <row r="72">
      <c r="A72" t="inlineStr">
        <is>
          <t>(C) Disposed items vs Total May 1940: printed 38,093, parts sum to 39,093 — does NOT reconcile (diff +1,000)</t>
        </is>
      </c>
    </row>
    <row r="73">
      <c r="A73" t="inlineStr">
        <is>
          <t>(C) Disposed items vs Total Nov. 1940: printed 33,823, parts sum to 33,824 — does NOT reconcile (diff +1)</t>
        </is>
      </c>
    </row>
    <row r="74">
      <c r="A74" t="inlineStr">
        <is>
          <t>(C) Disposed items vs Total May 1941: printed 38,343, parts sum to 39,343 — does NOT reconcile (diff +1,000)</t>
        </is>
      </c>
    </row>
    <row r="75">
      <c r="A75" t="inlineStr">
        <is>
          <t>(B) 'Carried from Previous Term' May 1940 printed 7,456 while (C) prints 7,476 and (C) 'Carry over' Nov. 1939 is 7,476; with 7,476 the May 1940 liabilities would reconcile. Transcribed as printed.</t>
        </is>
      </c>
    </row>
    <row r="76">
      <c r="A76" t="inlineStr">
        <is>
          <t>(B) Nov. 1939 liabilities Total printed 1,056,357 vs assets Total 1,057,357 (1,000 apart).</t>
        </is>
      </c>
    </row>
    <row r="77">
      <c r="A77" t="inlineStr">
        <is>
          <t>(B) Net Profit May 1939 printed 30,271 vs (C) 30,273; (B) Carried Nov. 1938 2,753 vs (C) 2,752.</t>
        </is>
      </c>
    </row>
    <row r="78">
      <c r="A78" t="inlineStr">
        <is>
          <t>May 1941 column is printed in slightly smaller, skewed type at the page edge; figures re-read in a tight crop and confirmed as transcribed.</t>
        </is>
      </c>
    </row>
    <row r="79">
      <c r="A79" t="inlineStr">
        <is>
          <t>(C) Special Reserve Nov. 1938 printed as a dash.</t>
        </is>
      </c>
    </row>
    <row r="80">
      <c r="A80" t="inlineStr">
        <is>
          <t>(A) Affiliation Cos' Accounts May 1941 '406,732': the final digit appears overstruck (a 2 printed over or under a 3); read as 2. With 3 the column would still not reconcile (diff -1,000).</t>
        </is>
      </c>
    </row>
  </sheetData>
  <hyperlinks>
    <hyperlink xmlns:r="http://schemas.openxmlformats.org/officeDocument/2006/relationships" ref="A4" r:id="rId1"/>
  </hyperlink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15. Securities Owned by Manchuria Industrial Development Corporation Classified</t>
        </is>
      </c>
    </row>
    <row r="2">
      <c r="A2" t="inlineStr">
        <is>
          <t>Commerce · printed pp. 297, 298</t>
        </is>
      </c>
    </row>
    <row r="3">
      <c r="A3" s="3" t="inlineStr">
        <is>
          <t>← Contents</t>
        </is>
      </c>
    </row>
    <row r="5">
      <c r="A5" s="5" t="inlineStr">
        <is>
          <t>Share of</t>
        </is>
      </c>
      <c r="B5" s="5" t="inlineStr">
        <is>
          <t>1938 (May) — Shares (1,000)</t>
        </is>
      </c>
      <c r="C5" s="5" t="inlineStr">
        <is>
          <t>1938 (May) — Amount (¥1,000)</t>
        </is>
      </c>
      <c r="D5" s="5" t="inlineStr">
        <is>
          <t>1939 (May) — Shares (1,000)</t>
        </is>
      </c>
      <c r="E5" s="5" t="inlineStr">
        <is>
          <t>1939 (May) — Amount (¥1,000)</t>
        </is>
      </c>
      <c r="F5" s="5" t="inlineStr">
        <is>
          <t>1940 (May) — Shares (1,000)</t>
        </is>
      </c>
      <c r="G5" s="5" t="inlineStr">
        <is>
          <t>1940 (May) — Amount (¥1,000)</t>
        </is>
      </c>
    </row>
    <row r="6">
      <c r="A6" t="inlineStr">
        <is>
          <t>(in Manchoukuo)</t>
        </is>
      </c>
      <c r="B6" t="inlineStr"/>
      <c r="C6" t="inlineStr"/>
      <c r="D6" t="inlineStr"/>
      <c r="E6" t="inlineStr"/>
      <c r="F6" t="inlineStr"/>
      <c r="G6" t="inlineStr"/>
    </row>
    <row r="7">
      <c r="A7" t="inlineStr">
        <is>
          <t>Showa Steel Works</t>
        </is>
      </c>
      <c r="B7" s="6" t="n">
        <v>3100</v>
      </c>
      <c r="C7" s="6" t="n">
        <v>108050</v>
      </c>
      <c r="D7" s="6" t="n">
        <v>3100</v>
      </c>
      <c r="E7" s="6" t="n">
        <v>183050</v>
      </c>
      <c r="F7" s="6" t="n">
        <v>3100</v>
      </c>
      <c r="G7" s="6" t="n">
        <v>183050</v>
      </c>
    </row>
    <row r="8">
      <c r="A8" t="inlineStr">
        <is>
          <t>Manchuria Colliery</t>
        </is>
      </c>
      <c r="B8" s="6" t="n">
        <v>5555</v>
      </c>
      <c r="C8" s="6" t="n">
        <v>63283</v>
      </c>
      <c r="D8" s="6" t="n">
        <v>5978</v>
      </c>
      <c r="E8" s="6" t="n">
        <v>225502</v>
      </c>
      <c r="F8" s="6" t="n">
        <v>5978</v>
      </c>
      <c r="G8" s="6" t="n">
        <v>300502</v>
      </c>
    </row>
    <row r="9">
      <c r="A9" t="inlineStr">
        <is>
          <t>M. Light Metals</t>
        </is>
      </c>
      <c r="B9" s="9" t="n">
        <v>980</v>
      </c>
      <c r="C9" s="6" t="n">
        <v>30250</v>
      </c>
      <c r="D9" s="6" t="n">
        <v>1574</v>
      </c>
      <c r="E9" s="6" t="n">
        <v>78700</v>
      </c>
      <c r="F9" s="6" t="n">
        <v>1574</v>
      </c>
      <c r="G9" s="6" t="n">
        <v>78700</v>
      </c>
    </row>
    <row r="10">
      <c r="A10" t="inlineStr">
        <is>
          <t>Dowa Automobile</t>
        </is>
      </c>
      <c r="B10" s="9" t="n">
        <v>71</v>
      </c>
      <c r="C10" s="6" t="n">
        <v>3560</v>
      </c>
      <c r="D10" s="9" t="n">
        <v>509</v>
      </c>
      <c r="E10" s="6" t="n">
        <v>25440</v>
      </c>
      <c r="F10" s="9" t="n">
        <v>509</v>
      </c>
      <c r="G10" s="6" t="n">
        <v>25440</v>
      </c>
    </row>
    <row r="11">
      <c r="A11" t="inlineStr">
        <is>
          <t>M. Mining</t>
        </is>
      </c>
      <c r="B11" s="6" t="n">
        <v>1000</v>
      </c>
      <c r="C11" s="6" t="n">
        <v>25000</v>
      </c>
      <c r="D11" s="6" t="n">
        <v>1000</v>
      </c>
      <c r="E11" s="6" t="n">
        <v>50000</v>
      </c>
      <c r="F11" s="6" t="n">
        <v>2000</v>
      </c>
      <c r="G11" s="6" t="n">
        <v>100000</v>
      </c>
    </row>
    <row r="12">
      <c r="A12" t="inlineStr">
        <is>
          <t>M. Aircraft</t>
        </is>
      </c>
      <c r="B12" s="9" t="n">
        <v>400</v>
      </c>
      <c r="C12" s="6" t="n">
        <v>5000</v>
      </c>
      <c r="D12" s="6" t="n">
        <v>2000</v>
      </c>
      <c r="E12" s="6" t="n">
        <v>40000</v>
      </c>
      <c r="F12" s="6" t="n">
        <v>2000</v>
      </c>
      <c r="G12" s="6" t="n">
        <v>80000</v>
      </c>
    </row>
    <row r="13">
      <c r="A13" t="inlineStr">
        <is>
          <t>Tungpientao Dev'mt.</t>
        </is>
      </c>
      <c r="B13" s="9" t="n">
        <v>400</v>
      </c>
      <c r="C13" s="6" t="n">
        <v>6800</v>
      </c>
      <c r="D13" s="6" t="n">
        <v>1280</v>
      </c>
      <c r="E13" s="6" t="n">
        <v>64000</v>
      </c>
      <c r="F13" s="6" t="n">
        <v>2580</v>
      </c>
      <c r="G13" s="6" t="n">
        <v>115350</v>
      </c>
    </row>
    <row r="14">
      <c r="A14" t="inlineStr">
        <is>
          <t>M. Automobile</t>
        </is>
      </c>
      <c r="B14" t="inlineStr">
        <is>
          <t>—</t>
        </is>
      </c>
      <c r="C14" t="inlineStr">
        <is>
          <t>—</t>
        </is>
      </c>
      <c r="D14" s="6" t="n">
        <v>2000</v>
      </c>
      <c r="E14" s="6" t="n">
        <v>25000</v>
      </c>
      <c r="F14" s="6" t="n">
        <v>2000</v>
      </c>
      <c r="G14" s="6" t="n">
        <v>25000</v>
      </c>
    </row>
    <row r="15">
      <c r="A15" t="inlineStr">
        <is>
          <t>Penhsihu Iron &amp; Col.</t>
        </is>
      </c>
      <c r="B15" t="inlineStr">
        <is>
          <t>—</t>
        </is>
      </c>
      <c r="C15" t="inlineStr">
        <is>
          <t>—</t>
        </is>
      </c>
      <c r="D15" s="9" t="n">
        <v>800</v>
      </c>
      <c r="E15" s="6" t="n">
        <v>40000</v>
      </c>
      <c r="F15" s="9" t="n">
        <v>800</v>
      </c>
      <c r="G15" s="6" t="n">
        <v>40000</v>
      </c>
    </row>
    <row r="16">
      <c r="A16" t="inlineStr">
        <is>
          <t>Kyowa Iron Mining</t>
        </is>
      </c>
      <c r="B16" t="inlineStr">
        <is>
          <t>—</t>
        </is>
      </c>
      <c r="C16" t="inlineStr">
        <is>
          <t>—</t>
        </is>
      </c>
      <c r="D16" s="9" t="n">
        <v>80</v>
      </c>
      <c r="E16" s="6" t="n">
        <v>4000</v>
      </c>
      <c r="F16" s="9" t="n">
        <v>80</v>
      </c>
      <c r="G16" s="6" t="n">
        <v>4000</v>
      </c>
    </row>
    <row r="17">
      <c r="A17" t="inlineStr">
        <is>
          <t>M. Heavy Machine</t>
        </is>
      </c>
      <c r="B17" t="inlineStr">
        <is>
          <t>—</t>
        </is>
      </c>
      <c r="C17" t="inlineStr">
        <is>
          <t>—</t>
        </is>
      </c>
      <c r="D17" t="inlineStr">
        <is>
          <t>—</t>
        </is>
      </c>
      <c r="E17" t="inlineStr">
        <is>
          <t>—</t>
        </is>
      </c>
      <c r="F17" s="9" t="n">
        <v>772</v>
      </c>
      <c r="G17" s="6" t="n">
        <v>38600</v>
      </c>
    </row>
    <row r="18">
      <c r="A18" t="inlineStr">
        <is>
          <t>M. Boring</t>
        </is>
      </c>
      <c r="B18" t="inlineStr">
        <is>
          <t>—</t>
        </is>
      </c>
      <c r="C18" t="inlineStr">
        <is>
          <t>—</t>
        </is>
      </c>
      <c r="D18" t="inlineStr">
        <is>
          <t>—</t>
        </is>
      </c>
      <c r="E18" t="inlineStr">
        <is>
          <t>—</t>
        </is>
      </c>
      <c r="F18" s="9" t="n">
        <v>29</v>
      </c>
      <c r="G18" s="9" t="n">
        <v>740</v>
      </c>
    </row>
    <row r="19">
      <c r="A19" t="inlineStr">
        <is>
          <t>M. Vanadium Mining</t>
        </is>
      </c>
      <c r="B19" t="inlineStr">
        <is>
          <t>—</t>
        </is>
      </c>
      <c r="C19" t="inlineStr">
        <is>
          <t>—</t>
        </is>
      </c>
      <c r="D19" t="inlineStr">
        <is>
          <t>—</t>
        </is>
      </c>
      <c r="E19" t="inlineStr">
        <is>
          <t>—</t>
        </is>
      </c>
      <c r="F19" s="9" t="n">
        <v>190</v>
      </c>
      <c r="G19" s="6" t="n">
        <v>2375</v>
      </c>
    </row>
    <row r="20">
      <c r="A20" t="inlineStr">
        <is>
          <t>Japan Mining</t>
        </is>
      </c>
      <c r="B20" s="6" t="n">
        <v>1867</v>
      </c>
      <c r="C20" s="6" t="n">
        <v>93345</v>
      </c>
      <c r="D20" s="6" t="n">
        <v>1815</v>
      </c>
      <c r="E20" s="6" t="n">
        <v>90768</v>
      </c>
      <c r="F20" s="6" t="n">
        <v>1815</v>
      </c>
      <c r="G20" s="6" t="n">
        <v>90768</v>
      </c>
    </row>
    <row r="21">
      <c r="A21" t="inlineStr">
        <is>
          <t>Hitachi, Ltd.</t>
        </is>
      </c>
      <c r="B21" s="9" t="n">
        <v>817</v>
      </c>
      <c r="C21" s="6" t="n">
        <v>42270</v>
      </c>
      <c r="D21" s="6" t="n">
        <v>1264</v>
      </c>
      <c r="E21" s="6" t="n">
        <v>59029</v>
      </c>
      <c r="F21" s="6" t="n">
        <v>1325</v>
      </c>
      <c r="G21" s="6" t="n">
        <v>66136</v>
      </c>
    </row>
    <row r="22">
      <c r="A22" t="inlineStr">
        <is>
          <t>Nissan Chem. Ind.</t>
        </is>
      </c>
      <c r="B22" s="6" t="n">
        <v>1274</v>
      </c>
      <c r="C22" s="6" t="n">
        <v>62423</v>
      </c>
      <c r="D22" s="6" t="n">
        <v>1278</v>
      </c>
      <c r="E22" s="6" t="n">
        <v>62727</v>
      </c>
      <c r="F22" s="9" t="n">
        <v>969</v>
      </c>
      <c r="G22" s="6" t="n">
        <v>48091</v>
      </c>
    </row>
    <row r="23">
      <c r="A23" t="inlineStr">
        <is>
          <t>Japan Marine Product</t>
        </is>
      </c>
      <c r="B23" s="9" t="n">
        <v>833</v>
      </c>
      <c r="C23" s="6" t="n">
        <v>44537</v>
      </c>
      <c r="D23" s="9" t="n">
        <v>559</v>
      </c>
      <c r="E23" s="6" t="n">
        <v>29861</v>
      </c>
      <c r="F23" s="9" t="n">
        <v>449</v>
      </c>
      <c r="G23" s="6" t="n">
        <v>24009</v>
      </c>
    </row>
    <row r="24">
      <c r="A24" t="inlineStr">
        <is>
          <t>Nissan Automobile</t>
        </is>
      </c>
      <c r="B24" s="9" t="n">
        <v>294</v>
      </c>
      <c r="C24" s="6" t="n">
        <v>14700</v>
      </c>
      <c r="D24" s="9" t="n">
        <v>294</v>
      </c>
      <c r="E24" s="6" t="n">
        <v>14700</v>
      </c>
      <c r="F24" s="9" t="n">
        <v>294</v>
      </c>
      <c r="G24" s="6" t="n">
        <v>14700</v>
      </c>
    </row>
    <row r="25">
      <c r="A25" t="inlineStr">
        <is>
          <t>(in Japan)</t>
        </is>
      </c>
      <c r="B25" t="inlineStr"/>
      <c r="C25" t="inlineStr"/>
      <c r="D25" t="inlineStr"/>
      <c r="E25" t="inlineStr"/>
      <c r="F25" t="inlineStr"/>
      <c r="G25" t="inlineStr"/>
    </row>
    <row r="26">
      <c r="A26" t="inlineStr">
        <is>
          <t>Nissan Agriculture</t>
        </is>
      </c>
      <c r="B26" t="inlineStr">
        <is>
          <t>—</t>
        </is>
      </c>
      <c r="C26" t="inlineStr">
        <is>
          <t>—</t>
        </is>
      </c>
      <c r="D26" s="9" t="n">
        <v>123</v>
      </c>
      <c r="E26" s="6" t="n">
        <v>6158</v>
      </c>
      <c r="F26" s="9" t="n">
        <v>123</v>
      </c>
      <c r="G26" s="6" t="n">
        <v>6158</v>
      </c>
    </row>
    <row r="27">
      <c r="A27" t="inlineStr">
        <is>
          <t>Hitachi Elec. Power</t>
        </is>
      </c>
      <c r="B27" s="9" t="n">
        <v>89</v>
      </c>
      <c r="C27" s="6" t="n">
        <v>2780</v>
      </c>
      <c r="D27" s="9" t="n">
        <v>60</v>
      </c>
      <c r="E27" s="6" t="n">
        <v>2614</v>
      </c>
      <c r="F27" s="9" t="n">
        <v>60</v>
      </c>
      <c r="G27" s="6" t="n">
        <v>3006</v>
      </c>
    </row>
    <row r="28">
      <c r="A28" t="inlineStr">
        <is>
          <t>Nissan Civil Engrg.</t>
        </is>
      </c>
      <c r="B28" t="inlineStr">
        <is>
          <t>—</t>
        </is>
      </c>
      <c r="C28" t="inlineStr">
        <is>
          <t>—</t>
        </is>
      </c>
      <c r="D28" s="9" t="n">
        <v>20</v>
      </c>
      <c r="E28" s="6" t="n">
        <v>1000</v>
      </c>
      <c r="F28" s="9" t="n">
        <v>20</v>
      </c>
      <c r="G28" s="6" t="n">
        <v>1000</v>
      </c>
    </row>
    <row r="29">
      <c r="A29" t="inlineStr">
        <is>
          <t>Government Bonds</t>
        </is>
      </c>
      <c r="B29" t="inlineStr">
        <is>
          <t>—</t>
        </is>
      </c>
      <c r="C29" s="9" t="n">
        <v>401</v>
      </c>
      <c r="D29" t="inlineStr">
        <is>
          <t>—</t>
        </is>
      </c>
      <c r="E29" s="9" t="n">
        <v>402</v>
      </c>
      <c r="F29" t="inlineStr">
        <is>
          <t>—</t>
        </is>
      </c>
      <c r="G29" t="inlineStr"/>
    </row>
    <row r="30">
      <c r="A30" t="inlineStr">
        <is>
          <t>Total incl. Others</t>
        </is>
      </c>
      <c r="B30" t="inlineStr">
        <is>
          <t>—</t>
        </is>
      </c>
      <c r="C30" s="6" t="n">
        <v>515065</v>
      </c>
      <c r="D30" t="inlineStr">
        <is>
          <t>—</t>
        </is>
      </c>
      <c r="E30" s="6" t="n">
        <v>1032952</v>
      </c>
      <c r="F30" t="inlineStr">
        <is>
          <t>—</t>
        </is>
      </c>
      <c r="G30" s="6" t="n">
        <v>1251384</v>
      </c>
    </row>
    <row r="32">
      <c r="A32" s="2" t="inlineStr">
        <is>
          <t>Footnotes</t>
        </is>
      </c>
    </row>
    <row r="33">
      <c r="A33" t="inlineStr">
        <is>
          <t>Note: M. represent Manchuria</t>
        </is>
      </c>
    </row>
    <row r="35">
      <c r="A35" s="2" t="inlineStr">
        <is>
          <t>Transcriber's notes</t>
        </is>
      </c>
    </row>
    <row r="36">
      <c r="A36" t="inlineStr">
        <is>
          <t>Total incl. Others (Amount): printed 515,065 / 1,032,952 / 1,251,384; the listed items alone sum to 502,399 / 1,002,951 / 1,247,625 (1940 excluding the unread Government Bonds figure). The total includes unlisted 'Others', so it cannot be reconciled.</t>
        </is>
      </c>
    </row>
    <row r="37">
      <c r="A37" t="inlineStr">
        <is>
          <t>Row 'Government Bonds', col '1940 (May) — Amount': unreadable — reads '3,7?7' (middle digit faint, 5 or 3); left blank.</t>
        </is>
      </c>
    </row>
    <row r="38">
      <c r="A38" t="inlineStr">
        <is>
          <t>The three printed totals equal the 'Securities' line of Table 14 for Nov. 1938, May 1940 and May 1941 respectively, not for May 1938/1939/1940 as the column heads say; transcribed as printed.</t>
        </is>
      </c>
    </row>
    <row r="39">
      <c r="A39" t="inlineStr">
        <is>
          <t>Several 'M. ...' rows in 1939 Amount printed with a short dash ('-' / '- -'); normalised to '—'.</t>
        </is>
      </c>
    </row>
    <row r="40">
      <c r="A40" t="inlineStr">
        <is>
          <t>Section heads '(in Manchoukuo)' and '(in Japan)' are printed in the stub header position; given as heading rows.</t>
        </is>
      </c>
    </row>
  </sheetData>
  <hyperlinks>
    <hyperlink xmlns:r="http://schemas.openxmlformats.org/officeDocument/2006/relationships" ref="A3" r:id="rId1"/>
  </hyperlink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I3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Gross Foreign Trade of Manchoukuo</t>
        </is>
      </c>
    </row>
    <row r="2">
      <c r="A2" t="inlineStr">
        <is>
          <t>Foreign Trade · printed pp. 313</t>
        </is>
      </c>
    </row>
    <row r="3">
      <c r="A3" t="inlineStr">
        <is>
          <t>(M¥1,000)</t>
        </is>
      </c>
    </row>
    <row r="4">
      <c r="A4" s="3" t="inlineStr">
        <is>
          <t>← Contents</t>
        </is>
      </c>
    </row>
    <row r="6">
      <c r="A6" s="5" t="inlineStr">
        <is>
          <t>Year</t>
        </is>
      </c>
      <c r="B6" s="5" t="inlineStr">
        <is>
          <t>Export</t>
        </is>
      </c>
      <c r="C6" s="5" t="inlineStr">
        <is>
          <t>Export — Index</t>
        </is>
      </c>
      <c r="D6" s="5" t="inlineStr">
        <is>
          <t>Import</t>
        </is>
      </c>
      <c r="E6" s="5" t="inlineStr">
        <is>
          <t>Import — Index</t>
        </is>
      </c>
      <c r="F6" s="5" t="inlineStr">
        <is>
          <t>Total</t>
        </is>
      </c>
      <c r="G6" s="5" t="inlineStr">
        <is>
          <t>Total — Index</t>
        </is>
      </c>
      <c r="H6" s="5" t="inlineStr">
        <is>
          <t>% against Total — Export %</t>
        </is>
      </c>
      <c r="I6" s="5" t="inlineStr">
        <is>
          <t>% against Total — Import %</t>
        </is>
      </c>
    </row>
    <row r="7">
      <c r="A7" s="9" t="n">
        <v>1926</v>
      </c>
      <c r="B7" s="6" t="n">
        <v>566770</v>
      </c>
      <c r="C7" t="inlineStr">
        <is>
          <t>100 (1926-30 bracket)</t>
        </is>
      </c>
      <c r="D7" s="6" t="n">
        <v>421992</v>
      </c>
      <c r="E7" t="inlineStr">
        <is>
          <t>100 (1926-30 bracket)</t>
        </is>
      </c>
      <c r="F7" s="6" t="n">
        <v>988768</v>
      </c>
      <c r="G7" t="inlineStr">
        <is>
          <t>100 (1926-30 bracket)</t>
        </is>
      </c>
      <c r="H7" s="9" t="n">
        <v>57</v>
      </c>
      <c r="I7" s="9" t="n">
        <v>43</v>
      </c>
    </row>
    <row r="8">
      <c r="A8" s="9" t="n">
        <v>1927</v>
      </c>
      <c r="B8" s="6" t="n">
        <v>626002</v>
      </c>
      <c r="C8" t="inlineStr">
        <is>
          <t>100 (1926-30 bracket)</t>
        </is>
      </c>
      <c r="D8" s="6" t="n">
        <v>409245</v>
      </c>
      <c r="E8" t="inlineStr">
        <is>
          <t>100 (1926-30 bracket)</t>
        </is>
      </c>
      <c r="F8" s="6" t="n">
        <v>1035248</v>
      </c>
      <c r="G8" t="inlineStr">
        <is>
          <t>100 (1926-30 bracket)</t>
        </is>
      </c>
      <c r="H8" s="9" t="n">
        <v>60</v>
      </c>
      <c r="I8" s="9" t="n">
        <v>40</v>
      </c>
    </row>
    <row r="9">
      <c r="A9" s="9" t="n">
        <v>1928</v>
      </c>
      <c r="B9" s="6" t="n">
        <v>668678</v>
      </c>
      <c r="C9" t="inlineStr">
        <is>
          <t>100 (1926-30 bracket)</t>
        </is>
      </c>
      <c r="D9" s="6" t="n">
        <v>459946</v>
      </c>
      <c r="E9" t="inlineStr">
        <is>
          <t>100 (1926-30 bracket)</t>
        </is>
      </c>
      <c r="F9" s="6" t="n">
        <v>1128624</v>
      </c>
      <c r="G9" t="inlineStr">
        <is>
          <t>100 (1926-30 bracket)</t>
        </is>
      </c>
      <c r="H9" s="9" t="n">
        <v>59</v>
      </c>
      <c r="I9" s="9" t="n">
        <v>41</v>
      </c>
    </row>
    <row r="10">
      <c r="A10" s="9" t="n">
        <v>1929</v>
      </c>
      <c r="B10" s="6" t="n">
        <v>659682</v>
      </c>
      <c r="C10" t="inlineStr">
        <is>
          <t>100 (1926-30 bracket)</t>
        </is>
      </c>
      <c r="D10" s="6" t="n">
        <v>502948</v>
      </c>
      <c r="E10" t="inlineStr">
        <is>
          <t>100 (1926-30 bracket)</t>
        </is>
      </c>
      <c r="F10" s="6" t="n">
        <v>1162630</v>
      </c>
      <c r="G10" t="inlineStr">
        <is>
          <t>100 (1926-30 bracket)</t>
        </is>
      </c>
      <c r="H10" s="9" t="n">
        <v>57</v>
      </c>
      <c r="I10" s="9" t="n">
        <v>43</v>
      </c>
    </row>
    <row r="11">
      <c r="A11" s="9" t="n">
        <v>1930</v>
      </c>
      <c r="B11" s="6" t="n">
        <v>608384</v>
      </c>
      <c r="C11" t="inlineStr">
        <is>
          <t>100 (1926-30 bracket)</t>
        </is>
      </c>
      <c r="D11" s="6" t="n">
        <v>462733</v>
      </c>
      <c r="E11" t="inlineStr">
        <is>
          <t>100 (1926-30 bracket)</t>
        </is>
      </c>
      <c r="F11" s="6" t="n">
        <v>1071157</v>
      </c>
      <c r="G11" t="inlineStr">
        <is>
          <t>100 (1926-30 bracket)</t>
        </is>
      </c>
      <c r="H11" s="9" t="n">
        <v>62</v>
      </c>
      <c r="I11" s="9" t="n">
        <v>38</v>
      </c>
    </row>
    <row r="12">
      <c r="A12" s="9" t="n">
        <v>1931</v>
      </c>
      <c r="B12" s="6" t="n">
        <v>739272</v>
      </c>
      <c r="C12" s="9" t="n">
        <v>118</v>
      </c>
      <c r="D12" s="6" t="n">
        <v>341600</v>
      </c>
      <c r="E12" s="9" t="n">
        <v>76</v>
      </c>
      <c r="F12" s="6" t="n">
        <v>1080871</v>
      </c>
      <c r="G12" s="9" t="n">
        <v>100</v>
      </c>
      <c r="H12" s="9" t="n">
        <v>68</v>
      </c>
      <c r="I12" s="9" t="n">
        <v>32</v>
      </c>
    </row>
    <row r="13">
      <c r="A13" s="9" t="n">
        <v>1932</v>
      </c>
      <c r="B13" s="6" t="n">
        <v>618157</v>
      </c>
      <c r="C13" s="9" t="n">
        <v>99</v>
      </c>
      <c r="D13" s="6" t="n">
        <v>337673</v>
      </c>
      <c r="E13" s="9" t="n">
        <v>75</v>
      </c>
      <c r="F13" s="6" t="n">
        <v>955830</v>
      </c>
      <c r="G13" s="9" t="n">
        <v>89</v>
      </c>
      <c r="H13" s="9" t="n">
        <v>67</v>
      </c>
      <c r="I13" s="9" t="n">
        <v>33</v>
      </c>
    </row>
    <row r="14">
      <c r="A14" s="9" t="n">
        <v>1933</v>
      </c>
      <c r="B14" s="6" t="n">
        <v>448478</v>
      </c>
      <c r="C14" s="9" t="n">
        <v>72</v>
      </c>
      <c r="D14" s="6" t="n">
        <v>515832</v>
      </c>
      <c r="E14" s="9" t="n">
        <v>114</v>
      </c>
      <c r="F14" s="6" t="n">
        <v>964310</v>
      </c>
      <c r="G14" s="9" t="n">
        <v>90</v>
      </c>
      <c r="H14" s="9" t="n">
        <v>47</v>
      </c>
      <c r="I14" s="9" t="n">
        <v>53</v>
      </c>
    </row>
    <row r="15">
      <c r="A15" s="9" t="n">
        <v>1934</v>
      </c>
      <c r="B15" s="6" t="n">
        <v>448427</v>
      </c>
      <c r="C15" s="9" t="n">
        <v>72</v>
      </c>
      <c r="D15" s="6" t="n">
        <v>539562</v>
      </c>
      <c r="E15" s="9" t="n">
        <v>120</v>
      </c>
      <c r="F15" s="6" t="n">
        <v>1041989</v>
      </c>
      <c r="G15" s="9" t="n">
        <v>97</v>
      </c>
      <c r="H15" s="9" t="n">
        <v>43</v>
      </c>
      <c r="I15" s="9" t="n">
        <v>57</v>
      </c>
    </row>
    <row r="16">
      <c r="A16" s="9" t="n">
        <v>1935</v>
      </c>
      <c r="B16" s="6" t="n">
        <v>421078</v>
      </c>
      <c r="C16" s="9" t="n">
        <v>67</v>
      </c>
      <c r="D16" s="6" t="n">
        <v>604149</v>
      </c>
      <c r="E16" s="9" t="n">
        <v>134</v>
      </c>
      <c r="F16" s="6" t="n">
        <v>1025227</v>
      </c>
      <c r="G16" s="9" t="n">
        <v>95</v>
      </c>
      <c r="H16" s="9" t="n">
        <v>41</v>
      </c>
      <c r="I16" s="9" t="n">
        <v>59</v>
      </c>
    </row>
    <row r="17">
      <c r="A17" s="9" t="n">
        <v>1936</v>
      </c>
      <c r="B17" s="6" t="n">
        <v>602759</v>
      </c>
      <c r="C17" s="9" t="n">
        <v>96</v>
      </c>
      <c r="D17" s="6" t="n">
        <v>691889</v>
      </c>
      <c r="E17" s="9" t="n">
        <v>154</v>
      </c>
      <c r="F17" s="6" t="n">
        <v>1294648</v>
      </c>
      <c r="G17" s="9" t="n">
        <v>120</v>
      </c>
      <c r="H17" s="9" t="n">
        <v>42</v>
      </c>
      <c r="I17" s="9" t="n">
        <v>58</v>
      </c>
    </row>
    <row r="18">
      <c r="A18" s="9" t="n">
        <v>1937</v>
      </c>
      <c r="B18" s="6" t="n">
        <v>645298</v>
      </c>
      <c r="C18" s="9" t="n">
        <v>103</v>
      </c>
      <c r="D18" s="6" t="n">
        <v>887412</v>
      </c>
      <c r="E18" s="9" t="n">
        <v>197</v>
      </c>
      <c r="F18" s="6" t="n">
        <v>1532709</v>
      </c>
      <c r="G18" s="9" t="n">
        <v>142</v>
      </c>
      <c r="H18" s="9" t="n">
        <v>43</v>
      </c>
      <c r="I18" s="9" t="n">
        <v>57</v>
      </c>
    </row>
    <row r="19">
      <c r="A19" s="9" t="n">
        <v>1938</v>
      </c>
      <c r="B19" s="6" t="n">
        <v>725454</v>
      </c>
      <c r="C19" s="9" t="n">
        <v>116</v>
      </c>
      <c r="D19" s="6" t="n">
        <v>1274748</v>
      </c>
      <c r="E19" s="9" t="n">
        <v>280</v>
      </c>
      <c r="F19" s="6" t="n">
        <v>2000202</v>
      </c>
      <c r="G19" s="9" t="n">
        <v>186</v>
      </c>
      <c r="H19" s="9" t="n">
        <v>36</v>
      </c>
      <c r="I19" s="9" t="n">
        <v>64</v>
      </c>
    </row>
    <row r="20">
      <c r="A20" s="9" t="n">
        <v>1939</v>
      </c>
      <c r="B20" s="6" t="n">
        <v>834717</v>
      </c>
      <c r="C20" s="9" t="n">
        <v>133</v>
      </c>
      <c r="D20" s="6" t="n">
        <v>1816124</v>
      </c>
      <c r="E20" s="9" t="n">
        <v>404</v>
      </c>
      <c r="F20" s="6" t="n">
        <v>2650841</v>
      </c>
      <c r="G20" s="9" t="n">
        <v>245</v>
      </c>
      <c r="H20" s="9" t="n">
        <v>32</v>
      </c>
      <c r="I20" s="9" t="n">
        <v>68</v>
      </c>
    </row>
    <row r="21">
      <c r="A21" t="inlineStr">
        <is>
          <t>1939 (Jan.-Sept.)</t>
        </is>
      </c>
      <c r="B21" s="6" t="n">
        <v>646663</v>
      </c>
      <c r="C21" t="inlineStr">
        <is>
          <t>—</t>
        </is>
      </c>
      <c r="D21" s="6" t="n">
        <v>1278268</v>
      </c>
      <c r="E21" t="inlineStr">
        <is>
          <t>—</t>
        </is>
      </c>
      <c r="F21" s="6" t="n">
        <v>1929931</v>
      </c>
      <c r="G21" t="inlineStr">
        <is>
          <t>—</t>
        </is>
      </c>
      <c r="H21" s="9" t="n">
        <v>34</v>
      </c>
      <c r="I21" s="9" t="n">
        <v>66</v>
      </c>
    </row>
    <row r="22">
      <c r="A22" t="inlineStr">
        <is>
          <t>1940 (Jan.-Sept.)</t>
        </is>
      </c>
      <c r="B22" s="6" t="n">
        <v>544629</v>
      </c>
      <c r="C22" t="inlineStr">
        <is>
          <t>—</t>
        </is>
      </c>
      <c r="D22" s="6" t="n">
        <v>1397716</v>
      </c>
      <c r="E22" t="inlineStr">
        <is>
          <t>—</t>
        </is>
      </c>
      <c r="F22" s="6" t="n">
        <v>1942345</v>
      </c>
      <c r="G22" t="inlineStr">
        <is>
          <t>—</t>
        </is>
      </c>
      <c r="H22" s="9" t="n">
        <v>28</v>
      </c>
      <c r="I22" s="9" t="n">
        <v>72</v>
      </c>
    </row>
    <row r="24">
      <c r="A24" s="2" t="inlineStr">
        <is>
          <t>Footnotes</t>
        </is>
      </c>
    </row>
    <row r="25">
      <c r="A25" t="inlineStr">
        <is>
          <t>Note: Statistics of the foreign trade of Manchoukuo include those of the Kwantung Leased Territory from 1932.</t>
        </is>
      </c>
    </row>
    <row r="27">
      <c r="A27" s="2" t="inlineStr">
        <is>
          <t>Transcriber's notes</t>
        </is>
      </c>
    </row>
    <row r="28">
      <c r="A28" t="inlineStr">
        <is>
          <t>Export + Import = Total checked for all 16 rows; the following do NOT reconcile (cells re-read in a tight crop): 1926: export+import=988,762 vs Total 988,768 (diff -6); 1927: export+import=1,035,247 vs Total 1,035,248 (diff -1); 1930: export+import=1,071,117 vs Total 1,071,157 (diff -40); 1931: export+import=1,080,872 vs Total 1,080,871 (diff +1); 1934: export+import=987,989 vs Total 1,041,989 (diff -54,000); 1937: export+import=1,532,710 vs Total 1,532,709 (diff +1); 1939 (Jan.-Sept.): export+import=1,924,931 vs Total 1,929,931 (diff -5,000). Other rows reconcile.</t>
        </is>
      </c>
    </row>
    <row r="29">
      <c r="A29" t="inlineStr">
        <is>
          <t>Export % + Import % = 100 in every row.</t>
        </is>
      </c>
    </row>
    <row r="30">
      <c r="A30" t="inlineStr">
        <is>
          <t>Index columns: a single '100' is printed against a brace spanning the 1926-1930 rows (base period) in each of the three index columns; rendered here as '100 (1926-30 bracket)' in each of those rows.</t>
        </is>
      </c>
    </row>
    <row r="31">
      <c r="A31" t="inlineStr">
        <is>
          <t>Year labels in the stub are printed about half a line below their figure rows (page skew); 16 labels matched in order to 16 figure rows, consistent with the 1926-30 base bracket.</t>
        </is>
      </c>
    </row>
    <row r="32">
      <c r="A32" t="inlineStr">
        <is>
          <t>1934 Import printed '539,562' (re-read; first digit slightly broken but reads 5,3). Table 3 (p. 316) prints the 1934 total import as 593,562, which would make 1934 reconcile — probable transposition in the source; transcribed as printed.</t>
        </is>
      </c>
    </row>
    <row r="33">
      <c r="A33" t="inlineStr">
        <is>
          <t>1939 (Jan.-Sept.) Total printed 1,929,931; Table 3 (p. 316) prints 1,924,931, which equals Export + Import.</t>
        </is>
      </c>
    </row>
  </sheetData>
  <hyperlinks>
    <hyperlink xmlns:r="http://schemas.openxmlformats.org/officeDocument/2006/relationships" ref="A4" r:id="rId1"/>
  </hyperlink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G10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Value Percentage of Exports &amp; Imports of Merchandise by Countries and by Categories</t>
        </is>
      </c>
    </row>
    <row r="2">
      <c r="A2" t="inlineStr">
        <is>
          <t>Foreign Trade · printed pp. 313, 314, 315</t>
        </is>
      </c>
    </row>
    <row r="3">
      <c r="A3" t="inlineStr">
        <is>
          <t>(Unit: %) — printed on the continuation pages</t>
        </is>
      </c>
    </row>
    <row r="4">
      <c r="A4" s="3" t="inlineStr">
        <is>
          <t>← Contents</t>
        </is>
      </c>
    </row>
    <row r="6">
      <c r="A6" s="2" t="inlineStr">
        <is>
          <t>(A) Exports — To:</t>
        </is>
      </c>
    </row>
    <row r="7">
      <c r="A7" s="5" t="inlineStr">
        <is>
          <t>Country</t>
        </is>
      </c>
      <c r="B7" s="5" t="inlineStr">
        <is>
          <t>Year</t>
        </is>
      </c>
      <c r="C7" s="5" t="inlineStr">
        <is>
          <t>Foodstuffs, Beverage, Prepared Tobacco</t>
        </is>
      </c>
      <c r="D7" s="5" t="inlineStr">
        <is>
          <t>Raw Materials</t>
        </is>
      </c>
      <c r="E7" s="5" t="inlineStr">
        <is>
          <t>Raw Materials for further Manufacturing</t>
        </is>
      </c>
      <c r="F7" s="5" t="inlineStr">
        <is>
          <t>Wholly or Mainly Manufactured Goods</t>
        </is>
      </c>
      <c r="G7" s="5" t="inlineStr">
        <is>
          <t>Grand Total of Exports</t>
        </is>
      </c>
    </row>
    <row r="8">
      <c r="A8" t="inlineStr">
        <is>
          <t>Japan</t>
        </is>
      </c>
      <c r="B8" s="9" t="n">
        <v>1936</v>
      </c>
      <c r="C8" s="11" t="n">
        <v>34.49</v>
      </c>
      <c r="D8" s="11" t="n">
        <v>37.59</v>
      </c>
      <c r="E8" s="11" t="n">
        <v>60.44</v>
      </c>
      <c r="F8" s="11" t="n">
        <v>46.31</v>
      </c>
      <c r="G8" s="11" t="n">
        <v>43.66</v>
      </c>
    </row>
    <row r="9">
      <c r="A9" t="inlineStr">
        <is>
          <t>Japan</t>
        </is>
      </c>
      <c r="B9" s="9" t="n">
        <v>1937</v>
      </c>
      <c r="C9" s="11" t="n">
        <v>42.48</v>
      </c>
      <c r="D9" s="11" t="n">
        <v>41.59</v>
      </c>
      <c r="E9" s="11" t="n">
        <v>61.2</v>
      </c>
      <c r="F9" s="11" t="n">
        <v>36.7</v>
      </c>
      <c r="G9" s="11" t="n">
        <v>47.74</v>
      </c>
    </row>
    <row r="10">
      <c r="A10" t="inlineStr">
        <is>
          <t>Japan</t>
        </is>
      </c>
      <c r="B10" s="9" t="n">
        <v>1938</v>
      </c>
      <c r="C10" t="inlineStr">
        <is>
          <t>—</t>
        </is>
      </c>
      <c r="D10" t="inlineStr">
        <is>
          <t>—</t>
        </is>
      </c>
      <c r="E10" t="inlineStr">
        <is>
          <t>—</t>
        </is>
      </c>
      <c r="F10" t="inlineStr">
        <is>
          <t>—</t>
        </is>
      </c>
      <c r="G10" s="11" t="n">
        <v>47.69</v>
      </c>
    </row>
    <row r="11">
      <c r="A11" t="inlineStr">
        <is>
          <t>Japan</t>
        </is>
      </c>
      <c r="B11" s="9" t="n">
        <v>1939</v>
      </c>
      <c r="C11" t="inlineStr">
        <is>
          <t>—</t>
        </is>
      </c>
      <c r="D11" t="inlineStr">
        <is>
          <t>—</t>
        </is>
      </c>
      <c r="E11" t="inlineStr">
        <is>
          <t>—</t>
        </is>
      </c>
      <c r="F11" t="inlineStr">
        <is>
          <t>—</t>
        </is>
      </c>
      <c r="G11" s="11" t="n">
        <v>51.25</v>
      </c>
    </row>
    <row r="12">
      <c r="A12" t="inlineStr">
        <is>
          <t>Japan</t>
        </is>
      </c>
      <c r="B12" t="inlineStr">
        <is>
          <t>1940 (Jan.-Sept.)</t>
        </is>
      </c>
      <c r="C12" t="inlineStr">
        <is>
          <t>—</t>
        </is>
      </c>
      <c r="D12" t="inlineStr">
        <is>
          <t>—</t>
        </is>
      </c>
      <c r="E12" t="inlineStr">
        <is>
          <t>—</t>
        </is>
      </c>
      <c r="F12" t="inlineStr">
        <is>
          <t>—</t>
        </is>
      </c>
      <c r="G12" s="11" t="n">
        <v>58.15</v>
      </c>
    </row>
    <row r="13">
      <c r="A13" t="inlineStr">
        <is>
          <t>Chosen</t>
        </is>
      </c>
      <c r="B13" s="9" t="n">
        <v>1936</v>
      </c>
      <c r="C13" s="11" t="n">
        <v>37.11</v>
      </c>
      <c r="D13" s="11" t="n">
        <v>5.97</v>
      </c>
      <c r="E13" s="11" t="n">
        <v>4.11</v>
      </c>
      <c r="F13" s="11" t="n">
        <v>7.31</v>
      </c>
      <c r="G13" s="11" t="n">
        <v>8.789999999999999</v>
      </c>
    </row>
    <row r="14">
      <c r="A14" t="inlineStr">
        <is>
          <t>Chosen</t>
        </is>
      </c>
      <c r="B14" s="9" t="n">
        <v>1937</v>
      </c>
      <c r="C14" s="11" t="n">
        <v>29.94</v>
      </c>
      <c r="D14" s="11" t="n">
        <v>5.27</v>
      </c>
      <c r="E14" s="11" t="n">
        <v>3.57</v>
      </c>
      <c r="F14" s="11" t="n">
        <v>13.46</v>
      </c>
      <c r="G14" s="11" t="n">
        <v>7.12</v>
      </c>
    </row>
    <row r="15">
      <c r="A15" t="inlineStr">
        <is>
          <t>Chosen</t>
        </is>
      </c>
      <c r="B15" s="9" t="n">
        <v>1938</v>
      </c>
      <c r="C15" t="inlineStr">
        <is>
          <t>—</t>
        </is>
      </c>
      <c r="D15" t="inlineStr">
        <is>
          <t>—</t>
        </is>
      </c>
      <c r="E15" t="inlineStr">
        <is>
          <t>—</t>
        </is>
      </c>
      <c r="F15" t="inlineStr">
        <is>
          <t>—</t>
        </is>
      </c>
      <c r="G15" s="11" t="n">
        <v>6.77</v>
      </c>
    </row>
    <row r="16">
      <c r="A16" t="inlineStr">
        <is>
          <t>Chosen</t>
        </is>
      </c>
      <c r="B16" s="9" t="n">
        <v>1939</v>
      </c>
      <c r="C16" t="inlineStr">
        <is>
          <t>—</t>
        </is>
      </c>
      <c r="D16" t="inlineStr">
        <is>
          <t>—</t>
        </is>
      </c>
      <c r="E16" t="inlineStr">
        <is>
          <t>—</t>
        </is>
      </c>
      <c r="F16" t="inlineStr">
        <is>
          <t>—</t>
        </is>
      </c>
      <c r="G16" s="11" t="n">
        <v>7.51</v>
      </c>
    </row>
    <row r="17">
      <c r="A17" t="inlineStr">
        <is>
          <t>Chosen</t>
        </is>
      </c>
      <c r="B17" t="inlineStr">
        <is>
          <t>1940 (Jan.-Sept.)</t>
        </is>
      </c>
      <c r="C17" t="inlineStr">
        <is>
          <t>—</t>
        </is>
      </c>
      <c r="D17" t="inlineStr">
        <is>
          <t>—</t>
        </is>
      </c>
      <c r="E17" t="inlineStr">
        <is>
          <t>—</t>
        </is>
      </c>
      <c r="F17" t="inlineStr">
        <is>
          <t>—</t>
        </is>
      </c>
      <c r="G17" s="11" t="n">
        <v>11.34</v>
      </c>
    </row>
    <row r="18">
      <c r="A18" t="inlineStr">
        <is>
          <t>China</t>
        </is>
      </c>
      <c r="B18" s="9" t="n">
        <v>1936</v>
      </c>
      <c r="C18" s="11" t="n">
        <v>25.16</v>
      </c>
      <c r="D18" s="11" t="n">
        <v>8.699999999999999</v>
      </c>
      <c r="E18" s="11" t="n">
        <v>11.9</v>
      </c>
      <c r="F18" s="11" t="n">
        <v>43.15</v>
      </c>
      <c r="G18" s="11" t="n">
        <v>12.11</v>
      </c>
    </row>
    <row r="19">
      <c r="A19" t="inlineStr">
        <is>
          <t>China</t>
        </is>
      </c>
      <c r="B19" s="9" t="n">
        <v>1937</v>
      </c>
      <c r="C19" s="11" t="n">
        <v>23.32</v>
      </c>
      <c r="D19" s="11" t="n">
        <v>4.07</v>
      </c>
      <c r="E19" s="11" t="n">
        <v>9.08</v>
      </c>
      <c r="F19" s="11" t="n">
        <v>38.35</v>
      </c>
      <c r="G19" s="11" t="n">
        <v>7.12</v>
      </c>
    </row>
    <row r="20">
      <c r="A20" t="inlineStr">
        <is>
          <t>China</t>
        </is>
      </c>
      <c r="B20" s="9" t="n">
        <v>1938</v>
      </c>
      <c r="C20" t="inlineStr">
        <is>
          <t>—</t>
        </is>
      </c>
      <c r="D20" t="inlineStr">
        <is>
          <t>—</t>
        </is>
      </c>
      <c r="E20" t="inlineStr">
        <is>
          <t>—</t>
        </is>
      </c>
      <c r="F20" t="inlineStr">
        <is>
          <t>—</t>
        </is>
      </c>
      <c r="G20" s="11" t="n">
        <v>16.74</v>
      </c>
    </row>
    <row r="21">
      <c r="A21" t="inlineStr">
        <is>
          <t>China</t>
        </is>
      </c>
      <c r="B21" s="9" t="n">
        <v>1939</v>
      </c>
      <c r="C21" t="inlineStr">
        <is>
          <t>—</t>
        </is>
      </c>
      <c r="D21" t="inlineStr">
        <is>
          <t>—</t>
        </is>
      </c>
      <c r="E21" t="inlineStr">
        <is>
          <t>—</t>
        </is>
      </c>
      <c r="F21" t="inlineStr">
        <is>
          <t>—</t>
        </is>
      </c>
      <c r="G21" s="11" t="n">
        <v>20.23</v>
      </c>
    </row>
    <row r="22">
      <c r="A22" t="inlineStr">
        <is>
          <t>China</t>
        </is>
      </c>
      <c r="B22" t="inlineStr">
        <is>
          <t>1940 (Jan.-Sept.)</t>
        </is>
      </c>
      <c r="C22" t="inlineStr">
        <is>
          <t>—</t>
        </is>
      </c>
      <c r="D22" t="inlineStr">
        <is>
          <t>—</t>
        </is>
      </c>
      <c r="E22" t="inlineStr">
        <is>
          <t>—</t>
        </is>
      </c>
      <c r="F22" t="inlineStr">
        <is>
          <t>—</t>
        </is>
      </c>
      <c r="G22" s="11" t="n">
        <v>25.57</v>
      </c>
    </row>
    <row r="23">
      <c r="A23" t="inlineStr">
        <is>
          <t>Great Britain</t>
        </is>
      </c>
      <c r="B23" s="9" t="n">
        <v>1936</v>
      </c>
      <c r="C23" s="11" t="n">
        <v>0.33</v>
      </c>
      <c r="D23" s="11" t="n">
        <v>7.42</v>
      </c>
      <c r="E23" s="11" t="n">
        <v>2.61</v>
      </c>
      <c r="F23" s="9" t="n">
        <v>0</v>
      </c>
      <c r="G23" s="11" t="n">
        <v>5.2</v>
      </c>
    </row>
    <row r="24">
      <c r="A24" t="inlineStr">
        <is>
          <t>Great Britain</t>
        </is>
      </c>
      <c r="B24" s="9" t="n">
        <v>1937</v>
      </c>
      <c r="C24" s="11" t="n">
        <v>0.44</v>
      </c>
      <c r="D24" s="11" t="n">
        <v>1.85</v>
      </c>
      <c r="E24" s="11" t="n">
        <v>1.7</v>
      </c>
      <c r="F24" s="11" t="n">
        <v>0.68</v>
      </c>
      <c r="G24" s="11" t="n">
        <v>1.64</v>
      </c>
    </row>
    <row r="25">
      <c r="A25" t="inlineStr">
        <is>
          <t>Great Britain</t>
        </is>
      </c>
      <c r="B25" s="9" t="n">
        <v>1938</v>
      </c>
      <c r="C25" t="inlineStr">
        <is>
          <t>—</t>
        </is>
      </c>
      <c r="D25" t="inlineStr">
        <is>
          <t>—</t>
        </is>
      </c>
      <c r="E25" t="inlineStr">
        <is>
          <t>—</t>
        </is>
      </c>
      <c r="F25" t="inlineStr">
        <is>
          <t>—</t>
        </is>
      </c>
      <c r="G25" s="11" t="n">
        <v>0.38</v>
      </c>
    </row>
    <row r="26">
      <c r="A26" t="inlineStr">
        <is>
          <t>Great Britain</t>
        </is>
      </c>
      <c r="B26" s="9" t="n">
        <v>1939</v>
      </c>
      <c r="C26" t="inlineStr">
        <is>
          <t>—</t>
        </is>
      </c>
      <c r="D26" t="inlineStr">
        <is>
          <t>—</t>
        </is>
      </c>
      <c r="E26" t="inlineStr">
        <is>
          <t>—</t>
        </is>
      </c>
      <c r="F26" t="inlineStr">
        <is>
          <t>—</t>
        </is>
      </c>
      <c r="G26" s="11" t="n">
        <v>0.95</v>
      </c>
    </row>
    <row r="27">
      <c r="A27" t="inlineStr">
        <is>
          <t>Great Britain</t>
        </is>
      </c>
      <c r="B27" t="inlineStr">
        <is>
          <t>1940 (Jan.-Sept.)</t>
        </is>
      </c>
      <c r="C27" t="inlineStr">
        <is>
          <t>—</t>
        </is>
      </c>
      <c r="D27" t="inlineStr">
        <is>
          <t>—</t>
        </is>
      </c>
      <c r="E27" t="inlineStr">
        <is>
          <t>—</t>
        </is>
      </c>
      <c r="F27" t="inlineStr">
        <is>
          <t>—</t>
        </is>
      </c>
      <c r="G27" s="11" t="n">
        <v>0.24</v>
      </c>
    </row>
    <row r="28">
      <c r="A28" t="inlineStr">
        <is>
          <t>Germany</t>
        </is>
      </c>
      <c r="B28" s="9" t="n">
        <v>1936</v>
      </c>
      <c r="C28" s="11" t="n">
        <v>1.23</v>
      </c>
      <c r="D28" s="11" t="n">
        <v>12.79</v>
      </c>
      <c r="E28" s="11" t="n">
        <v>6.25</v>
      </c>
      <c r="F28" t="inlineStr">
        <is>
          <t>—</t>
        </is>
      </c>
      <c r="G28" s="11" t="n">
        <v>9.49</v>
      </c>
    </row>
    <row r="29">
      <c r="A29" t="inlineStr">
        <is>
          <t>Germany</t>
        </is>
      </c>
      <c r="B29" s="9" t="n">
        <v>1937</v>
      </c>
      <c r="C29" s="11" t="n">
        <v>2.33</v>
      </c>
      <c r="D29" s="11" t="n">
        <v>14.7</v>
      </c>
      <c r="E29" s="11" t="n">
        <v>5.6</v>
      </c>
      <c r="F29" t="inlineStr">
        <is>
          <t>—</t>
        </is>
      </c>
      <c r="G29" s="11" t="n">
        <v>10.48</v>
      </c>
    </row>
    <row r="30">
      <c r="A30" t="inlineStr">
        <is>
          <t>Germany</t>
        </is>
      </c>
      <c r="B30" s="9" t="n">
        <v>1938</v>
      </c>
      <c r="C30" t="inlineStr">
        <is>
          <t>—</t>
        </is>
      </c>
      <c r="D30" t="inlineStr">
        <is>
          <t>—</t>
        </is>
      </c>
      <c r="E30" t="inlineStr">
        <is>
          <t>—</t>
        </is>
      </c>
      <c r="F30" t="inlineStr">
        <is>
          <t>—</t>
        </is>
      </c>
      <c r="G30" s="11" t="n">
        <v>6.95</v>
      </c>
    </row>
    <row r="31">
      <c r="A31" t="inlineStr">
        <is>
          <t>Germany</t>
        </is>
      </c>
      <c r="B31" s="9" t="n">
        <v>1939</v>
      </c>
      <c r="C31" t="inlineStr">
        <is>
          <t>—</t>
        </is>
      </c>
      <c r="D31" t="inlineStr">
        <is>
          <t>—</t>
        </is>
      </c>
      <c r="E31" t="inlineStr">
        <is>
          <t>—</t>
        </is>
      </c>
      <c r="F31" t="inlineStr">
        <is>
          <t>—</t>
        </is>
      </c>
      <c r="G31" s="11" t="n">
        <v>6.03</v>
      </c>
    </row>
    <row r="32">
      <c r="A32" t="inlineStr">
        <is>
          <t>Germany</t>
        </is>
      </c>
      <c r="B32" t="inlineStr">
        <is>
          <t>1940 (Jan.-Sept.)</t>
        </is>
      </c>
      <c r="C32" t="inlineStr">
        <is>
          <t>—</t>
        </is>
      </c>
      <c r="D32" t="inlineStr">
        <is>
          <t>—</t>
        </is>
      </c>
      <c r="E32" t="inlineStr">
        <is>
          <t>—</t>
        </is>
      </c>
      <c r="F32" t="inlineStr">
        <is>
          <t>—</t>
        </is>
      </c>
      <c r="G32" t="inlineStr">
        <is>
          <t>—</t>
        </is>
      </c>
    </row>
    <row r="33">
      <c r="A33" t="inlineStr">
        <is>
          <t>Italy</t>
        </is>
      </c>
      <c r="B33" s="9" t="n">
        <v>1936</v>
      </c>
      <c r="C33" s="11" t="n">
        <v>0.06</v>
      </c>
      <c r="D33" t="inlineStr">
        <is>
          <t>—</t>
        </is>
      </c>
      <c r="E33" s="11" t="n">
        <v>0.01</v>
      </c>
      <c r="F33" t="inlineStr">
        <is>
          <t>—</t>
        </is>
      </c>
      <c r="G33" s="11" t="n">
        <v>0.07000000000000001</v>
      </c>
    </row>
    <row r="34">
      <c r="A34" t="inlineStr">
        <is>
          <t>Italy</t>
        </is>
      </c>
      <c r="B34" s="9" t="n">
        <v>1937</v>
      </c>
      <c r="C34" t="inlineStr">
        <is>
          <t>—</t>
        </is>
      </c>
      <c r="D34" s="11" t="n">
        <v>0.78</v>
      </c>
      <c r="E34" s="11" t="n">
        <v>0.05</v>
      </c>
      <c r="F34" s="9" t="n">
        <v>0</v>
      </c>
      <c r="G34" s="11" t="n">
        <v>0.47</v>
      </c>
    </row>
    <row r="35">
      <c r="A35" t="inlineStr">
        <is>
          <t>Italy</t>
        </is>
      </c>
      <c r="B35" s="9" t="n">
        <v>1938</v>
      </c>
      <c r="C35" t="inlineStr">
        <is>
          <t>—</t>
        </is>
      </c>
      <c r="D35" t="inlineStr">
        <is>
          <t>—</t>
        </is>
      </c>
      <c r="E35" t="inlineStr">
        <is>
          <t>—</t>
        </is>
      </c>
      <c r="F35" t="inlineStr">
        <is>
          <t>—</t>
        </is>
      </c>
      <c r="G35" s="11" t="n">
        <v>0.46</v>
      </c>
    </row>
    <row r="36">
      <c r="A36" t="inlineStr">
        <is>
          <t>Italy</t>
        </is>
      </c>
      <c r="B36" s="9" t="n">
        <v>1939</v>
      </c>
      <c r="C36" t="inlineStr">
        <is>
          <t>—</t>
        </is>
      </c>
      <c r="D36" t="inlineStr">
        <is>
          <t>—</t>
        </is>
      </c>
      <c r="E36" t="inlineStr">
        <is>
          <t>—</t>
        </is>
      </c>
      <c r="F36" t="inlineStr">
        <is>
          <t>—</t>
        </is>
      </c>
      <c r="G36" s="11" t="n">
        <v>1.52</v>
      </c>
    </row>
    <row r="37">
      <c r="A37" t="inlineStr">
        <is>
          <t>Italy</t>
        </is>
      </c>
      <c r="B37" t="inlineStr">
        <is>
          <t>1940 (Jan.-Sept.)</t>
        </is>
      </c>
      <c r="C37" t="inlineStr">
        <is>
          <t>—</t>
        </is>
      </c>
      <c r="D37" t="inlineStr">
        <is>
          <t>—</t>
        </is>
      </c>
      <c r="E37" t="inlineStr">
        <is>
          <t>—</t>
        </is>
      </c>
      <c r="F37" t="inlineStr">
        <is>
          <t>—</t>
        </is>
      </c>
      <c r="G37" s="11" t="n">
        <v>0.95</v>
      </c>
    </row>
    <row r="38">
      <c r="A38" t="inlineStr">
        <is>
          <t>U.S.A.</t>
        </is>
      </c>
      <c r="B38" s="9" t="n">
        <v>1936</v>
      </c>
      <c r="C38" s="11" t="n">
        <v>0.38</v>
      </c>
      <c r="D38" s="11" t="n">
        <v>1.71</v>
      </c>
      <c r="E38" s="11" t="n">
        <v>7.42</v>
      </c>
      <c r="F38" s="11" t="n">
        <v>0.15</v>
      </c>
      <c r="G38" s="11" t="n">
        <v>3.07</v>
      </c>
    </row>
    <row r="39">
      <c r="A39" t="inlineStr">
        <is>
          <t>U.S.A.</t>
        </is>
      </c>
      <c r="B39" s="9" t="n">
        <v>1937</v>
      </c>
      <c r="C39" s="11" t="n">
        <v>0.05</v>
      </c>
      <c r="D39" s="11" t="n">
        <v>1.46</v>
      </c>
      <c r="E39" s="11" t="n">
        <v>8.029999999999999</v>
      </c>
      <c r="F39" s="11" t="n">
        <v>1.1</v>
      </c>
      <c r="G39" s="11" t="n">
        <v>3.3</v>
      </c>
    </row>
    <row r="40">
      <c r="A40" t="inlineStr">
        <is>
          <t>U.S.A.</t>
        </is>
      </c>
      <c r="B40" s="9" t="n">
        <v>1938</v>
      </c>
      <c r="C40" t="inlineStr">
        <is>
          <t>—</t>
        </is>
      </c>
      <c r="D40" t="inlineStr">
        <is>
          <t>—</t>
        </is>
      </c>
      <c r="E40" t="inlineStr">
        <is>
          <t>—</t>
        </is>
      </c>
      <c r="F40" t="inlineStr">
        <is>
          <t>—</t>
        </is>
      </c>
      <c r="G40" s="11" t="n">
        <v>1.56</v>
      </c>
    </row>
    <row r="41">
      <c r="A41" t="inlineStr">
        <is>
          <t>U.S.A.</t>
        </is>
      </c>
      <c r="B41" s="9" t="n">
        <v>1939</v>
      </c>
      <c r="C41" t="inlineStr">
        <is>
          <t>—</t>
        </is>
      </c>
      <c r="D41" t="inlineStr">
        <is>
          <t>—</t>
        </is>
      </c>
      <c r="E41" t="inlineStr">
        <is>
          <t>—</t>
        </is>
      </c>
      <c r="F41" t="inlineStr">
        <is>
          <t>—</t>
        </is>
      </c>
      <c r="G41" s="11" t="n">
        <v>1.72</v>
      </c>
    </row>
    <row r="42">
      <c r="A42" t="inlineStr">
        <is>
          <t>U.S.A.</t>
        </is>
      </c>
      <c r="B42" t="inlineStr">
        <is>
          <t>1940 (Jan.-Sept.)</t>
        </is>
      </c>
      <c r="C42" t="inlineStr">
        <is>
          <t>—</t>
        </is>
      </c>
      <c r="D42" t="inlineStr">
        <is>
          <t>—</t>
        </is>
      </c>
      <c r="E42" t="inlineStr">
        <is>
          <t>—</t>
        </is>
      </c>
      <c r="F42" t="inlineStr">
        <is>
          <t>—</t>
        </is>
      </c>
      <c r="G42" s="11" t="n">
        <v>2.96</v>
      </c>
    </row>
    <row r="44">
      <c r="A44" s="2" t="inlineStr">
        <is>
          <t>(B) Imports — From:</t>
        </is>
      </c>
    </row>
    <row r="45">
      <c r="A45" s="5" t="inlineStr">
        <is>
          <t>Country</t>
        </is>
      </c>
      <c r="B45" s="5" t="inlineStr">
        <is>
          <t>Year</t>
        </is>
      </c>
      <c r="C45" s="5" t="inlineStr">
        <is>
          <t>Foodstuffs, Beverage, Prepared Tobacco</t>
        </is>
      </c>
      <c r="D45" s="5" t="inlineStr">
        <is>
          <t>Raw Materials</t>
        </is>
      </c>
      <c r="E45" s="5" t="inlineStr">
        <is>
          <t>Raw Materials for further Manufacturing</t>
        </is>
      </c>
      <c r="F45" s="5" t="inlineStr">
        <is>
          <t>Wholly or Mainly Manufactured Goods</t>
        </is>
      </c>
      <c r="G45" s="5" t="inlineStr">
        <is>
          <t>Grand Total of Imports</t>
        </is>
      </c>
    </row>
    <row r="46">
      <c r="A46" t="inlineStr">
        <is>
          <t>Japan</t>
        </is>
      </c>
      <c r="B46" s="9" t="n">
        <v>1936</v>
      </c>
      <c r="C46" s="11" t="n">
        <v>57.36</v>
      </c>
      <c r="D46" s="11" t="n">
        <v>34.04</v>
      </c>
      <c r="E46" s="11" t="n">
        <v>73.25</v>
      </c>
      <c r="F46" s="11" t="n">
        <v>85.73</v>
      </c>
      <c r="G46" s="11" t="n">
        <v>73.33</v>
      </c>
    </row>
    <row r="47">
      <c r="A47" t="inlineStr">
        <is>
          <t>Japan</t>
        </is>
      </c>
      <c r="B47" s="9" t="n">
        <v>1937</v>
      </c>
      <c r="C47" s="11" t="n">
        <v>63.82</v>
      </c>
      <c r="D47" s="11" t="n">
        <v>20.91</v>
      </c>
      <c r="E47" s="11" t="n">
        <v>62.6</v>
      </c>
      <c r="F47" s="11" t="n">
        <v>83.37</v>
      </c>
      <c r="G47" s="11" t="n">
        <v>70.69</v>
      </c>
    </row>
    <row r="48">
      <c r="A48" t="inlineStr">
        <is>
          <t>Japan</t>
        </is>
      </c>
      <c r="B48" s="9" t="n">
        <v>1938</v>
      </c>
      <c r="C48" t="inlineStr">
        <is>
          <t>—</t>
        </is>
      </c>
      <c r="D48" t="inlineStr">
        <is>
          <t>—</t>
        </is>
      </c>
      <c r="E48" t="inlineStr">
        <is>
          <t>—</t>
        </is>
      </c>
      <c r="F48" t="inlineStr">
        <is>
          <t>—</t>
        </is>
      </c>
      <c r="G48" s="11" t="n">
        <v>73.17</v>
      </c>
    </row>
    <row r="49">
      <c r="A49" t="inlineStr">
        <is>
          <t>Japan</t>
        </is>
      </c>
      <c r="B49" s="9" t="n">
        <v>1939</v>
      </c>
      <c r="C49" t="inlineStr">
        <is>
          <t>—</t>
        </is>
      </c>
      <c r="D49" t="inlineStr">
        <is>
          <t>—</t>
        </is>
      </c>
      <c r="E49" t="inlineStr">
        <is>
          <t>—</t>
        </is>
      </c>
      <c r="F49" t="inlineStr">
        <is>
          <t>—</t>
        </is>
      </c>
      <c r="G49" s="11" t="n">
        <v>77.58</v>
      </c>
    </row>
    <row r="50">
      <c r="A50" t="inlineStr">
        <is>
          <t>Japan</t>
        </is>
      </c>
      <c r="B50" t="inlineStr">
        <is>
          <t>1940 (Jan.-Sept.)</t>
        </is>
      </c>
      <c r="C50" t="inlineStr">
        <is>
          <t>—</t>
        </is>
      </c>
      <c r="D50" t="inlineStr">
        <is>
          <t>—</t>
        </is>
      </c>
      <c r="E50" t="inlineStr">
        <is>
          <t>—</t>
        </is>
      </c>
      <c r="F50" t="inlineStr">
        <is>
          <t>—</t>
        </is>
      </c>
      <c r="G50" s="11" t="n">
        <v>84.34999999999999</v>
      </c>
    </row>
    <row r="51">
      <c r="A51" t="inlineStr">
        <is>
          <t>Chosen</t>
        </is>
      </c>
      <c r="B51" s="9" t="n">
        <v>1936</v>
      </c>
      <c r="C51" s="11" t="n">
        <v>7.81</v>
      </c>
      <c r="D51" s="11" t="n">
        <v>5.01</v>
      </c>
      <c r="E51" s="11" t="n">
        <v>3.26</v>
      </c>
      <c r="F51" s="11" t="n">
        <v>2.61</v>
      </c>
      <c r="G51" s="11" t="n">
        <v>3.95</v>
      </c>
    </row>
    <row r="52">
      <c r="A52" t="inlineStr">
        <is>
          <t>Chosen</t>
        </is>
      </c>
      <c r="B52" s="9" t="n">
        <v>1937</v>
      </c>
      <c r="C52" s="11" t="n">
        <v>10.8</v>
      </c>
      <c r="D52" s="11" t="n">
        <v>5.37</v>
      </c>
      <c r="E52" s="11" t="n">
        <v>2.82</v>
      </c>
      <c r="F52" s="11" t="n">
        <v>3.28</v>
      </c>
      <c r="G52" s="11" t="n">
        <v>4.4</v>
      </c>
    </row>
    <row r="53">
      <c r="A53" t="inlineStr">
        <is>
          <t>Chosen</t>
        </is>
      </c>
      <c r="B53" s="9" t="n">
        <v>1938</v>
      </c>
      <c r="C53" t="inlineStr">
        <is>
          <t>—</t>
        </is>
      </c>
      <c r="D53" t="inlineStr">
        <is>
          <t>—</t>
        </is>
      </c>
      <c r="E53" t="inlineStr">
        <is>
          <t>—</t>
        </is>
      </c>
      <c r="F53" t="inlineStr">
        <is>
          <t>—</t>
        </is>
      </c>
      <c r="G53" s="11" t="n">
        <v>4.47</v>
      </c>
    </row>
    <row r="54">
      <c r="A54" t="inlineStr">
        <is>
          <t>Chosen</t>
        </is>
      </c>
      <c r="B54" s="9" t="n">
        <v>1939</v>
      </c>
      <c r="C54" t="inlineStr">
        <is>
          <t>—</t>
        </is>
      </c>
      <c r="D54" t="inlineStr">
        <is>
          <t>—</t>
        </is>
      </c>
      <c r="E54" t="inlineStr">
        <is>
          <t>—</t>
        </is>
      </c>
      <c r="F54" t="inlineStr">
        <is>
          <t>—</t>
        </is>
      </c>
      <c r="G54" s="11" t="n">
        <v>5.67</v>
      </c>
    </row>
    <row r="55">
      <c r="A55" t="inlineStr">
        <is>
          <t>Chosen</t>
        </is>
      </c>
      <c r="B55" t="inlineStr">
        <is>
          <t>1940 (Jan.-Sept.)</t>
        </is>
      </c>
      <c r="C55" t="inlineStr">
        <is>
          <t>—</t>
        </is>
      </c>
      <c r="D55" t="inlineStr">
        <is>
          <t>—</t>
        </is>
      </c>
      <c r="E55" t="inlineStr">
        <is>
          <t>—</t>
        </is>
      </c>
      <c r="F55" t="inlineStr">
        <is>
          <t>—</t>
        </is>
      </c>
      <c r="G55" s="11" t="n">
        <v>4.47</v>
      </c>
    </row>
    <row r="56">
      <c r="A56" t="inlineStr">
        <is>
          <t>China</t>
        </is>
      </c>
      <c r="B56" s="9" t="n">
        <v>1936</v>
      </c>
      <c r="C56" s="11" t="n">
        <v>12.86</v>
      </c>
      <c r="D56" s="11" t="n">
        <v>17.69</v>
      </c>
      <c r="E56" s="11" t="n">
        <v>3.76</v>
      </c>
      <c r="F56" s="11" t="n">
        <v>3.58</v>
      </c>
      <c r="G56" s="11" t="n">
        <v>6.89</v>
      </c>
    </row>
    <row r="57">
      <c r="A57" t="inlineStr">
        <is>
          <t>China</t>
        </is>
      </c>
      <c r="B57" s="9" t="n">
        <v>1937</v>
      </c>
      <c r="C57" s="11" t="n">
        <v>9.26</v>
      </c>
      <c r="D57" s="11" t="n">
        <v>13.62</v>
      </c>
      <c r="E57" s="11" t="n">
        <v>2.05</v>
      </c>
      <c r="F57" s="11" t="n">
        <v>2.48</v>
      </c>
      <c r="G57" s="11" t="n">
        <v>4.42</v>
      </c>
    </row>
    <row r="58">
      <c r="A58" t="inlineStr">
        <is>
          <t>China</t>
        </is>
      </c>
      <c r="B58" s="9" t="n">
        <v>1938</v>
      </c>
      <c r="C58" t="inlineStr">
        <is>
          <t>—</t>
        </is>
      </c>
      <c r="D58" t="inlineStr">
        <is>
          <t>—</t>
        </is>
      </c>
      <c r="E58" t="inlineStr">
        <is>
          <t>—</t>
        </is>
      </c>
      <c r="F58" t="inlineStr">
        <is>
          <t>—</t>
        </is>
      </c>
      <c r="G58" s="11" t="n">
        <v>5.57</v>
      </c>
    </row>
    <row r="59">
      <c r="A59" t="inlineStr">
        <is>
          <t>China</t>
        </is>
      </c>
      <c r="B59" s="9" t="n">
        <v>1939</v>
      </c>
      <c r="C59" t="inlineStr">
        <is>
          <t>—</t>
        </is>
      </c>
      <c r="D59" t="inlineStr">
        <is>
          <t>—</t>
        </is>
      </c>
      <c r="E59" t="inlineStr">
        <is>
          <t>—</t>
        </is>
      </c>
      <c r="F59" t="inlineStr">
        <is>
          <t>—</t>
        </is>
      </c>
      <c r="G59" s="11" t="n">
        <v>3.69</v>
      </c>
    </row>
    <row r="60">
      <c r="A60" t="inlineStr">
        <is>
          <t>China</t>
        </is>
      </c>
      <c r="B60" t="inlineStr">
        <is>
          <t>1940 (Jan.-Sept.)</t>
        </is>
      </c>
      <c r="C60" t="inlineStr">
        <is>
          <t>—</t>
        </is>
      </c>
      <c r="D60" t="inlineStr">
        <is>
          <t>—</t>
        </is>
      </c>
      <c r="E60" t="inlineStr">
        <is>
          <t>—</t>
        </is>
      </c>
      <c r="F60" t="inlineStr">
        <is>
          <t>—</t>
        </is>
      </c>
      <c r="G60" s="11" t="n">
        <v>9.970000000000001</v>
      </c>
    </row>
    <row r="61">
      <c r="A61" t="inlineStr">
        <is>
          <t>Hongkong</t>
        </is>
      </c>
      <c r="B61" s="9" t="n">
        <v>1936</v>
      </c>
      <c r="C61" s="11" t="n">
        <v>2.64</v>
      </c>
      <c r="D61" s="11" t="n">
        <v>1.13</v>
      </c>
      <c r="E61" s="11" t="n">
        <v>0.76</v>
      </c>
      <c r="F61" s="11" t="n">
        <v>0.07000000000000001</v>
      </c>
      <c r="G61" s="11" t="n">
        <v>0.72</v>
      </c>
    </row>
    <row r="62">
      <c r="A62" t="inlineStr">
        <is>
          <t>Hongkong</t>
        </is>
      </c>
      <c r="B62" s="9" t="n">
        <v>1937</v>
      </c>
      <c r="C62" s="11" t="n">
        <v>1.86</v>
      </c>
      <c r="D62" s="11" t="n">
        <v>0.9</v>
      </c>
      <c r="E62" s="11" t="n">
        <v>0.8100000000000001</v>
      </c>
      <c r="F62" s="11" t="n">
        <v>0.05</v>
      </c>
      <c r="G62" s="11" t="n">
        <v>0.5</v>
      </c>
    </row>
    <row r="63">
      <c r="A63" t="inlineStr">
        <is>
          <t>Hongkong</t>
        </is>
      </c>
      <c r="B63" s="9" t="n">
        <v>1938</v>
      </c>
      <c r="C63" t="inlineStr">
        <is>
          <t>—</t>
        </is>
      </c>
      <c r="D63" t="inlineStr">
        <is>
          <t>—</t>
        </is>
      </c>
      <c r="E63" t="inlineStr">
        <is>
          <t>—</t>
        </is>
      </c>
      <c r="F63" t="inlineStr">
        <is>
          <t>—</t>
        </is>
      </c>
      <c r="G63" s="11" t="n">
        <v>0.1</v>
      </c>
    </row>
    <row r="64">
      <c r="A64" t="inlineStr">
        <is>
          <t>Hongkong</t>
        </is>
      </c>
      <c r="B64" s="9" t="n">
        <v>1939</v>
      </c>
      <c r="C64" t="inlineStr">
        <is>
          <t>—</t>
        </is>
      </c>
      <c r="D64" t="inlineStr">
        <is>
          <t>—</t>
        </is>
      </c>
      <c r="E64" t="inlineStr">
        <is>
          <t>—</t>
        </is>
      </c>
      <c r="F64" t="inlineStr">
        <is>
          <t>—</t>
        </is>
      </c>
      <c r="G64" s="11" t="n">
        <v>0.02</v>
      </c>
    </row>
    <row r="65">
      <c r="A65" t="inlineStr">
        <is>
          <t>Hongkong</t>
        </is>
      </c>
      <c r="B65" t="inlineStr">
        <is>
          <t>1940 (Jan.-Sept.)</t>
        </is>
      </c>
      <c r="C65" t="inlineStr">
        <is>
          <t>—</t>
        </is>
      </c>
      <c r="D65" t="inlineStr">
        <is>
          <t>—</t>
        </is>
      </c>
      <c r="E65" t="inlineStr">
        <is>
          <t>—</t>
        </is>
      </c>
      <c r="F65" t="inlineStr">
        <is>
          <t>—</t>
        </is>
      </c>
      <c r="G65" t="inlineStr">
        <is>
          <t>—</t>
        </is>
      </c>
    </row>
    <row r="66">
      <c r="A66" t="inlineStr">
        <is>
          <t>British India</t>
        </is>
      </c>
      <c r="B66" s="9" t="n">
        <v>1936</v>
      </c>
      <c r="C66" s="11" t="n">
        <v>1.26</v>
      </c>
      <c r="D66" s="11" t="n">
        <v>21.62</v>
      </c>
      <c r="E66" s="11" t="n">
        <v>0.3</v>
      </c>
      <c r="F66" s="11" t="n">
        <v>2.41</v>
      </c>
      <c r="G66" s="11" t="n">
        <v>4.08</v>
      </c>
    </row>
    <row r="67">
      <c r="A67" t="inlineStr">
        <is>
          <t>British India</t>
        </is>
      </c>
      <c r="B67" s="9" t="n">
        <v>1937</v>
      </c>
      <c r="C67" s="11" t="n">
        <v>1.98</v>
      </c>
      <c r="D67" s="11" t="n">
        <v>29.39</v>
      </c>
      <c r="E67" s="11" t="n">
        <v>0.37</v>
      </c>
      <c r="F67" s="11" t="n">
        <v>3.08</v>
      </c>
      <c r="G67" s="11" t="n">
        <v>5.1</v>
      </c>
    </row>
    <row r="68">
      <c r="A68" t="inlineStr">
        <is>
          <t>British India</t>
        </is>
      </c>
      <c r="B68" s="9" t="n">
        <v>1938</v>
      </c>
      <c r="C68" t="inlineStr">
        <is>
          <t>—</t>
        </is>
      </c>
      <c r="D68" t="inlineStr">
        <is>
          <t>—</t>
        </is>
      </c>
      <c r="E68" t="inlineStr">
        <is>
          <t>—</t>
        </is>
      </c>
      <c r="F68" t="inlineStr">
        <is>
          <t>—</t>
        </is>
      </c>
      <c r="G68" s="11" t="n">
        <v>2.4</v>
      </c>
    </row>
    <row r="69">
      <c r="A69" t="inlineStr">
        <is>
          <t>British India</t>
        </is>
      </c>
      <c r="B69" s="9" t="n">
        <v>1939</v>
      </c>
      <c r="C69" t="inlineStr">
        <is>
          <t>—</t>
        </is>
      </c>
      <c r="D69" t="inlineStr">
        <is>
          <t>—</t>
        </is>
      </c>
      <c r="E69" t="inlineStr">
        <is>
          <t>—</t>
        </is>
      </c>
      <c r="F69" t="inlineStr">
        <is>
          <t>—</t>
        </is>
      </c>
      <c r="G69" s="11" t="n">
        <v>1.34</v>
      </c>
    </row>
    <row r="70">
      <c r="A70" t="inlineStr">
        <is>
          <t>British India</t>
        </is>
      </c>
      <c r="B70" t="inlineStr">
        <is>
          <t>1940 (Jan.-Sept.)</t>
        </is>
      </c>
      <c r="C70" t="inlineStr">
        <is>
          <t>—</t>
        </is>
      </c>
      <c r="D70" t="inlineStr">
        <is>
          <t>—</t>
        </is>
      </c>
      <c r="E70" t="inlineStr">
        <is>
          <t>—</t>
        </is>
      </c>
      <c r="F70" t="inlineStr">
        <is>
          <t>—</t>
        </is>
      </c>
      <c r="G70" s="11" t="n">
        <v>0.95</v>
      </c>
    </row>
    <row r="71">
      <c r="A71" t="inlineStr">
        <is>
          <t>Great Britain</t>
        </is>
      </c>
      <c r="B71" s="9" t="n">
        <v>1936</v>
      </c>
      <c r="C71" s="11" t="n">
        <v>1.1</v>
      </c>
      <c r="D71" s="11" t="n">
        <v>0.2</v>
      </c>
      <c r="E71" s="11" t="n">
        <v>2.23</v>
      </c>
      <c r="F71" s="11" t="n">
        <v>0.99</v>
      </c>
      <c r="G71" s="11" t="n">
        <v>1.07</v>
      </c>
    </row>
    <row r="72">
      <c r="A72" t="inlineStr">
        <is>
          <t>Great Britain</t>
        </is>
      </c>
      <c r="B72" s="9" t="n">
        <v>1937</v>
      </c>
      <c r="C72" s="11" t="n">
        <v>1.06</v>
      </c>
      <c r="D72" s="11" t="n">
        <v>0.2</v>
      </c>
      <c r="E72" s="11" t="n">
        <v>2.33</v>
      </c>
      <c r="F72" s="11" t="n">
        <v>1.16</v>
      </c>
      <c r="G72" s="11" t="n">
        <v>1.25</v>
      </c>
    </row>
    <row r="73">
      <c r="A73" t="inlineStr">
        <is>
          <t>Great Britain</t>
        </is>
      </c>
      <c r="B73" s="9" t="n">
        <v>1938</v>
      </c>
      <c r="C73" t="inlineStr">
        <is>
          <t>—</t>
        </is>
      </c>
      <c r="D73" t="inlineStr">
        <is>
          <t>—</t>
        </is>
      </c>
      <c r="E73" t="inlineStr">
        <is>
          <t>—</t>
        </is>
      </c>
      <c r="F73" t="inlineStr">
        <is>
          <t>—</t>
        </is>
      </c>
      <c r="G73" s="11" t="n">
        <v>0.58</v>
      </c>
    </row>
    <row r="74">
      <c r="A74" t="inlineStr">
        <is>
          <t>Great Britain</t>
        </is>
      </c>
      <c r="B74" s="9" t="n">
        <v>1939</v>
      </c>
      <c r="C74" t="inlineStr">
        <is>
          <t>—</t>
        </is>
      </c>
      <c r="D74" t="inlineStr">
        <is>
          <t>—</t>
        </is>
      </c>
      <c r="E74" t="inlineStr">
        <is>
          <t>—</t>
        </is>
      </c>
      <c r="F74" t="inlineStr">
        <is>
          <t>—</t>
        </is>
      </c>
      <c r="G74" s="11" t="n">
        <v>0.25</v>
      </c>
    </row>
    <row r="75">
      <c r="A75" t="inlineStr">
        <is>
          <t>Great Britain</t>
        </is>
      </c>
      <c r="B75" t="inlineStr">
        <is>
          <t>1940 (Jan.-Sept.)</t>
        </is>
      </c>
      <c r="C75" t="inlineStr">
        <is>
          <t>—</t>
        </is>
      </c>
      <c r="D75" t="inlineStr">
        <is>
          <t>—</t>
        </is>
      </c>
      <c r="E75" t="inlineStr">
        <is>
          <t>—</t>
        </is>
      </c>
      <c r="F75" t="inlineStr">
        <is>
          <t>—</t>
        </is>
      </c>
      <c r="G75" s="11" t="n">
        <v>0.09</v>
      </c>
    </row>
    <row r="76">
      <c r="A76" t="inlineStr">
        <is>
          <t>Germany</t>
        </is>
      </c>
      <c r="B76" s="9" t="n">
        <v>1936</v>
      </c>
      <c r="C76" s="11" t="n">
        <v>0.08</v>
      </c>
      <c r="D76" s="11" t="n">
        <v>0.22</v>
      </c>
      <c r="E76" s="11" t="n">
        <v>4.67</v>
      </c>
      <c r="F76" s="11" t="n">
        <v>2.13</v>
      </c>
      <c r="G76" s="11" t="n">
        <v>1.88</v>
      </c>
    </row>
    <row r="77">
      <c r="A77" t="inlineStr">
        <is>
          <t>Germany</t>
        </is>
      </c>
      <c r="B77" s="9" t="n">
        <v>1937</v>
      </c>
      <c r="C77" s="11" t="n">
        <v>0.03</v>
      </c>
      <c r="D77" s="11" t="n">
        <v>0.06</v>
      </c>
      <c r="E77" s="11" t="n">
        <v>4.28</v>
      </c>
      <c r="F77" s="11" t="n">
        <v>1.97</v>
      </c>
      <c r="G77" s="11" t="n">
        <v>1.95</v>
      </c>
    </row>
    <row r="78">
      <c r="A78" t="inlineStr">
        <is>
          <t>Germany</t>
        </is>
      </c>
      <c r="B78" s="9" t="n">
        <v>1938</v>
      </c>
      <c r="C78" t="inlineStr">
        <is>
          <t>—</t>
        </is>
      </c>
      <c r="D78" t="inlineStr">
        <is>
          <t>—</t>
        </is>
      </c>
      <c r="E78" t="inlineStr">
        <is>
          <t>—</t>
        </is>
      </c>
      <c r="F78" t="inlineStr">
        <is>
          <t>—</t>
        </is>
      </c>
      <c r="G78" s="11" t="n">
        <v>2.9</v>
      </c>
    </row>
    <row r="79">
      <c r="A79" t="inlineStr">
        <is>
          <t>Germany</t>
        </is>
      </c>
      <c r="B79" s="9" t="n">
        <v>1939</v>
      </c>
      <c r="C79" t="inlineStr">
        <is>
          <t>—</t>
        </is>
      </c>
      <c r="D79" t="inlineStr">
        <is>
          <t>—</t>
        </is>
      </c>
      <c r="E79" t="inlineStr">
        <is>
          <t>—</t>
        </is>
      </c>
      <c r="F79" t="inlineStr">
        <is>
          <t>—</t>
        </is>
      </c>
      <c r="G79" s="11" t="n">
        <v>2.86</v>
      </c>
    </row>
    <row r="80">
      <c r="A80" t="inlineStr">
        <is>
          <t>Germany</t>
        </is>
      </c>
      <c r="B80" t="inlineStr">
        <is>
          <t>1940 (Jan.-Sept.)</t>
        </is>
      </c>
      <c r="C80" t="inlineStr">
        <is>
          <t>—</t>
        </is>
      </c>
      <c r="D80" t="inlineStr">
        <is>
          <t>—</t>
        </is>
      </c>
      <c r="E80" t="inlineStr">
        <is>
          <t>—</t>
        </is>
      </c>
      <c r="F80" t="inlineStr">
        <is>
          <t>—</t>
        </is>
      </c>
      <c r="G80" t="inlineStr">
        <is>
          <t>—</t>
        </is>
      </c>
    </row>
    <row r="81">
      <c r="A81" t="inlineStr">
        <is>
          <t>Italy</t>
        </is>
      </c>
      <c r="B81" s="9" t="n">
        <v>1936</v>
      </c>
      <c r="C81" s="11" t="n">
        <v>0.04</v>
      </c>
      <c r="D81" s="11" t="n">
        <v>1.86</v>
      </c>
      <c r="E81" s="11" t="n">
        <v>0.04</v>
      </c>
      <c r="F81" s="11" t="n">
        <v>0.02</v>
      </c>
      <c r="G81" s="11" t="n">
        <v>0.23</v>
      </c>
    </row>
    <row r="82">
      <c r="A82" t="inlineStr">
        <is>
          <t>Italy</t>
        </is>
      </c>
      <c r="B82" s="9" t="n">
        <v>1937</v>
      </c>
      <c r="C82" s="11" t="n">
        <v>0.05</v>
      </c>
      <c r="D82" s="11" t="n">
        <v>0.68</v>
      </c>
      <c r="E82" s="11" t="n">
        <v>0.1</v>
      </c>
      <c r="F82" s="11" t="n">
        <v>0.03</v>
      </c>
      <c r="G82" s="11" t="n">
        <v>0.12</v>
      </c>
    </row>
    <row r="83">
      <c r="A83" t="inlineStr">
        <is>
          <t>Italy</t>
        </is>
      </c>
      <c r="B83" s="9" t="n">
        <v>1938</v>
      </c>
      <c r="C83" t="inlineStr">
        <is>
          <t>—</t>
        </is>
      </c>
      <c r="D83" t="inlineStr">
        <is>
          <t>—</t>
        </is>
      </c>
      <c r="E83" t="inlineStr">
        <is>
          <t>—</t>
        </is>
      </c>
      <c r="F83" t="inlineStr">
        <is>
          <t>—</t>
        </is>
      </c>
      <c r="G83" s="11" t="n">
        <v>0.19</v>
      </c>
    </row>
    <row r="84">
      <c r="A84" t="inlineStr">
        <is>
          <t>Italy</t>
        </is>
      </c>
      <c r="B84" s="9" t="n">
        <v>1939</v>
      </c>
      <c r="C84" t="inlineStr">
        <is>
          <t>—</t>
        </is>
      </c>
      <c r="D84" t="inlineStr">
        <is>
          <t>—</t>
        </is>
      </c>
      <c r="E84" t="inlineStr">
        <is>
          <t>—</t>
        </is>
      </c>
      <c r="F84" t="inlineStr">
        <is>
          <t>—</t>
        </is>
      </c>
      <c r="G84" s="11" t="n">
        <v>0.24</v>
      </c>
    </row>
    <row r="85">
      <c r="A85" t="inlineStr">
        <is>
          <t>Italy</t>
        </is>
      </c>
      <c r="B85" t="inlineStr">
        <is>
          <t>1940 (Jan.-Sept.)</t>
        </is>
      </c>
      <c r="C85" t="inlineStr">
        <is>
          <t>—</t>
        </is>
      </c>
      <c r="D85" t="inlineStr">
        <is>
          <t>—</t>
        </is>
      </c>
      <c r="E85" t="inlineStr">
        <is>
          <t>—</t>
        </is>
      </c>
      <c r="F85" t="inlineStr">
        <is>
          <t>—</t>
        </is>
      </c>
      <c r="G85" s="11" t="n">
        <v>0.26</v>
      </c>
    </row>
    <row r="86">
      <c r="A86" t="inlineStr">
        <is>
          <t>U.S.A.</t>
        </is>
      </c>
      <c r="B86" s="9" t="n">
        <v>1936</v>
      </c>
      <c r="C86" s="11" t="n">
        <v>0.6899999999999999</v>
      </c>
      <c r="D86" s="11" t="n">
        <v>13.66</v>
      </c>
      <c r="E86" s="11" t="n">
        <v>6.29</v>
      </c>
      <c r="F86" s="11" t="n">
        <v>1.67</v>
      </c>
      <c r="G86" s="11" t="n">
        <v>3.43</v>
      </c>
    </row>
    <row r="87">
      <c r="A87" t="inlineStr">
        <is>
          <t>U.S.A.</t>
        </is>
      </c>
      <c r="B87" s="9" t="n">
        <v>1937</v>
      </c>
      <c r="C87" s="11" t="n">
        <v>0.95</v>
      </c>
      <c r="D87" s="11" t="n">
        <v>20.26</v>
      </c>
      <c r="E87" s="11" t="n">
        <v>14.25</v>
      </c>
      <c r="F87" s="11" t="n">
        <v>2.89</v>
      </c>
      <c r="G87" s="11" t="n">
        <v>6.53</v>
      </c>
    </row>
    <row r="88">
      <c r="A88" t="inlineStr">
        <is>
          <t>U.S.A.</t>
        </is>
      </c>
      <c r="B88" s="9" t="n">
        <v>1938</v>
      </c>
      <c r="C88" t="inlineStr">
        <is>
          <t>—</t>
        </is>
      </c>
      <c r="D88" t="inlineStr">
        <is>
          <t>—</t>
        </is>
      </c>
      <c r="E88" t="inlineStr">
        <is>
          <t>—</t>
        </is>
      </c>
      <c r="F88" t="inlineStr">
        <is>
          <t>—</t>
        </is>
      </c>
      <c r="G88" s="11" t="n">
        <v>7.39</v>
      </c>
    </row>
    <row r="89">
      <c r="A89" t="inlineStr">
        <is>
          <t>U.S.A.</t>
        </is>
      </c>
      <c r="B89" s="9" t="n">
        <v>1939</v>
      </c>
      <c r="C89" t="inlineStr">
        <is>
          <t>—</t>
        </is>
      </c>
      <c r="D89" t="inlineStr">
        <is>
          <t>—</t>
        </is>
      </c>
      <c r="E89" t="inlineStr">
        <is>
          <t>—</t>
        </is>
      </c>
      <c r="F89" t="inlineStr">
        <is>
          <t>—</t>
        </is>
      </c>
      <c r="G89" s="11" t="n">
        <v>4.82</v>
      </c>
    </row>
    <row r="90">
      <c r="A90" t="inlineStr">
        <is>
          <t>U.S.A.</t>
        </is>
      </c>
      <c r="B90" t="inlineStr">
        <is>
          <t>1940 (Jan.-Sept.)</t>
        </is>
      </c>
      <c r="C90" t="inlineStr">
        <is>
          <t>—</t>
        </is>
      </c>
      <c r="D90" t="inlineStr">
        <is>
          <t>—</t>
        </is>
      </c>
      <c r="E90" t="inlineStr">
        <is>
          <t>—</t>
        </is>
      </c>
      <c r="F90" t="inlineStr">
        <is>
          <t>—</t>
        </is>
      </c>
      <c r="G90" s="11" t="n">
        <v>3.97</v>
      </c>
    </row>
    <row r="91">
      <c r="A91" t="inlineStr">
        <is>
          <t>Australia</t>
        </is>
      </c>
      <c r="B91" s="9" t="n">
        <v>1936</v>
      </c>
      <c r="C91" s="11" t="n">
        <v>7.36</v>
      </c>
      <c r="D91" s="11" t="n">
        <v>0.28</v>
      </c>
      <c r="E91" s="11" t="n">
        <v>0.03</v>
      </c>
      <c r="F91" s="9" t="n">
        <v>0</v>
      </c>
      <c r="G91" s="11" t="n">
        <v>1.28</v>
      </c>
    </row>
    <row r="92">
      <c r="A92" t="inlineStr">
        <is>
          <t>Australia</t>
        </is>
      </c>
      <c r="B92" s="9" t="n">
        <v>1937</v>
      </c>
      <c r="C92" s="11" t="n">
        <v>1.38</v>
      </c>
      <c r="D92" s="11" t="n">
        <v>1.11</v>
      </c>
      <c r="E92" s="11" t="n">
        <v>0.13</v>
      </c>
      <c r="F92" s="9" t="n">
        <v>0</v>
      </c>
      <c r="G92" s="11" t="n">
        <v>0.02</v>
      </c>
    </row>
    <row r="93">
      <c r="A93" t="inlineStr">
        <is>
          <t>Australia</t>
        </is>
      </c>
      <c r="B93" s="9" t="n">
        <v>1938</v>
      </c>
      <c r="C93" t="inlineStr">
        <is>
          <t>—</t>
        </is>
      </c>
      <c r="D93" t="inlineStr">
        <is>
          <t>—</t>
        </is>
      </c>
      <c r="E93" t="inlineStr">
        <is>
          <t>—</t>
        </is>
      </c>
      <c r="F93" t="inlineStr">
        <is>
          <t>—</t>
        </is>
      </c>
      <c r="G93" s="11" t="n">
        <v>0.19</v>
      </c>
    </row>
    <row r="94">
      <c r="A94" t="inlineStr">
        <is>
          <t>Australia</t>
        </is>
      </c>
      <c r="B94" s="9" t="n">
        <v>1939</v>
      </c>
      <c r="C94" t="inlineStr">
        <is>
          <t>—</t>
        </is>
      </c>
      <c r="D94" t="inlineStr">
        <is>
          <t>—</t>
        </is>
      </c>
      <c r="E94" t="inlineStr">
        <is>
          <t>—</t>
        </is>
      </c>
      <c r="F94" t="inlineStr">
        <is>
          <t>—</t>
        </is>
      </c>
      <c r="G94" s="11" t="n">
        <v>0.12</v>
      </c>
    </row>
    <row r="95">
      <c r="A95" t="inlineStr">
        <is>
          <t>Australia</t>
        </is>
      </c>
      <c r="B95" t="inlineStr">
        <is>
          <t>1940 (Jan.-Sept.)</t>
        </is>
      </c>
      <c r="C95" t="inlineStr">
        <is>
          <t>—</t>
        </is>
      </c>
      <c r="D95" t="inlineStr">
        <is>
          <t>—</t>
        </is>
      </c>
      <c r="E95" t="inlineStr">
        <is>
          <t>—</t>
        </is>
      </c>
      <c r="F95" t="inlineStr">
        <is>
          <t>—</t>
        </is>
      </c>
      <c r="G95" s="11" t="n">
        <v>0.14</v>
      </c>
    </row>
    <row r="97">
      <c r="A97" s="2" t="inlineStr">
        <is>
          <t>Transcriber's notes</t>
        </is>
      </c>
    </row>
    <row r="98">
      <c r="A98" t="inlineStr">
        <is>
          <t>Figures are percentage shares of each country in Manchoukuo's exports/imports per category; only selected countries are printed and no total row is given, so no total can be reconciled. For information, the printed countries' shares sum to: (A) 1936 [98.76, 74.18, 92.74, 96.92, 82.39], 1937 [98.56, 69.72, 89.23, 90.29, 77.87]; (B) 1936 [91.2, 95.71, 94.59, 99.21, 96.86], 1937 [91.19, 92.5, 89.74, 98.31, 94.98] (none exceeds 100).</t>
        </is>
      </c>
    </row>
    <row r="99">
      <c r="A99" t="inlineStr">
        <is>
          <t>For 1938, 1939 and 1940 (Jan.-Sept.) only the Grand Total column is filled; the category columns are printed as dashes.</t>
        </is>
      </c>
    </row>
    <row r="100">
      <c r="A100" t="inlineStr">
        <is>
          <t>Country names are printed once against a brace spanning the five year rows; repeated here on each row.</t>
        </is>
      </c>
    </row>
    <row r="101">
      <c r="A101" t="inlineStr">
        <is>
          <t>(A) Exports to Japan and Chosen are on p. 313 (IMG_5615); the rest of (A) and the beginning of (B) (Japan, Chosen) on p. 314, headed '(Continued) (Unit: %)'; (B) continues on p. 315 headed '(Continued) (Unit: %)'.</t>
        </is>
      </c>
    </row>
    <row r="102">
      <c r="A102" t="inlineStr">
        <is>
          <t>(B) China 1940 (Jan.-Sept.) Grand Total printed 9.97 (clearly legible).</t>
        </is>
      </c>
    </row>
  </sheetData>
  <hyperlinks>
    <hyperlink xmlns:r="http://schemas.openxmlformats.org/officeDocument/2006/relationships" ref="A4" r:id="rId1"/>
  </hyperlink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AF3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Manchoukuo's Foreign Trade Classified by Principal Countries</t>
        </is>
      </c>
    </row>
    <row r="2">
      <c r="A2" t="inlineStr">
        <is>
          <t>Foreign Trade · printed pp. 316</t>
        </is>
      </c>
    </row>
    <row r="3">
      <c r="A3" t="inlineStr">
        <is>
          <t>(Unit: M¥1,000)</t>
        </is>
      </c>
    </row>
    <row r="4">
      <c r="A4" s="3" t="inlineStr">
        <is>
          <t>← Contents</t>
        </is>
      </c>
    </row>
    <row r="6">
      <c r="A6" s="5" t="inlineStr">
        <is>
          <t>Year</t>
        </is>
      </c>
      <c r="B6" s="5" t="inlineStr">
        <is>
          <t>Japanese Empire — Export</t>
        </is>
      </c>
      <c r="C6" s="5" t="inlineStr">
        <is>
          <t>Japanese Empire — Import</t>
        </is>
      </c>
      <c r="D6" s="5" t="inlineStr">
        <is>
          <t>China — Export</t>
        </is>
      </c>
      <c r="E6" s="5" t="inlineStr">
        <is>
          <t>China — Import</t>
        </is>
      </c>
      <c r="F6" s="5" t="inlineStr">
        <is>
          <t>U.S.S.R. — Export</t>
        </is>
      </c>
      <c r="G6" s="5" t="inlineStr">
        <is>
          <t>U.S.S.R. — Import</t>
        </is>
      </c>
      <c r="H6" s="5" t="inlineStr">
        <is>
          <t>Hongkong — Export</t>
        </is>
      </c>
      <c r="I6" s="5" t="inlineStr">
        <is>
          <t>Hongkong — Import</t>
        </is>
      </c>
      <c r="J6" s="5" t="inlineStr">
        <is>
          <t>British India — Export</t>
        </is>
      </c>
      <c r="K6" s="5" t="inlineStr">
        <is>
          <t>British India — Import</t>
        </is>
      </c>
      <c r="L6" s="5" t="inlineStr">
        <is>
          <t>D.E.I. — Export</t>
        </is>
      </c>
      <c r="M6" s="5" t="inlineStr">
        <is>
          <t>D.E.I. — Import</t>
        </is>
      </c>
      <c r="N6" s="5" t="inlineStr">
        <is>
          <t>Great Britain — Export</t>
        </is>
      </c>
      <c r="O6" s="5" t="inlineStr">
        <is>
          <t>Great Britain — Import</t>
        </is>
      </c>
      <c r="P6" s="5" t="inlineStr">
        <is>
          <t>France — Export</t>
        </is>
      </c>
      <c r="Q6" s="5" t="inlineStr">
        <is>
          <t>France — Import</t>
        </is>
      </c>
      <c r="R6" s="5" t="inlineStr">
        <is>
          <t>Germany — Export</t>
        </is>
      </c>
      <c r="S6" s="5" t="inlineStr">
        <is>
          <t>Germany — Import</t>
        </is>
      </c>
      <c r="T6" s="5" t="inlineStr">
        <is>
          <t>Belgium — Export</t>
        </is>
      </c>
      <c r="U6" s="5" t="inlineStr">
        <is>
          <t>Belgium — Import</t>
        </is>
      </c>
      <c r="V6" s="5" t="inlineStr">
        <is>
          <t>Holland — Export</t>
        </is>
      </c>
      <c r="W6" s="5" t="inlineStr">
        <is>
          <t>Holland — Import</t>
        </is>
      </c>
      <c r="X6" s="5" t="inlineStr">
        <is>
          <t>Italy — Export</t>
        </is>
      </c>
      <c r="Y6" s="5" t="inlineStr">
        <is>
          <t>Italy — Import</t>
        </is>
      </c>
      <c r="Z6" s="5" t="inlineStr">
        <is>
          <t>U.S.A. — Export</t>
        </is>
      </c>
      <c r="AA6" s="5" t="inlineStr">
        <is>
          <t>U.S.A. — Import</t>
        </is>
      </c>
      <c r="AB6" s="5" t="inlineStr">
        <is>
          <t>Australia — Export</t>
        </is>
      </c>
      <c r="AC6" s="5" t="inlineStr">
        <is>
          <t>Australia — Import</t>
        </is>
      </c>
      <c r="AD6" s="5" t="inlineStr">
        <is>
          <t>Total incl. Others — Export</t>
        </is>
      </c>
      <c r="AE6" s="5" t="inlineStr">
        <is>
          <t>Total incl. Others — Import</t>
        </is>
      </c>
      <c r="AF6" s="5" t="inlineStr">
        <is>
          <t>Total incl. Others — Total</t>
        </is>
      </c>
    </row>
    <row r="7">
      <c r="A7" s="9" t="n">
        <v>1934</v>
      </c>
      <c r="B7" s="6" t="n">
        <v>318675</v>
      </c>
      <c r="C7" s="6" t="n">
        <v>408601</v>
      </c>
      <c r="D7" s="6" t="n">
        <v>65694</v>
      </c>
      <c r="E7" s="6" t="n">
        <v>57595</v>
      </c>
      <c r="F7" s="6" t="n">
        <v>8423</v>
      </c>
      <c r="G7" s="6" t="n">
        <v>4876</v>
      </c>
      <c r="H7" s="6" t="n">
        <v>6849</v>
      </c>
      <c r="I7" s="6" t="n">
        <v>3597</v>
      </c>
      <c r="J7" s="9" t="n">
        <v>646</v>
      </c>
      <c r="K7" s="6" t="n">
        <v>23944</v>
      </c>
      <c r="L7" s="6" t="n">
        <v>1710</v>
      </c>
      <c r="M7" s="6" t="n">
        <v>6695</v>
      </c>
      <c r="N7" s="6" t="n">
        <v>16218</v>
      </c>
      <c r="O7" s="6" t="n">
        <v>8316</v>
      </c>
      <c r="P7" s="6" t="n">
        <v>2921</v>
      </c>
      <c r="Q7" s="9" t="n">
        <v>565</v>
      </c>
      <c r="R7" s="6" t="n">
        <v>53310</v>
      </c>
      <c r="S7" s="6" t="n">
        <v>12486</v>
      </c>
      <c r="T7" s="6" t="n">
        <v>1190</v>
      </c>
      <c r="U7" s="9" t="n">
        <v>704</v>
      </c>
      <c r="V7" s="6" t="n">
        <v>8073</v>
      </c>
      <c r="W7" s="9" t="n">
        <v>388</v>
      </c>
      <c r="X7" s="6" t="n">
        <v>4303</v>
      </c>
      <c r="Y7" s="9" t="n">
        <v>702</v>
      </c>
      <c r="Z7" s="6" t="n">
        <v>5966</v>
      </c>
      <c r="AA7" s="6" t="n">
        <v>35227</v>
      </c>
      <c r="AB7" s="9" t="n">
        <v>16</v>
      </c>
      <c r="AC7" s="6" t="n">
        <v>20917</v>
      </c>
      <c r="AD7" s="6" t="n">
        <v>448427</v>
      </c>
      <c r="AE7" s="6" t="n">
        <v>593562</v>
      </c>
      <c r="AF7" s="6" t="n">
        <v>1041989</v>
      </c>
    </row>
    <row r="8">
      <c r="A8" s="9" t="n">
        <v>1935</v>
      </c>
      <c r="B8" s="6" t="n">
        <v>217292</v>
      </c>
      <c r="C8" s="6" t="n">
        <v>456675</v>
      </c>
      <c r="D8" s="6" t="n">
        <v>65353</v>
      </c>
      <c r="E8" s="6" t="n">
        <v>31993</v>
      </c>
      <c r="F8" s="6" t="n">
        <v>4662</v>
      </c>
      <c r="G8" s="6" t="n">
        <v>1168</v>
      </c>
      <c r="H8" s="6" t="n">
        <v>7528</v>
      </c>
      <c r="I8" s="6" t="n">
        <v>2759</v>
      </c>
      <c r="J8" s="6" t="n">
        <v>2701</v>
      </c>
      <c r="K8" s="6" t="n">
        <v>23821</v>
      </c>
      <c r="L8" s="9" t="n">
        <v>701</v>
      </c>
      <c r="M8" s="6" t="n">
        <v>5062</v>
      </c>
      <c r="N8" s="6" t="n">
        <v>24221</v>
      </c>
      <c r="O8" s="6" t="n">
        <v>9482</v>
      </c>
      <c r="P8" s="6" t="n">
        <v>3570</v>
      </c>
      <c r="Q8" s="9" t="n">
        <v>463</v>
      </c>
      <c r="R8" s="6" t="n">
        <v>32799</v>
      </c>
      <c r="S8" s="6" t="n">
        <v>14742</v>
      </c>
      <c r="T8" s="6" t="n">
        <v>1148</v>
      </c>
      <c r="U8" s="6" t="n">
        <v>1511</v>
      </c>
      <c r="V8" s="6" t="n">
        <v>10075</v>
      </c>
      <c r="W8" s="9" t="n">
        <v>815</v>
      </c>
      <c r="X8" s="6" t="n">
        <v>3864</v>
      </c>
      <c r="Y8" s="6" t="n">
        <v>1357</v>
      </c>
      <c r="Z8" s="6" t="n">
        <v>15596</v>
      </c>
      <c r="AA8" s="6" t="n">
        <v>24936</v>
      </c>
      <c r="AB8" s="9" t="n">
        <v>37</v>
      </c>
      <c r="AC8" s="6" t="n">
        <v>20222</v>
      </c>
      <c r="AD8" s="6" t="n">
        <v>421078</v>
      </c>
      <c r="AE8" s="6" t="n">
        <v>604149</v>
      </c>
      <c r="AF8" s="6" t="n">
        <v>1025227</v>
      </c>
    </row>
    <row r="9">
      <c r="A9" s="9" t="n">
        <v>1936</v>
      </c>
      <c r="B9" s="6" t="n">
        <v>280904</v>
      </c>
      <c r="C9" s="6" t="n">
        <v>534630</v>
      </c>
      <c r="D9" s="6" t="n">
        <v>128603</v>
      </c>
      <c r="E9" s="6" t="n">
        <v>47685</v>
      </c>
      <c r="F9" s="6" t="n">
        <v>1585</v>
      </c>
      <c r="G9" s="9" t="n">
        <v>261</v>
      </c>
      <c r="H9" s="6" t="n">
        <v>8732</v>
      </c>
      <c r="I9" s="6" t="n">
        <v>4987</v>
      </c>
      <c r="J9" s="6" t="n">
        <v>1691</v>
      </c>
      <c r="K9" s="6" t="n">
        <v>28224</v>
      </c>
      <c r="L9" s="6" t="n">
        <v>1478</v>
      </c>
      <c r="M9" s="6" t="n">
        <v>6859</v>
      </c>
      <c r="N9" s="6" t="n">
        <v>27521</v>
      </c>
      <c r="O9" s="6" t="n">
        <v>7419</v>
      </c>
      <c r="P9" s="6" t="n">
        <v>4837</v>
      </c>
      <c r="Q9" s="9" t="n">
        <v>789</v>
      </c>
      <c r="R9" s="6" t="n">
        <v>50278</v>
      </c>
      <c r="S9" s="6" t="n">
        <v>13025</v>
      </c>
      <c r="T9" s="9" t="n">
        <v>953</v>
      </c>
      <c r="U9" s="6" t="n">
        <v>1019</v>
      </c>
      <c r="V9" s="6" t="n">
        <v>7072</v>
      </c>
      <c r="W9" s="9" t="n">
        <v>631</v>
      </c>
      <c r="X9" s="9" t="n">
        <v>383</v>
      </c>
      <c r="Y9" s="6" t="n">
        <v>1624</v>
      </c>
      <c r="Z9" s="6" t="n">
        <v>16353</v>
      </c>
      <c r="AA9" s="6" t="n">
        <v>23735</v>
      </c>
      <c r="AB9" s="9" t="n">
        <v>72</v>
      </c>
      <c r="AC9" s="6" t="n">
        <v>8886</v>
      </c>
      <c r="AD9" s="6" t="n">
        <v>602759</v>
      </c>
      <c r="AE9" s="6" t="n">
        <v>691830</v>
      </c>
      <c r="AF9" s="6" t="n">
        <v>1294648</v>
      </c>
    </row>
    <row r="10">
      <c r="A10" s="9" t="n">
        <v>1937</v>
      </c>
      <c r="B10" s="6" t="n">
        <v>321615</v>
      </c>
      <c r="C10" s="6" t="n">
        <v>666266</v>
      </c>
      <c r="D10" s="6" t="n">
        <v>113560</v>
      </c>
      <c r="E10" s="6" t="n">
        <v>39328</v>
      </c>
      <c r="F10" s="9" t="n">
        <v>146</v>
      </c>
      <c r="G10" s="9" t="n">
        <v>701</v>
      </c>
      <c r="H10" s="6" t="n">
        <v>8419</v>
      </c>
      <c r="I10" s="6" t="n">
        <v>4411</v>
      </c>
      <c r="J10" s="9" t="n">
        <v>132</v>
      </c>
      <c r="K10" s="6" t="n">
        <v>45223</v>
      </c>
      <c r="L10" s="6" t="n">
        <v>1266</v>
      </c>
      <c r="M10" s="6" t="n">
        <v>8948</v>
      </c>
      <c r="N10" s="6" t="n">
        <v>9322</v>
      </c>
      <c r="O10" s="6" t="n">
        <v>11127</v>
      </c>
      <c r="P10" s="6" t="n">
        <v>1268</v>
      </c>
      <c r="Q10" s="6" t="n">
        <v>3367</v>
      </c>
      <c r="R10" s="6" t="n">
        <v>59051</v>
      </c>
      <c r="S10" s="6" t="n">
        <v>17278</v>
      </c>
      <c r="T10" s="6" t="n">
        <v>1273</v>
      </c>
      <c r="U10" s="6" t="n">
        <v>3990</v>
      </c>
      <c r="V10" s="6" t="n">
        <v>16570</v>
      </c>
      <c r="W10" s="6" t="n">
        <v>1530</v>
      </c>
      <c r="X10" s="6" t="n">
        <v>2644</v>
      </c>
      <c r="Y10" s="6" t="n">
        <v>1064</v>
      </c>
      <c r="Z10" s="6" t="n">
        <v>18674</v>
      </c>
      <c r="AA10" s="6" t="n">
        <v>57923</v>
      </c>
      <c r="AB10" s="9" t="n">
        <v>131</v>
      </c>
      <c r="AC10" s="6" t="n">
        <v>3069</v>
      </c>
      <c r="AD10" s="6" t="n">
        <v>645298</v>
      </c>
      <c r="AE10" s="6" t="n">
        <v>887412</v>
      </c>
      <c r="AF10" s="6" t="n">
        <v>1532709</v>
      </c>
    </row>
    <row r="11">
      <c r="A11" s="9" t="n">
        <v>1938</v>
      </c>
      <c r="B11" s="6" t="n">
        <v>416825</v>
      </c>
      <c r="C11" s="6" t="n">
        <v>933413</v>
      </c>
      <c r="D11" s="6" t="n">
        <v>121683</v>
      </c>
      <c r="E11" s="6" t="n">
        <v>70716</v>
      </c>
      <c r="F11" s="9" t="n">
        <v>29</v>
      </c>
      <c r="G11" s="9" t="n">
        <v>32</v>
      </c>
      <c r="H11" s="6" t="n">
        <v>3902</v>
      </c>
      <c r="I11" s="6" t="n">
        <v>1378</v>
      </c>
      <c r="J11" s="9" t="n">
        <v>46</v>
      </c>
      <c r="K11" s="6" t="n">
        <v>30603</v>
      </c>
      <c r="L11" s="9" t="n">
        <v>297</v>
      </c>
      <c r="M11" s="9" t="n">
        <v>933</v>
      </c>
      <c r="N11" s="6" t="n">
        <v>5447</v>
      </c>
      <c r="O11" s="6" t="n">
        <v>7376</v>
      </c>
      <c r="P11" s="6" t="n">
        <v>1512</v>
      </c>
      <c r="Q11" s="6" t="n">
        <v>5067</v>
      </c>
      <c r="R11" s="6" t="n">
        <v>50396</v>
      </c>
      <c r="S11" s="6" t="n">
        <v>37304</v>
      </c>
      <c r="T11" s="9" t="n">
        <v>983</v>
      </c>
      <c r="U11" s="6" t="n">
        <v>4482</v>
      </c>
      <c r="V11" s="6" t="n">
        <v>8001</v>
      </c>
      <c r="W11" s="9" t="n">
        <v>799</v>
      </c>
      <c r="X11" s="6" t="n">
        <v>3457</v>
      </c>
      <c r="Y11" s="6" t="n">
        <v>2393</v>
      </c>
      <c r="Z11" s="6" t="n">
        <v>11360</v>
      </c>
      <c r="AA11" s="6" t="n">
        <v>93070</v>
      </c>
      <c r="AB11" s="9" t="n">
        <v>167</v>
      </c>
      <c r="AC11" s="6" t="n">
        <v>2439</v>
      </c>
      <c r="AD11" s="6" t="n">
        <v>725454</v>
      </c>
      <c r="AE11" s="6" t="n">
        <v>1274748</v>
      </c>
      <c r="AF11" s="6" t="n">
        <v>2000203</v>
      </c>
    </row>
    <row r="12">
      <c r="A12" s="9" t="n">
        <v>1939</v>
      </c>
      <c r="B12" s="6" t="n">
        <v>521324</v>
      </c>
      <c r="C12" s="6" t="n">
        <v>1540756</v>
      </c>
      <c r="D12" s="6" t="n">
        <v>169194</v>
      </c>
      <c r="E12" s="6" t="n">
        <v>66650</v>
      </c>
      <c r="F12" s="9" t="n">
        <v>14</v>
      </c>
      <c r="G12" s="9" t="n">
        <v>23</v>
      </c>
      <c r="H12" s="9" t="n">
        <v>314</v>
      </c>
      <c r="I12" s="9" t="n">
        <v>332</v>
      </c>
      <c r="J12" s="9" t="n">
        <v>44</v>
      </c>
      <c r="K12" s="6" t="n">
        <v>24340</v>
      </c>
      <c r="L12" s="9" t="n">
        <v>178</v>
      </c>
      <c r="M12" s="9" t="n">
        <v>888</v>
      </c>
      <c r="N12" s="6" t="n">
        <v>3270</v>
      </c>
      <c r="O12" s="6" t="n">
        <v>4686</v>
      </c>
      <c r="P12" s="9" t="n">
        <v>670</v>
      </c>
      <c r="Q12" s="6" t="n">
        <v>1319</v>
      </c>
      <c r="R12" s="6" t="n">
        <v>50358</v>
      </c>
      <c r="S12" s="6" t="n">
        <v>52241</v>
      </c>
      <c r="T12" s="6" t="n">
        <v>2076</v>
      </c>
      <c r="U12" s="6" t="n">
        <v>1077</v>
      </c>
      <c r="V12" s="6" t="n">
        <v>5041</v>
      </c>
      <c r="W12" s="9" t="n">
        <v>301</v>
      </c>
      <c r="X12" s="6" t="n">
        <v>12659</v>
      </c>
      <c r="Y12" s="6" t="n">
        <v>4359</v>
      </c>
      <c r="Z12" s="6" t="n">
        <v>15396</v>
      </c>
      <c r="AA12" s="6" t="n">
        <v>87456</v>
      </c>
      <c r="AB12" s="9" t="n">
        <v>225</v>
      </c>
      <c r="AC12" s="6" t="n">
        <v>2218</v>
      </c>
      <c r="AD12" s="6" t="n">
        <v>834717</v>
      </c>
      <c r="AE12" s="6" t="n">
        <v>1816124</v>
      </c>
      <c r="AF12" s="6" t="n">
        <v>2650841</v>
      </c>
    </row>
    <row r="13">
      <c r="A13" t="inlineStr">
        <is>
          <t>1939 (Jan.-Sept.)</t>
        </is>
      </c>
      <c r="B13" s="6" t="n">
        <v>386173</v>
      </c>
      <c r="C13" s="6" t="n">
        <v>1075080</v>
      </c>
      <c r="D13" s="6" t="n">
        <v>127804</v>
      </c>
      <c r="E13" s="6" t="n">
        <v>50824</v>
      </c>
      <c r="F13" t="inlineStr">
        <is>
          <t>—</t>
        </is>
      </c>
      <c r="G13" t="inlineStr">
        <is>
          <t>—</t>
        </is>
      </c>
      <c r="H13" s="9" t="n">
        <v>308</v>
      </c>
      <c r="I13" s="9" t="n">
        <v>321</v>
      </c>
      <c r="J13" s="9" t="n">
        <v>23</v>
      </c>
      <c r="K13" s="6" t="n">
        <v>17974</v>
      </c>
      <c r="L13" s="9" t="n">
        <v>106</v>
      </c>
      <c r="M13" s="9" t="n">
        <v>878</v>
      </c>
      <c r="N13" s="6" t="n">
        <v>2569</v>
      </c>
      <c r="O13" s="6" t="n">
        <v>4019</v>
      </c>
      <c r="P13" s="9" t="n">
        <v>665</v>
      </c>
      <c r="Q13" s="6" t="n">
        <v>1222</v>
      </c>
      <c r="R13" t="inlineStr">
        <is>
          <t>—</t>
        </is>
      </c>
      <c r="S13" t="inlineStr">
        <is>
          <t>—</t>
        </is>
      </c>
      <c r="T13" s="9" t="n">
        <v>467</v>
      </c>
      <c r="U13" s="9" t="n">
        <v>754</v>
      </c>
      <c r="V13" s="6" t="n">
        <v>4008</v>
      </c>
      <c r="W13" s="9" t="n">
        <v>286</v>
      </c>
      <c r="X13" s="6" t="n">
        <v>12531</v>
      </c>
      <c r="Y13" s="6" t="n">
        <v>1599</v>
      </c>
      <c r="Z13" s="6" t="n">
        <v>11263</v>
      </c>
      <c r="AA13" s="6" t="n">
        <v>58746</v>
      </c>
      <c r="AB13" s="9" t="n">
        <v>136</v>
      </c>
      <c r="AC13" s="6" t="n">
        <v>1966</v>
      </c>
      <c r="AD13" s="6" t="n">
        <v>646663</v>
      </c>
      <c r="AE13" s="6" t="n">
        <v>1278268</v>
      </c>
      <c r="AF13" s="6" t="n">
        <v>1924931</v>
      </c>
    </row>
    <row r="14">
      <c r="A14" t="inlineStr">
        <is>
          <t>1940 (Jan.-Sept.)</t>
        </is>
      </c>
      <c r="B14" s="6" t="n">
        <v>378446</v>
      </c>
      <c r="C14" s="6" t="n">
        <v>1241484</v>
      </c>
      <c r="D14" s="6" t="n">
        <v>139283</v>
      </c>
      <c r="E14" s="6" t="n">
        <v>60223</v>
      </c>
      <c r="F14" t="inlineStr">
        <is>
          <t>—</t>
        </is>
      </c>
      <c r="G14" t="inlineStr">
        <is>
          <t>—</t>
        </is>
      </c>
      <c r="H14" s="9" t="n">
        <v>36</v>
      </c>
      <c r="I14" s="9" t="n">
        <v>39</v>
      </c>
      <c r="J14" s="9" t="n">
        <v>27</v>
      </c>
      <c r="K14" s="6" t="n">
        <v>13268</v>
      </c>
      <c r="L14" s="9" t="n">
        <v>123</v>
      </c>
      <c r="M14" s="9" t="n">
        <v>491</v>
      </c>
      <c r="N14" s="6" t="n">
        <v>1323</v>
      </c>
      <c r="O14" s="6" t="n">
        <v>1311</v>
      </c>
      <c r="P14" s="9" t="n">
        <v>375</v>
      </c>
      <c r="Q14" s="9" t="n">
        <v>5</v>
      </c>
      <c r="R14" t="inlineStr">
        <is>
          <t>—</t>
        </is>
      </c>
      <c r="S14" t="inlineStr">
        <is>
          <t>—</t>
        </is>
      </c>
      <c r="T14" s="9" t="n">
        <v>11</v>
      </c>
      <c r="U14" s="9" t="n">
        <v>430</v>
      </c>
      <c r="V14" s="9" t="n">
        <v>115</v>
      </c>
      <c r="W14" s="9" t="n">
        <v>16</v>
      </c>
      <c r="X14" s="6" t="n">
        <v>5194</v>
      </c>
      <c r="Y14" s="6" t="n">
        <v>3682</v>
      </c>
      <c r="Z14" s="6" t="n">
        <v>16107</v>
      </c>
      <c r="AA14" s="6" t="n">
        <v>55530</v>
      </c>
      <c r="AB14" s="9" t="n">
        <v>112</v>
      </c>
      <c r="AC14" s="6" t="n">
        <v>2004</v>
      </c>
      <c r="AD14" s="6" t="n">
        <v>544629</v>
      </c>
      <c r="AE14" s="6" t="n">
        <v>1397716</v>
      </c>
      <c r="AF14" s="6" t="n">
        <v>1942345</v>
      </c>
    </row>
    <row r="16">
      <c r="A16" s="2" t="inlineStr">
        <is>
          <t>Transcriber's notes</t>
        </is>
      </c>
    </row>
    <row r="17">
      <c r="A17" t="inlineStr">
        <is>
          <t>1934: Export 448,427 + Import 593,562 = 1,041,989 vs Total 1,041,989 — reconciles</t>
        </is>
      </c>
    </row>
    <row r="18">
      <c r="A18" t="inlineStr">
        <is>
          <t>1934: listed countries sum to Export 493,994 (≤ total 448,427: False), Import 584,613 (≤ total 593,562: True)</t>
        </is>
      </c>
    </row>
    <row r="19">
      <c r="A19" t="inlineStr">
        <is>
          <t>1935: Export 421,078 + Import 604,149 = 1,025,227 vs Total 1,025,227 — reconciles</t>
        </is>
      </c>
    </row>
    <row r="20">
      <c r="A20" t="inlineStr">
        <is>
          <t>1935: listed countries sum to Export 389,547 (≤ total 421,078: True), Import 595,006 (≤ total 604,149: True)</t>
        </is>
      </c>
    </row>
    <row r="21">
      <c r="A21" t="inlineStr">
        <is>
          <t>1936: Export 602,759 + Import 691,830 = 1,294,589 vs Total 1,294,648 — does NOT reconcile (diff -59)</t>
        </is>
      </c>
    </row>
    <row r="22">
      <c r="A22" t="inlineStr">
        <is>
          <t>1936: listed countries sum to Export 530,462 (≤ total 602,759: True), Import 679,774 (≤ total 691,830: True)</t>
        </is>
      </c>
    </row>
    <row r="23">
      <c r="A23" t="inlineStr">
        <is>
          <t>1937: Export 645,298 + Import 887,412 = 1,532,710 vs Total 1,532,709 — does NOT reconcile (diff +1)</t>
        </is>
      </c>
    </row>
    <row r="24">
      <c r="A24" t="inlineStr">
        <is>
          <t>1937: listed countries sum to Export 554,071 (≤ total 645,298: True), Import 864,225 (≤ total 887,412: True)</t>
        </is>
      </c>
    </row>
    <row r="25">
      <c r="A25" t="inlineStr">
        <is>
          <t>1938: Export 725,454 + Import 1,274,748 = 2,000,202 vs Total 2,000,203 — does NOT reconcile (diff -1)</t>
        </is>
      </c>
    </row>
    <row r="26">
      <c r="A26" t="inlineStr">
        <is>
          <t>1938: listed countries sum to Export 624,105 (≤ total 725,454: True), Import 1,190,005 (≤ total 1,274,748: True)</t>
        </is>
      </c>
    </row>
    <row r="27">
      <c r="A27" t="inlineStr">
        <is>
          <t>1939: Export 834,717 + Import 1,816,124 = 2,650,841 vs Total 2,650,841 — reconciles</t>
        </is>
      </c>
    </row>
    <row r="28">
      <c r="A28" t="inlineStr">
        <is>
          <t>1939: listed countries sum to Export 780,763 (≤ total 834,717: True), Import 1,786,646 (≤ total 1,816,124: True)</t>
        </is>
      </c>
    </row>
    <row r="29">
      <c r="A29" t="inlineStr">
        <is>
          <t>1939 (Jan.-Sept.): Export 646,663 + Import 1,278,268 = 1,924,931 vs Total 1,924,931 — reconciles</t>
        </is>
      </c>
    </row>
    <row r="30">
      <c r="A30" t="inlineStr">
        <is>
          <t>1939 (Jan.-Sept.): listed countries sum to Export 546,053 (≤ total 646,663: True), Import 1,213,669 (≤ total 1,278,268: True)</t>
        </is>
      </c>
    </row>
    <row r="31">
      <c r="A31" t="inlineStr">
        <is>
          <t>1940 (Jan.-Sept.): Export 544,629 + Import 1,397,716 = 1,942,345 vs Total 1,942,345 — reconciles</t>
        </is>
      </c>
    </row>
    <row r="32">
      <c r="A32" t="inlineStr">
        <is>
          <t>1940 (Jan.-Sept.): listed countries sum to Export 541,152 (≤ total 544,629: True), Import 1,378,483 (≤ total 1,397,716: True)</t>
        </is>
      </c>
    </row>
    <row r="33">
      <c r="A33" t="inlineStr">
        <is>
          <t>'Total incl. Others' includes unlisted countries, so country columns cannot be reconciled to it; listed-country sums above are given only as a plausibility check.</t>
        </is>
      </c>
    </row>
    <row r="34">
      <c r="A34" t="inlineStr">
        <is>
          <t>Compared with Table 1: 1934 Import here 593,562 (Table 1 prints 539,562); 1936 Import here 691,830 (Table 1: 691,889, which reconciles with Table 1's total 1,294,648); 1938 Total here 2,000,203 (Table 1: 2,000,202); 1939 (Jan.-Sept.) Total here 1,924,931 (Table 1: 1,929,931).</t>
        </is>
      </c>
    </row>
    <row r="35">
      <c r="A35" t="inlineStr">
        <is>
          <t>The table is printed in four stacked blocks of countries (Japanese Empire/China/U.S.S.R./Hongkong; British India/D.E.I./Great Britain/France; Germany/Belgium/Holland/Italy; U.S.A./Australia/Total incl. Others), each with the same year stub; merged here into one wide table.</t>
        </is>
      </c>
    </row>
    <row r="36">
      <c r="A36" t="inlineStr">
        <is>
          <t>Stub rows printed as '1939', '" (Jan.-Sept.)', '1940 ( " )'; expanded to '1939 (Jan.-Sept.)' and '1940 (Jan.-Sept.)'.</t>
        </is>
      </c>
    </row>
    <row r="37">
      <c r="A37" t="inlineStr">
        <is>
          <t>Hongkong, France, Italy and the 'Total' column are printed in the gutter curve in smaller type; read in enlarged crops. Hongkong 1936 Export '8,732' has a slightly overstruck middle digit (read as 3). Total 1937 '1,532,709': last digit partly in the gutter but reads 9.</t>
        </is>
      </c>
    </row>
    <row r="38">
      <c r="A38" t="inlineStr">
        <is>
          <t>PROBLEM: 1934 listed-country exports sum to 493,994, exceeding 'Total incl. Others' export 448,427 by 45,567 — impossible arithmetically. All 1934 export cells were re-read and are clearly printed; the likeliest culprit is Japanese Empire 1934 export '318,675' (1935: 217,292), but it is transcribed as printed.</t>
        </is>
      </c>
    </row>
  </sheetData>
  <hyperlinks>
    <hyperlink xmlns:r="http://schemas.openxmlformats.org/officeDocument/2006/relationships" ref="A4" r:id="rId1"/>
  </hyperlink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7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Volume of Principal Articles Exported and Imported</t>
        </is>
      </c>
    </row>
    <row r="2">
      <c r="A2" t="inlineStr">
        <is>
          <t>Foreign Trade · printed pp. 318, 319</t>
        </is>
      </c>
    </row>
    <row r="3">
      <c r="A3" s="3" t="inlineStr">
        <is>
          <t>← Contents</t>
        </is>
      </c>
    </row>
    <row r="5">
      <c r="A5" s="2" t="inlineStr">
        <is>
          <t>(A) Exports</t>
        </is>
      </c>
    </row>
    <row r="6">
      <c r="A6" s="5" t="inlineStr">
        <is>
          <t>Articles</t>
        </is>
      </c>
      <c r="B6" s="5" t="inlineStr">
        <is>
          <t>Unit</t>
        </is>
      </c>
      <c r="C6" s="5" t="inlineStr">
        <is>
          <t>1934</t>
        </is>
      </c>
      <c r="D6" s="5" t="inlineStr">
        <is>
          <t>1935</t>
        </is>
      </c>
      <c r="E6" s="5" t="inlineStr">
        <is>
          <t>1936</t>
        </is>
      </c>
      <c r="F6" s="5" t="inlineStr">
        <is>
          <t>1937</t>
        </is>
      </c>
      <c r="G6" s="5" t="inlineStr">
        <is>
          <t>1938</t>
        </is>
      </c>
      <c r="H6" s="5" t="inlineStr">
        <is>
          <t>1939</t>
        </is>
      </c>
    </row>
    <row r="7">
      <c r="A7" t="inlineStr">
        <is>
          <t>Bristles</t>
        </is>
      </c>
      <c r="B7" t="inlineStr">
        <is>
          <t>m. tons</t>
        </is>
      </c>
      <c r="C7" s="6" t="n">
        <v>1694</v>
      </c>
      <c r="D7" s="9" t="n">
        <v>786</v>
      </c>
      <c r="E7" s="9" t="n">
        <v>970</v>
      </c>
      <c r="F7" s="9" t="n">
        <v>850</v>
      </c>
      <c r="G7" s="9" t="n">
        <v>558</v>
      </c>
      <c r="H7" s="9" t="n">
        <v>668</v>
      </c>
    </row>
    <row r="8">
      <c r="A8" t="inlineStr">
        <is>
          <t>Horse Hair</t>
        </is>
      </c>
      <c r="B8" t="inlineStr">
        <is>
          <t>„</t>
        </is>
      </c>
      <c r="C8" t="inlineStr">
        <is>
          <t>—</t>
        </is>
      </c>
      <c r="D8" t="inlineStr">
        <is>
          <t>—</t>
        </is>
      </c>
      <c r="E8" s="9" t="n">
        <v>555</v>
      </c>
      <c r="F8" s="9" t="n">
        <v>680</v>
      </c>
      <c r="G8" s="9" t="n">
        <v>495</v>
      </c>
      <c r="H8" s="9" t="n">
        <v>598</v>
      </c>
    </row>
    <row r="9">
      <c r="A9" t="inlineStr">
        <is>
          <t>Hides</t>
        </is>
      </c>
      <c r="B9" t="inlineStr">
        <is>
          <t>„</t>
        </is>
      </c>
      <c r="C9" t="inlineStr">
        <is>
          <t>—</t>
        </is>
      </c>
      <c r="D9" t="inlineStr">
        <is>
          <t>—</t>
        </is>
      </c>
      <c r="E9" s="9" t="n">
        <v>910</v>
      </c>
      <c r="F9" s="9" t="n">
        <v>908</v>
      </c>
      <c r="G9" s="9" t="n">
        <v>727</v>
      </c>
      <c r="H9" s="9" t="n">
        <v>12</v>
      </c>
    </row>
    <row r="10">
      <c r="A10" t="inlineStr">
        <is>
          <t>Soya Beans</t>
        </is>
      </c>
      <c r="B10" t="inlineStr">
        <is>
          <t>1,000 m.t.</t>
        </is>
      </c>
      <c r="C10" s="6" t="n">
        <v>2499</v>
      </c>
      <c r="D10" s="6" t="n">
        <v>1760</v>
      </c>
      <c r="E10" s="6" t="n">
        <v>1975</v>
      </c>
      <c r="F10" s="6" t="n">
        <v>1980</v>
      </c>
      <c r="G10" s="6" t="n">
        <v>2165</v>
      </c>
      <c r="H10" s="6" t="n">
        <v>1712</v>
      </c>
    </row>
    <row r="11">
      <c r="A11" t="inlineStr">
        <is>
          <t>Other Beans</t>
        </is>
      </c>
      <c r="B11" t="inlineStr">
        <is>
          <t>„</t>
        </is>
      </c>
      <c r="C11" s="9" t="n">
        <v>131</v>
      </c>
      <c r="D11" s="9" t="n">
        <v>160</v>
      </c>
      <c r="E11" s="9" t="n">
        <v>144</v>
      </c>
      <c r="F11" s="9" t="n">
        <v>112</v>
      </c>
      <c r="G11" s="9" t="n">
        <v>128</v>
      </c>
      <c r="H11" s="9" t="n">
        <v>154</v>
      </c>
    </row>
    <row r="12">
      <c r="A12" t="inlineStr">
        <is>
          <t>Bran, wheat</t>
        </is>
      </c>
      <c r="B12" t="inlineStr">
        <is>
          <t>„</t>
        </is>
      </c>
      <c r="C12" t="inlineStr">
        <is>
          <t>—</t>
        </is>
      </c>
      <c r="D12" t="inlineStr">
        <is>
          <t>—</t>
        </is>
      </c>
      <c r="E12" s="9" t="n">
        <v>87</v>
      </c>
      <c r="F12" s="9" t="n">
        <v>138</v>
      </c>
      <c r="G12" s="9" t="n">
        <v>97</v>
      </c>
      <c r="H12" s="9" t="n">
        <v>52</v>
      </c>
    </row>
    <row r="13">
      <c r="A13" t="inlineStr">
        <is>
          <t>Buck wheat</t>
        </is>
      </c>
      <c r="B13" t="inlineStr">
        <is>
          <t>„</t>
        </is>
      </c>
      <c r="C13" s="9" t="n">
        <v>52</v>
      </c>
      <c r="D13" s="9" t="n">
        <v>27</v>
      </c>
      <c r="E13" s="9" t="n">
        <v>29</v>
      </c>
      <c r="F13" s="9" t="n">
        <v>30</v>
      </c>
      <c r="G13" s="9" t="n">
        <v>27</v>
      </c>
      <c r="H13" s="9" t="n">
        <v>14</v>
      </c>
    </row>
    <row r="14">
      <c r="A14" t="inlineStr">
        <is>
          <t>Kaoliang</t>
        </is>
      </c>
      <c r="B14" t="inlineStr">
        <is>
          <t>„</t>
        </is>
      </c>
      <c r="C14" s="9" t="n">
        <v>222</v>
      </c>
      <c r="D14" s="9" t="n">
        <v>73</v>
      </c>
      <c r="E14" s="9" t="n">
        <v>186</v>
      </c>
      <c r="F14" s="9" t="n">
        <v>126</v>
      </c>
      <c r="G14" s="9" t="n">
        <v>216</v>
      </c>
      <c r="H14" s="9" t="n">
        <v>226</v>
      </c>
    </row>
    <row r="15">
      <c r="A15" t="inlineStr">
        <is>
          <t>Maize</t>
        </is>
      </c>
      <c r="B15" t="inlineStr">
        <is>
          <t>„</t>
        </is>
      </c>
      <c r="C15" s="9" t="n">
        <v>124</v>
      </c>
      <c r="D15" s="9" t="n">
        <v>33</v>
      </c>
      <c r="E15" s="9" t="n">
        <v>119</v>
      </c>
      <c r="F15" s="9" t="n">
        <v>112</v>
      </c>
      <c r="G15" s="9" t="n">
        <v>222</v>
      </c>
      <c r="H15" s="9" t="n">
        <v>263</v>
      </c>
    </row>
    <row r="16">
      <c r="A16" t="inlineStr">
        <is>
          <t>Millet</t>
        </is>
      </c>
      <c r="B16" t="inlineStr">
        <is>
          <t>„</t>
        </is>
      </c>
      <c r="C16" s="9" t="n">
        <v>243</v>
      </c>
      <c r="D16" s="9" t="n">
        <v>106</v>
      </c>
      <c r="E16" s="9" t="n">
        <v>161</v>
      </c>
      <c r="F16" s="9" t="n">
        <v>127</v>
      </c>
      <c r="G16" s="9" t="n">
        <v>163</v>
      </c>
      <c r="H16" s="9" t="n">
        <v>214</v>
      </c>
    </row>
    <row r="17">
      <c r="A17" t="inlineStr">
        <is>
          <t>Wheat</t>
        </is>
      </c>
      <c r="B17" t="inlineStr">
        <is>
          <t>„</t>
        </is>
      </c>
      <c r="C17" t="inlineStr">
        <is>
          <t>—</t>
        </is>
      </c>
      <c r="D17" t="inlineStr">
        <is>
          <t>—</t>
        </is>
      </c>
      <c r="E17" s="9" t="n">
        <v>15</v>
      </c>
      <c r="F17" s="9" t="n">
        <v>13</v>
      </c>
      <c r="G17" s="9" t="n">
        <v>12</v>
      </c>
      <c r="H17" s="9" t="n">
        <v>0</v>
      </c>
    </row>
    <row r="18">
      <c r="A18" t="inlineStr">
        <is>
          <t>Bean-cakes</t>
        </is>
      </c>
      <c r="B18" t="inlineStr">
        <is>
          <t>„</t>
        </is>
      </c>
      <c r="C18" s="6" t="n">
        <v>1220</v>
      </c>
      <c r="D18" s="6" t="n">
        <v>1025</v>
      </c>
      <c r="E18" s="9" t="n">
        <v>850</v>
      </c>
      <c r="F18" s="9" t="n">
        <v>805</v>
      </c>
      <c r="G18" s="9" t="n">
        <v>869</v>
      </c>
      <c r="H18" s="6" t="n">
        <v>1220</v>
      </c>
    </row>
    <row r="19">
      <c r="A19" t="inlineStr">
        <is>
          <t>Perilla-cakes</t>
        </is>
      </c>
      <c r="B19" t="inlineStr">
        <is>
          <t>„</t>
        </is>
      </c>
      <c r="C19" t="inlineStr">
        <is>
          <t>—</t>
        </is>
      </c>
      <c r="D19" t="inlineStr">
        <is>
          <t>—</t>
        </is>
      </c>
      <c r="E19" s="9" t="n">
        <v>27</v>
      </c>
      <c r="F19" s="9" t="n">
        <v>36</v>
      </c>
      <c r="G19" s="9" t="n">
        <v>19</v>
      </c>
      <c r="H19" s="9" t="n">
        <v>25</v>
      </c>
    </row>
    <row r="20">
      <c r="A20" t="inlineStr">
        <is>
          <t>Ginseng</t>
        </is>
      </c>
      <c r="B20" t="inlineStr">
        <is>
          <t>m. tons</t>
        </is>
      </c>
      <c r="C20" s="9" t="n">
        <v>263</v>
      </c>
      <c r="D20" s="9" t="n">
        <v>267</v>
      </c>
      <c r="E20" s="9" t="n">
        <v>274</v>
      </c>
      <c r="F20" s="9" t="n">
        <v>216</v>
      </c>
      <c r="G20" s="9" t="n">
        <v>95</v>
      </c>
      <c r="H20" s="9" t="n">
        <v>61</v>
      </c>
    </row>
    <row r="21">
      <c r="A21" t="inlineStr">
        <is>
          <t>Bean oil</t>
        </is>
      </c>
      <c r="B21" t="inlineStr">
        <is>
          <t>1,000 m.t.</t>
        </is>
      </c>
      <c r="C21" s="9" t="n">
        <v>98</v>
      </c>
      <c r="D21" s="9" t="n">
        <v>89</v>
      </c>
      <c r="E21" s="9" t="n">
        <v>67</v>
      </c>
      <c r="F21" s="9" t="n">
        <v>70</v>
      </c>
      <c r="G21" s="9" t="n">
        <v>57</v>
      </c>
      <c r="H21" s="9" t="n">
        <v>73</v>
      </c>
    </row>
    <row r="22">
      <c r="A22" t="inlineStr">
        <is>
          <t>Perilla oil</t>
        </is>
      </c>
      <c r="B22" t="inlineStr">
        <is>
          <t>„</t>
        </is>
      </c>
      <c r="C22" t="inlineStr">
        <is>
          <t>—</t>
        </is>
      </c>
      <c r="D22" t="inlineStr">
        <is>
          <t>—</t>
        </is>
      </c>
      <c r="E22" s="9" t="n">
        <v>20</v>
      </c>
      <c r="F22" s="9" t="n">
        <v>19</v>
      </c>
      <c r="G22" s="9" t="n">
        <v>13</v>
      </c>
      <c r="H22" s="9" t="n">
        <v>19</v>
      </c>
    </row>
    <row r="23">
      <c r="A23" t="inlineStr">
        <is>
          <t>Ground nuts</t>
        </is>
      </c>
      <c r="B23" t="inlineStr">
        <is>
          <t>„</t>
        </is>
      </c>
      <c r="C23" s="9" t="n">
        <v>94</v>
      </c>
      <c r="D23" s="9" t="n">
        <v>104</v>
      </c>
      <c r="E23" s="9" t="n">
        <v>97</v>
      </c>
      <c r="F23" s="9" t="n">
        <v>93</v>
      </c>
      <c r="G23" s="9" t="n">
        <v>81</v>
      </c>
      <c r="H23" s="9" t="n">
        <v>28</v>
      </c>
    </row>
    <row r="24">
      <c r="A24" t="inlineStr">
        <is>
          <t>Castor seeds</t>
        </is>
      </c>
      <c r="B24" t="inlineStr">
        <is>
          <t>„</t>
        </is>
      </c>
      <c r="C24" t="inlineStr">
        <is>
          <t>—</t>
        </is>
      </c>
      <c r="D24" t="inlineStr">
        <is>
          <t>—</t>
        </is>
      </c>
      <c r="E24" s="9" t="n">
        <v>20</v>
      </c>
      <c r="F24" s="9" t="n">
        <v>27</v>
      </c>
      <c r="G24" s="9" t="n">
        <v>16</v>
      </c>
      <c r="H24" s="9" t="n">
        <v>8</v>
      </c>
    </row>
    <row r="25">
      <c r="A25" t="inlineStr">
        <is>
          <t>Cotton seeds</t>
        </is>
      </c>
      <c r="B25" t="inlineStr">
        <is>
          <t>„</t>
        </is>
      </c>
      <c r="C25" t="inlineStr">
        <is>
          <t>—</t>
        </is>
      </c>
      <c r="D25" t="inlineStr">
        <is>
          <t>—</t>
        </is>
      </c>
      <c r="E25" s="9" t="n">
        <v>15</v>
      </c>
      <c r="F25" s="9" t="n">
        <v>13</v>
      </c>
      <c r="G25" s="9" t="n">
        <v>16</v>
      </c>
      <c r="H25" s="9" t="n">
        <v>6</v>
      </c>
    </row>
    <row r="26">
      <c r="A26" t="inlineStr">
        <is>
          <t>Hemp seeds</t>
        </is>
      </c>
      <c r="B26" t="inlineStr">
        <is>
          <t>„</t>
        </is>
      </c>
      <c r="C26" s="9" t="n">
        <v>65</v>
      </c>
      <c r="D26" s="9" t="n">
        <v>70</v>
      </c>
      <c r="E26" s="9" t="n">
        <v>47</v>
      </c>
      <c r="F26" s="9" t="n">
        <v>24</v>
      </c>
      <c r="G26" s="9" t="n">
        <v>30</v>
      </c>
      <c r="H26" s="9" t="n">
        <v>51</v>
      </c>
    </row>
    <row r="27">
      <c r="A27" t="inlineStr">
        <is>
          <t>Perilla seeds</t>
        </is>
      </c>
      <c r="B27" t="inlineStr">
        <is>
          <t>„</t>
        </is>
      </c>
      <c r="C27" s="9" t="n">
        <v>32</v>
      </c>
      <c r="D27" s="9" t="n">
        <v>64</v>
      </c>
      <c r="E27" s="9" t="n">
        <v>118</v>
      </c>
      <c r="F27" s="9" t="n">
        <v>64</v>
      </c>
      <c r="G27" s="9" t="n">
        <v>49</v>
      </c>
      <c r="H27" s="9" t="n">
        <v>60</v>
      </c>
    </row>
    <row r="28">
      <c r="A28" t="inlineStr">
        <is>
          <t>Sesamum seeds</t>
        </is>
      </c>
      <c r="B28" t="inlineStr">
        <is>
          <t>„</t>
        </is>
      </c>
      <c r="C28" s="9" t="n">
        <v>35</v>
      </c>
      <c r="D28" s="9" t="n">
        <v>17</v>
      </c>
      <c r="E28" s="9" t="n">
        <v>4</v>
      </c>
      <c r="F28" s="9" t="n">
        <v>8</v>
      </c>
      <c r="G28" s="9" t="n">
        <v>9</v>
      </c>
      <c r="H28" s="9" t="n">
        <v>20</v>
      </c>
    </row>
    <row r="29">
      <c r="A29" t="inlineStr">
        <is>
          <t>Coal</t>
        </is>
      </c>
      <c r="B29" t="inlineStr">
        <is>
          <t>„</t>
        </is>
      </c>
      <c r="C29" s="6" t="n">
        <v>4302</v>
      </c>
      <c r="D29" s="6" t="n">
        <v>4182</v>
      </c>
      <c r="E29" s="6" t="n">
        <v>3737</v>
      </c>
      <c r="F29" s="6" t="n">
        <v>3824</v>
      </c>
      <c r="G29" s="6" t="n">
        <v>2953</v>
      </c>
      <c r="H29" s="6" t="n">
        <v>1741</v>
      </c>
    </row>
    <row r="30">
      <c r="A30" t="inlineStr">
        <is>
          <t>Shale oil</t>
        </is>
      </c>
      <c r="B30" t="inlineStr">
        <is>
          <t>„</t>
        </is>
      </c>
      <c r="C30" s="9" t="n">
        <v>39</v>
      </c>
      <c r="D30" s="9" t="n">
        <v>52</v>
      </c>
      <c r="E30" s="9" t="n">
        <v>93</v>
      </c>
      <c r="F30" s="9" t="n">
        <v>61</v>
      </c>
      <c r="G30" t="inlineStr">
        <is>
          <t>—</t>
        </is>
      </c>
      <c r="H30" t="inlineStr">
        <is>
          <t>—</t>
        </is>
      </c>
    </row>
    <row r="31">
      <c r="A31" t="inlineStr">
        <is>
          <t>Raw silk, waste</t>
        </is>
      </c>
      <c r="B31" t="inlineStr">
        <is>
          <t>m. tons</t>
        </is>
      </c>
      <c r="C31" s="6" t="n">
        <v>1489</v>
      </c>
      <c r="D31" s="6" t="n">
        <v>1370</v>
      </c>
      <c r="E31" s="9" t="n">
        <v>998</v>
      </c>
      <c r="F31" s="6" t="n">
        <v>1500</v>
      </c>
      <c r="G31" s="6" t="n">
        <v>1199</v>
      </c>
      <c r="H31" s="9" t="n">
        <v>769</v>
      </c>
    </row>
    <row r="32">
      <c r="A32" t="inlineStr">
        <is>
          <t>Wool, sheep's</t>
        </is>
      </c>
      <c r="B32" t="inlineStr">
        <is>
          <t>„</t>
        </is>
      </c>
      <c r="C32" s="6" t="n">
        <v>1590</v>
      </c>
      <c r="D32" s="6" t="n">
        <v>3090</v>
      </c>
      <c r="E32" s="6" t="n">
        <v>3250</v>
      </c>
      <c r="F32" s="6" t="n">
        <v>2900</v>
      </c>
      <c r="G32" s="6" t="n">
        <v>1441</v>
      </c>
      <c r="H32" s="6" t="n">
        <v>1170</v>
      </c>
    </row>
    <row r="33">
      <c r="A33" t="inlineStr">
        <is>
          <t>Pig Iron &amp; Kentledge</t>
        </is>
      </c>
      <c r="B33" t="inlineStr">
        <is>
          <t>1,000 m.t.</t>
        </is>
      </c>
      <c r="C33" s="9" t="n">
        <v>440</v>
      </c>
      <c r="D33" s="9" t="n">
        <v>432</v>
      </c>
      <c r="E33" s="9" t="n">
        <v>309</v>
      </c>
      <c r="F33" s="9" t="n">
        <v>252</v>
      </c>
      <c r="G33" t="inlineStr">
        <is>
          <t>—</t>
        </is>
      </c>
      <c r="H33" t="inlineStr">
        <is>
          <t>—</t>
        </is>
      </c>
    </row>
    <row r="34">
      <c r="A34" t="inlineStr">
        <is>
          <t>Magnesite</t>
        </is>
      </c>
      <c r="B34" t="inlineStr">
        <is>
          <t>„</t>
        </is>
      </c>
      <c r="C34" t="inlineStr">
        <is>
          <t>—</t>
        </is>
      </c>
      <c r="D34" t="inlineStr">
        <is>
          <t>—</t>
        </is>
      </c>
      <c r="E34" s="9" t="n">
        <v>110</v>
      </c>
      <c r="F34" s="9" t="n">
        <v>166</v>
      </c>
      <c r="G34" s="9" t="n">
        <v>172</v>
      </c>
      <c r="H34" s="9" t="n">
        <v>248</v>
      </c>
    </row>
    <row r="35">
      <c r="A35" t="inlineStr">
        <is>
          <t>Soapstone &amp; Talc</t>
        </is>
      </c>
      <c r="B35" t="inlineStr">
        <is>
          <t>„</t>
        </is>
      </c>
      <c r="C35" t="inlineStr">
        <is>
          <t>—</t>
        </is>
      </c>
      <c r="D35" t="inlineStr">
        <is>
          <t>—</t>
        </is>
      </c>
      <c r="E35" s="9" t="n">
        <v>83</v>
      </c>
      <c r="F35" s="9" t="n">
        <v>112</v>
      </c>
      <c r="G35" s="9" t="n">
        <v>81</v>
      </c>
      <c r="H35" s="9" t="n">
        <v>94</v>
      </c>
    </row>
    <row r="36">
      <c r="A36" t="inlineStr">
        <is>
          <t>Sulphate of Ammonium</t>
        </is>
      </c>
      <c r="B36" t="inlineStr">
        <is>
          <t>„</t>
        </is>
      </c>
      <c r="C36" s="9" t="n">
        <v>29</v>
      </c>
      <c r="D36" s="9" t="n">
        <v>98</v>
      </c>
      <c r="E36" s="9" t="n">
        <v>177</v>
      </c>
      <c r="F36" s="9" t="n">
        <v>156</v>
      </c>
      <c r="G36" s="9" t="n">
        <v>212</v>
      </c>
      <c r="H36" s="9" t="n">
        <v>128</v>
      </c>
    </row>
    <row r="37">
      <c r="A37" t="inlineStr">
        <is>
          <t>Salt</t>
        </is>
      </c>
      <c r="B37" t="inlineStr">
        <is>
          <t>„</t>
        </is>
      </c>
      <c r="C37" s="9" t="n">
        <v>349</v>
      </c>
      <c r="D37" s="9" t="n">
        <v>280</v>
      </c>
      <c r="E37" s="9" t="n">
        <v>407</v>
      </c>
      <c r="F37" s="9" t="n">
        <v>605</v>
      </c>
      <c r="G37" s="9" t="n">
        <v>405</v>
      </c>
      <c r="H37" s="9" t="n">
        <v>463</v>
      </c>
    </row>
    <row r="39">
      <c r="A39" s="2" t="inlineStr">
        <is>
          <t>(B) Imports</t>
        </is>
      </c>
    </row>
    <row r="40">
      <c r="A40" s="5" t="inlineStr">
        <is>
          <t>Articles</t>
        </is>
      </c>
      <c r="B40" s="5" t="inlineStr">
        <is>
          <t>Unit</t>
        </is>
      </c>
      <c r="C40" s="5" t="inlineStr">
        <is>
          <t>1934</t>
        </is>
      </c>
      <c r="D40" s="5" t="inlineStr">
        <is>
          <t>1935</t>
        </is>
      </c>
      <c r="E40" s="5" t="inlineStr">
        <is>
          <t>1936</t>
        </is>
      </c>
      <c r="F40" s="5" t="inlineStr">
        <is>
          <t>1937</t>
        </is>
      </c>
      <c r="G40" s="5" t="inlineStr">
        <is>
          <t>1938</t>
        </is>
      </c>
      <c r="H40" s="5" t="inlineStr">
        <is>
          <t>1939</t>
        </is>
      </c>
    </row>
    <row r="41">
      <c r="A41" t="inlineStr">
        <is>
          <t>Raw Cotton</t>
        </is>
      </c>
      <c r="B41" t="inlineStr">
        <is>
          <t>m. tons</t>
        </is>
      </c>
      <c r="C41" s="6" t="n">
        <v>17001</v>
      </c>
      <c r="D41" s="6" t="n">
        <v>12300</v>
      </c>
      <c r="E41" s="6" t="n">
        <v>23200</v>
      </c>
      <c r="F41" s="6" t="n">
        <v>37200</v>
      </c>
      <c r="G41" s="6" t="n">
        <v>48151</v>
      </c>
      <c r="H41" s="6" t="n">
        <v>8798</v>
      </c>
    </row>
    <row r="42">
      <c r="A42" t="inlineStr">
        <is>
          <t>Cotton yarn</t>
        </is>
      </c>
      <c r="B42" t="inlineStr">
        <is>
          <t>„</t>
        </is>
      </c>
      <c r="C42" s="6" t="n">
        <v>10015</v>
      </c>
      <c r="D42" s="9" t="n">
        <v>590</v>
      </c>
      <c r="E42" s="9" t="n">
        <v>538</v>
      </c>
      <c r="F42" s="9" t="n">
        <v>612</v>
      </c>
      <c r="G42" s="6" t="n">
        <v>3043</v>
      </c>
      <c r="H42" s="6" t="n">
        <v>1911</v>
      </c>
    </row>
    <row r="43">
      <c r="A43" t="inlineStr">
        <is>
          <t>Raw Jute</t>
        </is>
      </c>
      <c r="B43" t="inlineStr">
        <is>
          <t>„</t>
        </is>
      </c>
      <c r="C43" t="inlineStr">
        <is>
          <t>—</t>
        </is>
      </c>
      <c r="D43" t="inlineStr">
        <is>
          <t>—</t>
        </is>
      </c>
      <c r="E43" s="6" t="n">
        <v>11900</v>
      </c>
      <c r="F43" s="6" t="n">
        <v>13400</v>
      </c>
      <c r="G43" s="6" t="n">
        <v>22217</v>
      </c>
      <c r="H43" s="6" t="n">
        <v>14056</v>
      </c>
    </row>
    <row r="44">
      <c r="A44" t="inlineStr">
        <is>
          <t>Gunny Bags</t>
        </is>
      </c>
      <c r="B44" t="inlineStr">
        <is>
          <t>1,000 m.t.</t>
        </is>
      </c>
      <c r="C44" s="9" t="n">
        <v>56</v>
      </c>
      <c r="D44" s="9" t="n">
        <v>55</v>
      </c>
      <c r="E44" s="9" t="n">
        <v>49</v>
      </c>
      <c r="F44" s="9" t="n">
        <v>63</v>
      </c>
      <c r="G44" t="inlineStr">
        <is>
          <t>62*</t>
        </is>
      </c>
      <c r="H44" t="inlineStr">
        <is>
          <t>67*</t>
        </is>
      </c>
    </row>
    <row r="45">
      <c r="A45" t="inlineStr">
        <is>
          <t>Woolen yarn &amp; cord</t>
        </is>
      </c>
      <c r="B45" t="inlineStr">
        <is>
          <t>m. tons</t>
        </is>
      </c>
      <c r="C45" t="inlineStr">
        <is>
          <t>—</t>
        </is>
      </c>
      <c r="D45" t="inlineStr">
        <is>
          <t>—</t>
        </is>
      </c>
      <c r="E45" s="9" t="n">
        <v>76</v>
      </c>
      <c r="F45" s="9" t="n">
        <v>255</v>
      </c>
      <c r="G45" s="6" t="n">
        <v>1253</v>
      </c>
      <c r="H45" s="9" t="n">
        <v>729</v>
      </c>
    </row>
    <row r="46">
      <c r="A46" t="inlineStr">
        <is>
          <t>Artificial silk, floss</t>
        </is>
      </c>
      <c r="B46" t="inlineStr">
        <is>
          <t>„</t>
        </is>
      </c>
      <c r="C46" s="9" t="n">
        <v>400</v>
      </c>
      <c r="D46" s="9" t="n">
        <v>335</v>
      </c>
      <c r="E46" s="9" t="n">
        <v>720</v>
      </c>
      <c r="F46" s="9" t="n">
        <v>142</v>
      </c>
      <c r="G46" t="inlineStr">
        <is>
          <t>—</t>
        </is>
      </c>
      <c r="H46" t="inlineStr">
        <is>
          <t>—</t>
        </is>
      </c>
    </row>
    <row r="47">
      <c r="A47" t="inlineStr">
        <is>
          <t>Aluminium</t>
        </is>
      </c>
      <c r="B47" t="inlineStr">
        <is>
          <t>„</t>
        </is>
      </c>
      <c r="C47" t="inlineStr">
        <is>
          <t>—</t>
        </is>
      </c>
      <c r="D47" t="inlineStr">
        <is>
          <t>—</t>
        </is>
      </c>
      <c r="E47" s="9" t="n">
        <v>568</v>
      </c>
      <c r="F47" s="9" t="n">
        <v>950</v>
      </c>
      <c r="G47" t="inlineStr">
        <is>
          <t>2,840†</t>
        </is>
      </c>
      <c r="H47" t="inlineStr">
        <is>
          <t>1,006†</t>
        </is>
      </c>
    </row>
    <row r="48">
      <c r="A48" t="inlineStr">
        <is>
          <t>Copper</t>
        </is>
      </c>
      <c r="B48" t="inlineStr">
        <is>
          <t>„</t>
        </is>
      </c>
      <c r="C48" s="6" t="n">
        <v>5650</v>
      </c>
      <c r="D48" s="6" t="n">
        <v>5655</v>
      </c>
      <c r="E48" s="6" t="n">
        <v>2960</v>
      </c>
      <c r="F48" s="6" t="n">
        <v>5500</v>
      </c>
      <c r="G48" t="inlineStr">
        <is>
          <t>9,242†</t>
        </is>
      </c>
      <c r="H48" t="inlineStr">
        <is>
          <t>9,904†</t>
        </is>
      </c>
    </row>
    <row r="49">
      <c r="A49" t="inlineStr">
        <is>
          <t>Lead</t>
        </is>
      </c>
      <c r="B49" t="inlineStr">
        <is>
          <t>„</t>
        </is>
      </c>
      <c r="C49" t="inlineStr">
        <is>
          <t>—</t>
        </is>
      </c>
      <c r="D49" t="inlineStr">
        <is>
          <t>—</t>
        </is>
      </c>
      <c r="E49" s="6" t="n">
        <v>4235</v>
      </c>
      <c r="F49" s="6" t="n">
        <v>4659</v>
      </c>
      <c r="G49" t="inlineStr">
        <is>
          <t>2,540†</t>
        </is>
      </c>
      <c r="H49" t="inlineStr">
        <is>
          <t>2,537†</t>
        </is>
      </c>
    </row>
    <row r="50">
      <c r="A50" t="inlineStr">
        <is>
          <t>Tea</t>
        </is>
      </c>
      <c r="B50" t="inlineStr">
        <is>
          <t>„</t>
        </is>
      </c>
      <c r="C50" s="6" t="n">
        <v>4718</v>
      </c>
      <c r="D50" s="6" t="n">
        <v>4320</v>
      </c>
      <c r="E50" s="6" t="n">
        <v>4900</v>
      </c>
      <c r="F50" s="6" t="n">
        <v>5220</v>
      </c>
      <c r="G50" s="6" t="n">
        <v>7642</v>
      </c>
      <c r="H50" s="6" t="n">
        <v>9926</v>
      </c>
    </row>
    <row r="51">
      <c r="A51" t="inlineStr">
        <is>
          <t>Rice &amp; paddy</t>
        </is>
      </c>
      <c r="B51" t="inlineStr">
        <is>
          <t>1,000 m.t.</t>
        </is>
      </c>
      <c r="C51" s="9" t="n">
        <v>74</v>
      </c>
      <c r="D51" s="9" t="n">
        <v>81</v>
      </c>
      <c r="E51" s="9" t="n">
        <v>107</v>
      </c>
      <c r="F51" s="9" t="n">
        <v>68</v>
      </c>
      <c r="G51" s="9" t="n">
        <v>58</v>
      </c>
      <c r="H51" s="9" t="n">
        <v>79</v>
      </c>
    </row>
    <row r="52">
      <c r="A52" t="inlineStr">
        <is>
          <t>Wheat flour</t>
        </is>
      </c>
      <c r="B52" t="inlineStr">
        <is>
          <t>„</t>
        </is>
      </c>
      <c r="C52" s="9" t="n">
        <v>520</v>
      </c>
      <c r="D52" s="9" t="n">
        <v>465</v>
      </c>
      <c r="E52" s="9" t="n">
        <v>210</v>
      </c>
      <c r="F52" s="9" t="n">
        <v>79</v>
      </c>
      <c r="G52" s="9" t="n">
        <v>240</v>
      </c>
      <c r="H52" s="9" t="n">
        <v>299</v>
      </c>
    </row>
    <row r="53">
      <c r="A53" t="inlineStr">
        <is>
          <t>Sugar</t>
        </is>
      </c>
      <c r="B53" t="inlineStr">
        <is>
          <t>„</t>
        </is>
      </c>
      <c r="C53" s="9" t="n">
        <v>93</v>
      </c>
      <c r="D53" s="9" t="n">
        <v>107</v>
      </c>
      <c r="E53" s="9" t="n">
        <v>223</v>
      </c>
      <c r="F53" s="9" t="n">
        <v>168</v>
      </c>
      <c r="G53" s="9" t="n">
        <v>236</v>
      </c>
      <c r="H53" s="9" t="n">
        <v>184</v>
      </c>
    </row>
    <row r="54">
      <c r="A54" t="inlineStr">
        <is>
          <t>Leaf tobacco</t>
        </is>
      </c>
      <c r="B54" t="inlineStr">
        <is>
          <t>m. tons</t>
        </is>
      </c>
      <c r="C54" s="6" t="n">
        <v>17050</v>
      </c>
      <c r="D54" s="6" t="n">
        <v>9720</v>
      </c>
      <c r="E54" s="6" t="n">
        <v>15200</v>
      </c>
      <c r="F54" s="6" t="n">
        <v>12900</v>
      </c>
      <c r="G54" s="6" t="n">
        <v>12378</v>
      </c>
      <c r="H54" s="6" t="n">
        <v>9875</v>
      </c>
    </row>
    <row r="55">
      <c r="A55" t="inlineStr">
        <is>
          <t>Gasoline, etc.</t>
        </is>
      </c>
      <c r="B55" t="inlineStr">
        <is>
          <t>1,000 U.S. gallons</t>
        </is>
      </c>
      <c r="C55" s="6" t="n">
        <v>19565</v>
      </c>
      <c r="D55" s="6" t="n">
        <v>9013</v>
      </c>
      <c r="E55" s="6" t="n">
        <v>3890</v>
      </c>
      <c r="F55" s="6" t="n">
        <v>17567</v>
      </c>
      <c r="G55" t="inlineStr">
        <is>
          <t>—</t>
        </is>
      </c>
      <c r="H55" t="inlineStr">
        <is>
          <t>—</t>
        </is>
      </c>
    </row>
    <row r="56">
      <c r="A56" t="inlineStr">
        <is>
          <t>Kerosene oil</t>
        </is>
      </c>
      <c r="B56" t="inlineStr">
        <is>
          <t>„</t>
        </is>
      </c>
      <c r="C56" s="6" t="n">
        <v>24754</v>
      </c>
      <c r="D56" s="6" t="n">
        <v>4047</v>
      </c>
      <c r="E56" s="6" t="n">
        <v>3746</v>
      </c>
      <c r="F56" s="6" t="n">
        <v>22853</v>
      </c>
      <c r="G56" t="inlineStr">
        <is>
          <t>—</t>
        </is>
      </c>
      <c r="H56" t="inlineStr">
        <is>
          <t>—</t>
        </is>
      </c>
    </row>
    <row r="57">
      <c r="A57" t="inlineStr">
        <is>
          <t>Lubricating oil</t>
        </is>
      </c>
      <c r="B57" t="inlineStr">
        <is>
          <t>„</t>
        </is>
      </c>
      <c r="C57" s="6" t="n">
        <v>4839</v>
      </c>
      <c r="D57" s="6" t="n">
        <v>5518</v>
      </c>
      <c r="E57" s="6" t="n">
        <v>5326</v>
      </c>
      <c r="F57" s="6" t="n">
        <v>5343</v>
      </c>
      <c r="G57" t="inlineStr">
        <is>
          <t>—</t>
        </is>
      </c>
      <c r="H57" t="inlineStr">
        <is>
          <t>—</t>
        </is>
      </c>
    </row>
    <row r="58">
      <c r="A58" t="inlineStr">
        <is>
          <t>Crude oil, mineral</t>
        </is>
      </c>
      <c r="B58" t="inlineStr">
        <is>
          <t>1,000 m.t.</t>
        </is>
      </c>
      <c r="C58" t="inlineStr">
        <is>
          <t>—</t>
        </is>
      </c>
      <c r="D58" t="inlineStr">
        <is>
          <t>—</t>
        </is>
      </c>
      <c r="E58" s="9" t="n">
        <v>118</v>
      </c>
      <c r="F58" s="9" t="n">
        <v>155</v>
      </c>
      <c r="G58" t="inlineStr">
        <is>
          <t>—</t>
        </is>
      </c>
      <c r="H58" t="inlineStr">
        <is>
          <t>—</t>
        </is>
      </c>
    </row>
    <row r="59">
      <c r="A59" t="inlineStr">
        <is>
          <t>Sodium &amp; Potassium Hydroxide</t>
        </is>
      </c>
      <c r="B59" t="inlineStr">
        <is>
          <t>m. tons</t>
        </is>
      </c>
      <c r="C59" t="inlineStr">
        <is>
          <t>—</t>
        </is>
      </c>
      <c r="D59" t="inlineStr">
        <is>
          <t>—</t>
        </is>
      </c>
      <c r="E59" t="inlineStr">
        <is>
          <t>—</t>
        </is>
      </c>
      <c r="F59" t="inlineStr">
        <is>
          <t>—</t>
        </is>
      </c>
      <c r="G59" s="6" t="n">
        <v>6968</v>
      </c>
      <c r="H59" s="6" t="n">
        <v>6876</v>
      </c>
    </row>
    <row r="60">
      <c r="A60" t="inlineStr">
        <is>
          <t>Fresh fruits</t>
        </is>
      </c>
      <c r="B60" t="inlineStr">
        <is>
          <t>1,000 m.t.</t>
        </is>
      </c>
      <c r="C60" t="inlineStr">
        <is>
          <t>—</t>
        </is>
      </c>
      <c r="D60" t="inlineStr">
        <is>
          <t>—</t>
        </is>
      </c>
      <c r="E60" t="inlineStr">
        <is>
          <t>—</t>
        </is>
      </c>
      <c r="F60" t="inlineStr">
        <is>
          <t>—</t>
        </is>
      </c>
      <c r="G60" s="9" t="n">
        <v>77</v>
      </c>
      <c r="H60" s="9" t="n">
        <v>105</v>
      </c>
    </row>
    <row r="61">
      <c r="A61" t="inlineStr">
        <is>
          <t>Fire &amp; acid proof</t>
        </is>
      </c>
      <c r="B61" t="inlineStr">
        <is>
          <t>„</t>
        </is>
      </c>
      <c r="C61" t="inlineStr">
        <is>
          <t>—</t>
        </is>
      </c>
      <c r="D61" t="inlineStr">
        <is>
          <t>—</t>
        </is>
      </c>
      <c r="E61" t="inlineStr">
        <is>
          <t>—</t>
        </is>
      </c>
      <c r="F61" t="inlineStr">
        <is>
          <t>—</t>
        </is>
      </c>
      <c r="G61" s="9" t="n">
        <v>20</v>
      </c>
      <c r="H61" s="9" t="n">
        <v>29</v>
      </c>
    </row>
    <row r="63">
      <c r="A63" s="2" t="inlineStr">
        <is>
          <t>Footnotes</t>
        </is>
      </c>
    </row>
    <row r="64">
      <c r="A64" t="inlineStr">
        <is>
          <t>Note: * 1,000 pieces    † in ¥1,000</t>
        </is>
      </c>
    </row>
    <row r="66">
      <c r="A66" s="2" t="inlineStr">
        <is>
          <t>Transcriber's notes</t>
        </is>
      </c>
    </row>
    <row r="67">
      <c r="A67" t="inlineStr">
        <is>
          <t>Units printed as '( m. tons )', '(1,000 m.t.)', '(1,000 U.S. gallons)' and ditto '( „ )'; ditto marks kept as '„' (meaning same unit as the row above). The '*' and '†' marks override the unit for those cells (see note).</t>
        </is>
      </c>
    </row>
    <row r="68">
      <c r="A68" t="inlineStr">
        <is>
          <t>(B) Imports runs from p. 318 (Raw Cotton to Gunny Bags) onto p. 319 headed '(Continued)'.</t>
        </is>
      </c>
    </row>
    <row r="69">
      <c r="A69" t="inlineStr">
        <is>
          <t>p. 319: the page is skewed, so stub labels sit up to half a line below their figures; the 10 figure rows between 'Woolen yarn &amp; cord' and 'Gasoline' were matched in order to the 9 labels + units (Artificial silk ... Leaf tobacco), consistent with the unit column (e.g. '(1,000 m.t.)' on the Rice &amp; paddy line, '( m. tons )' on the Leaf tobacco line).</t>
        </is>
      </c>
    </row>
    <row r="70">
      <c r="A70" t="inlineStr">
        <is>
          <t>(B) Sodium &amp; Potassium Hydroxide 1938 '6,968': first digit slightly damaged, reads as 6.</t>
        </is>
      </c>
    </row>
    <row r="71">
      <c r="A71" t="inlineStr">
        <is>
          <t>(A) Wheat 1934: printed as a short broken dash, transcribed '—'. Horse Hair 'Hąir' is a type blemish.</t>
        </is>
      </c>
    </row>
    <row r="72">
      <c r="A72" t="inlineStr">
        <is>
          <t>No totals printed.</t>
        </is>
      </c>
    </row>
  </sheetData>
  <hyperlinks>
    <hyperlink xmlns:r="http://schemas.openxmlformats.org/officeDocument/2006/relationships" ref="A3" r:id="rId1"/>
  </hyperlink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8. International Balance of Payments</t>
        </is>
      </c>
    </row>
    <row r="2">
      <c r="A2" t="inlineStr">
        <is>
          <t>Foreign Trade · printed pp. 319, 320</t>
        </is>
      </c>
    </row>
    <row r="3">
      <c r="A3" t="inlineStr">
        <is>
          <t>(Unit: M¥1,000)</t>
        </is>
      </c>
    </row>
    <row r="4">
      <c r="A4" s="3" t="inlineStr">
        <is>
          <t>← Contents</t>
        </is>
      </c>
    </row>
    <row r="6">
      <c r="A6" s="2" t="inlineStr">
        <is>
          <t>(A) Assets</t>
        </is>
      </c>
    </row>
    <row r="7">
      <c r="A7" s="5" t="inlineStr">
        <is>
          <t>Item</t>
        </is>
      </c>
      <c r="B7" s="5" t="inlineStr">
        <is>
          <t>1934</t>
        </is>
      </c>
      <c r="C7" s="5" t="inlineStr">
        <is>
          <t>1935</t>
        </is>
      </c>
      <c r="D7" s="5" t="inlineStr">
        <is>
          <t>1936</t>
        </is>
      </c>
      <c r="E7" s="5" t="inlineStr">
        <is>
          <t>1937</t>
        </is>
      </c>
    </row>
    <row r="8">
      <c r="A8" t="inlineStr">
        <is>
          <t>Total Inward Accounts:</t>
        </is>
      </c>
      <c r="B8" s="6" t="n">
        <v>898362</v>
      </c>
      <c r="C8" s="6" t="n">
        <v>1043939</v>
      </c>
      <c r="D8" s="6" t="n">
        <v>1361268</v>
      </c>
      <c r="E8" s="6" t="n">
        <v>1432187</v>
      </c>
    </row>
    <row r="9">
      <c r="A9" t="inlineStr">
        <is>
          <t>Of which Visible Trade (Export)</t>
        </is>
      </c>
      <c r="B9" s="6" t="n">
        <v>448427</v>
      </c>
      <c r="C9" s="6" t="n">
        <v>421078</v>
      </c>
      <c r="D9" s="6" t="n">
        <v>602659</v>
      </c>
      <c r="E9" s="6" t="n">
        <v>645298</v>
      </c>
    </row>
    <row r="10">
      <c r="A10" t="inlineStr">
        <is>
          <t>Of which Invisible Trade</t>
        </is>
      </c>
      <c r="B10" t="inlineStr"/>
      <c r="C10" t="inlineStr"/>
      <c r="D10" t="inlineStr"/>
      <c r="E10" t="inlineStr"/>
    </row>
    <row r="11">
      <c r="A11" t="inlineStr">
        <is>
          <t>(a) Ordinary receipts:</t>
        </is>
      </c>
      <c r="B11" t="inlineStr"/>
      <c r="C11" t="inlineStr"/>
      <c r="D11" t="inlineStr"/>
      <c r="E11" t="inlineStr"/>
    </row>
    <row r="12">
      <c r="A12" t="inlineStr">
        <is>
          <t>Interest and dividends and foreign securities</t>
        </is>
      </c>
      <c r="B12" s="6" t="n">
        <v>2654</v>
      </c>
      <c r="C12" s="6" t="n">
        <v>4378</v>
      </c>
      <c r="D12" s="6" t="n">
        <v>2736</v>
      </c>
      <c r="E12" s="6" t="n">
        <v>3408</v>
      </c>
    </row>
    <row r="13">
      <c r="A13" t="inlineStr">
        <is>
          <t>Interest on overseas deposits and loans to foreign countries</t>
        </is>
      </c>
      <c r="B13" s="6" t="n">
        <v>5146</v>
      </c>
      <c r="C13" s="6" t="n">
        <v>4658</v>
      </c>
      <c r="D13" s="6" t="n">
        <v>7369</v>
      </c>
      <c r="E13" s="6" t="n">
        <v>7589</v>
      </c>
    </row>
    <row r="14">
      <c r="A14" t="inlineStr">
        <is>
          <t>Net profit from overseas enterprise</t>
        </is>
      </c>
      <c r="B14" s="9" t="n">
        <v>564</v>
      </c>
      <c r="C14" s="9" t="n">
        <v>663</v>
      </c>
      <c r="D14" s="6" t="n">
        <v>1817</v>
      </c>
      <c r="E14" s="6" t="n">
        <v>1352</v>
      </c>
    </row>
    <row r="15">
      <c r="A15" t="inlineStr">
        <is>
          <t>In connection with shipping</t>
        </is>
      </c>
      <c r="B15" s="6" t="n">
        <v>18505</v>
      </c>
      <c r="C15" s="6" t="n">
        <v>19334</v>
      </c>
      <c r="D15" s="6" t="n">
        <v>18270</v>
      </c>
      <c r="E15" s="6" t="n">
        <v>28305</v>
      </c>
    </row>
    <row r="16">
      <c r="A16" t="inlineStr">
        <is>
          <t>In connection with insurance</t>
        </is>
      </c>
      <c r="B16" s="6" t="n">
        <v>4480</v>
      </c>
      <c r="C16" s="6" t="n">
        <v>6680</v>
      </c>
      <c r="D16" s="6" t="n">
        <v>8104</v>
      </c>
      <c r="E16" s="6" t="n">
        <v>10215</v>
      </c>
    </row>
    <row r="17">
      <c r="A17" t="inlineStr">
        <is>
          <t>Total incl. Others</t>
        </is>
      </c>
      <c r="B17" s="6" t="n">
        <v>127446</v>
      </c>
      <c r="C17" s="6" t="n">
        <v>163081</v>
      </c>
      <c r="D17" s="6" t="n">
        <v>196257</v>
      </c>
      <c r="E17" s="6" t="n">
        <v>249994</v>
      </c>
    </row>
    <row r="18">
      <c r="A18" t="inlineStr">
        <is>
          <t>(b) Special receipts:</t>
        </is>
      </c>
      <c r="B18" t="inlineStr"/>
      <c r="C18" t="inlineStr"/>
      <c r="D18" t="inlineStr"/>
      <c r="E18" t="inlineStr"/>
    </row>
    <row r="19">
      <c r="A19" t="inlineStr">
        <is>
          <t>Foreign capital invested in Manchoukuo</t>
        </is>
      </c>
      <c r="B19" s="6" t="n">
        <v>285175</v>
      </c>
      <c r="C19" s="6" t="n">
        <v>404030</v>
      </c>
      <c r="D19" s="6" t="n">
        <v>495127</v>
      </c>
      <c r="E19" s="6" t="n">
        <v>476943</v>
      </c>
    </row>
    <row r="20">
      <c r="A20" t="inlineStr">
        <is>
          <t>Collection of capital invested abroad</t>
        </is>
      </c>
      <c r="B20" s="6" t="n">
        <v>37314</v>
      </c>
      <c r="C20" s="6" t="n">
        <v>55750</v>
      </c>
      <c r="D20" s="6" t="n">
        <v>67125</v>
      </c>
      <c r="E20" s="6" t="n">
        <v>59952</v>
      </c>
    </row>
    <row r="21">
      <c r="A21" t="inlineStr">
        <is>
          <t>Total</t>
        </is>
      </c>
      <c r="B21" s="6" t="n">
        <v>322489</v>
      </c>
      <c r="C21" s="6" t="n">
        <v>459780</v>
      </c>
      <c r="D21" s="6" t="n">
        <v>562252</v>
      </c>
      <c r="E21" s="6" t="n">
        <v>536895</v>
      </c>
    </row>
    <row r="22">
      <c r="A22" t="inlineStr">
        <is>
          <t>Total of invisible trade</t>
        </is>
      </c>
      <c r="B22" s="6" t="n">
        <v>449935</v>
      </c>
      <c r="C22" s="6" t="n">
        <v>622861</v>
      </c>
      <c r="D22" s="6" t="n">
        <v>758509</v>
      </c>
      <c r="E22" s="6" t="n">
        <v>786889</v>
      </c>
    </row>
    <row r="24">
      <c r="A24" s="2" t="inlineStr">
        <is>
          <t>(B) Liabilities</t>
        </is>
      </c>
    </row>
    <row r="25">
      <c r="A25" s="5" t="inlineStr">
        <is>
          <t>Item</t>
        </is>
      </c>
      <c r="B25" s="5" t="inlineStr">
        <is>
          <t>1934</t>
        </is>
      </c>
      <c r="C25" s="5" t="inlineStr">
        <is>
          <t>1935</t>
        </is>
      </c>
      <c r="D25" s="5" t="inlineStr">
        <is>
          <t>1936</t>
        </is>
      </c>
      <c r="E25" s="5" t="inlineStr">
        <is>
          <t>1937</t>
        </is>
      </c>
    </row>
    <row r="26">
      <c r="A26" t="inlineStr">
        <is>
          <t>Total Outward Accounts:</t>
        </is>
      </c>
      <c r="B26" s="6" t="n">
        <v>802913</v>
      </c>
      <c r="C26" s="6" t="n">
        <v>946977</v>
      </c>
      <c r="D26" s="6" t="n">
        <v>1283408</v>
      </c>
      <c r="E26" s="6" t="n">
        <v>1401273</v>
      </c>
    </row>
    <row r="27">
      <c r="A27" t="inlineStr">
        <is>
          <t>Of which Visible Trade (Import):</t>
        </is>
      </c>
      <c r="B27" s="6" t="n">
        <v>593562</v>
      </c>
      <c r="C27" s="6" t="n">
        <v>604149</v>
      </c>
      <c r="D27" s="6" t="n">
        <v>691830</v>
      </c>
      <c r="E27" s="6" t="n">
        <v>887412</v>
      </c>
    </row>
    <row r="28">
      <c r="A28" t="inlineStr">
        <is>
          <t>Of which Invisible Trade</t>
        </is>
      </c>
      <c r="B28" t="inlineStr"/>
      <c r="C28" t="inlineStr"/>
      <c r="D28" t="inlineStr"/>
      <c r="E28" t="inlineStr"/>
    </row>
    <row r="29">
      <c r="A29" t="inlineStr">
        <is>
          <t>(a) Ordinary payment:</t>
        </is>
      </c>
      <c r="B29" t="inlineStr"/>
      <c r="C29" t="inlineStr"/>
      <c r="D29" t="inlineStr"/>
      <c r="E29" t="inlineStr"/>
    </row>
    <row r="30">
      <c r="A30" t="inlineStr">
        <is>
          <t>Interest and dividends on Manchoukuo securities possessed by foreign nationals</t>
        </is>
      </c>
      <c r="B30" s="6" t="n">
        <v>55089</v>
      </c>
      <c r="C30" s="6" t="n">
        <v>72840</v>
      </c>
      <c r="D30" s="6" t="n">
        <v>86194</v>
      </c>
      <c r="E30" s="6" t="n">
        <v>98585</v>
      </c>
    </row>
    <row r="31">
      <c r="A31" t="inlineStr">
        <is>
          <t>Interest on foreign loans and deposits</t>
        </is>
      </c>
      <c r="B31" s="6" t="n">
        <v>5653</v>
      </c>
      <c r="C31" s="6" t="n">
        <v>7730</v>
      </c>
      <c r="D31" s="6" t="n">
        <v>8486</v>
      </c>
      <c r="E31" s="6" t="n">
        <v>12577</v>
      </c>
    </row>
    <row r="32">
      <c r="A32" t="inlineStr">
        <is>
          <t>Net profit from foreign enterprise in Manchoukuo</t>
        </is>
      </c>
      <c r="B32" s="6" t="n">
        <v>5584</v>
      </c>
      <c r="C32" s="6" t="n">
        <v>11076</v>
      </c>
      <c r="D32" s="6" t="n">
        <v>8692</v>
      </c>
      <c r="E32" s="6" t="n">
        <v>10199</v>
      </c>
    </row>
    <row r="33">
      <c r="A33" t="inlineStr">
        <is>
          <t>Funds taken out by emigrants and returning immigrants' remittance</t>
        </is>
      </c>
      <c r="B33" s="6" t="n">
        <v>40115</v>
      </c>
      <c r="C33" s="6" t="n">
        <v>41893</v>
      </c>
      <c r="D33" s="6" t="n">
        <v>44628</v>
      </c>
      <c r="E33" s="6" t="n">
        <v>41407</v>
      </c>
    </row>
    <row r="34">
      <c r="A34" t="inlineStr">
        <is>
          <t>Payment in connection with shipping</t>
        </is>
      </c>
      <c r="B34" s="6" t="n">
        <v>5817</v>
      </c>
      <c r="C34" s="6" t="n">
        <v>4055</v>
      </c>
      <c r="D34" s="6" t="n">
        <v>4420</v>
      </c>
      <c r="E34" s="6" t="n">
        <v>7297</v>
      </c>
    </row>
    <row r="35">
      <c r="A35" t="inlineStr">
        <is>
          <t>Payment in connection with insurance</t>
        </is>
      </c>
      <c r="B35" s="6" t="n">
        <v>12619</v>
      </c>
      <c r="C35" s="6" t="n">
        <v>14866</v>
      </c>
      <c r="D35" s="6" t="n">
        <v>18636</v>
      </c>
      <c r="E35" s="6" t="n">
        <v>21918</v>
      </c>
    </row>
    <row r="36">
      <c r="A36" t="inlineStr">
        <is>
          <t>Amounts expended by Manchoukuoans abroad</t>
        </is>
      </c>
      <c r="B36" s="6" t="n">
        <v>21042</v>
      </c>
      <c r="C36" s="6" t="n">
        <v>25289</v>
      </c>
      <c r="D36" s="6" t="n">
        <v>37617</v>
      </c>
      <c r="E36" s="6" t="n">
        <v>39396</v>
      </c>
    </row>
    <row r="37">
      <c r="A37" t="inlineStr">
        <is>
          <t>Other payments by Government</t>
        </is>
      </c>
      <c r="B37" s="6" t="n">
        <v>3763</v>
      </c>
      <c r="C37" s="6" t="n">
        <v>4605</v>
      </c>
      <c r="D37" s="6" t="n">
        <v>8347</v>
      </c>
      <c r="E37" s="6" t="n">
        <v>32081</v>
      </c>
    </row>
    <row r="38">
      <c r="A38" t="inlineStr">
        <is>
          <t>Total</t>
        </is>
      </c>
      <c r="B38" s="6" t="n">
        <v>152874</v>
      </c>
      <c r="C38" s="6" t="n">
        <v>183873</v>
      </c>
      <c r="D38" s="6" t="n">
        <v>244854</v>
      </c>
      <c r="E38" s="6" t="n">
        <v>283165</v>
      </c>
    </row>
    <row r="39">
      <c r="A39" t="inlineStr">
        <is>
          <t>(b) Special payment:</t>
        </is>
      </c>
      <c r="B39" t="inlineStr"/>
      <c r="C39" t="inlineStr"/>
      <c r="D39" t="inlineStr"/>
      <c r="E39" t="inlineStr"/>
    </row>
    <row r="40">
      <c r="A40" t="inlineStr">
        <is>
          <t>Investment abroad</t>
        </is>
      </c>
      <c r="B40" s="6" t="n">
        <v>50487</v>
      </c>
      <c r="C40" s="6" t="n">
        <v>72704</v>
      </c>
      <c r="D40" s="6" t="n">
        <v>64971</v>
      </c>
      <c r="E40" s="6" t="n">
        <v>106854</v>
      </c>
    </row>
    <row r="41">
      <c r="A41" t="inlineStr">
        <is>
          <t>Collection of foreign capital invested in Manchoukuo</t>
        </is>
      </c>
      <c r="B41" s="6" t="n">
        <v>5990</v>
      </c>
      <c r="C41" s="6" t="n">
        <v>20811</v>
      </c>
      <c r="D41" s="6" t="n">
        <v>236056</v>
      </c>
      <c r="E41" s="6" t="n">
        <v>88985</v>
      </c>
    </row>
    <row r="42">
      <c r="A42" t="inlineStr">
        <is>
          <t>Total incl. Others</t>
        </is>
      </c>
      <c r="B42" s="6" t="n">
        <v>56477</v>
      </c>
      <c r="C42" s="6" t="n">
        <v>158955</v>
      </c>
      <c r="D42" s="6" t="n">
        <v>346724</v>
      </c>
      <c r="E42" s="6" t="n">
        <v>230696</v>
      </c>
    </row>
    <row r="43">
      <c r="A43" t="inlineStr">
        <is>
          <t>Total of Invisible Trade</t>
        </is>
      </c>
      <c r="B43" s="6" t="n">
        <v>209351</v>
      </c>
      <c r="C43" s="6" t="n">
        <v>342828</v>
      </c>
      <c r="D43" s="6" t="n">
        <v>591528</v>
      </c>
      <c r="E43" s="6" t="n">
        <v>513861</v>
      </c>
    </row>
    <row r="44">
      <c r="A44" t="inlineStr">
        <is>
          <t>Balance (receipts)</t>
        </is>
      </c>
      <c r="B44" s="6" t="n">
        <v>95449</v>
      </c>
      <c r="C44" s="6" t="n">
        <v>96962</v>
      </c>
      <c r="D44" s="6" t="n">
        <v>77858</v>
      </c>
      <c r="E44" s="6" t="n">
        <v>30914</v>
      </c>
    </row>
    <row r="46">
      <c r="A46" s="2" t="inlineStr">
        <is>
          <t>Transcriber's notes</t>
        </is>
      </c>
    </row>
    <row r="47">
      <c r="A47" t="inlineStr">
        <is>
          <t>(a) Ordinary receipts: listed items sum to 31,349, 35,713, 38,296, 50,869 against 'Total incl. Others' 127,446 / 163,081 / 196,257 / 249,994 — total includes unlisted items, so it cannot be reconciled (listed items are below the total in every year).</t>
        </is>
      </c>
    </row>
    <row r="48">
      <c r="A48" t="inlineStr">
        <is>
          <t>Total Inward Accounts = Visible Trade (Export) + Total of invisible trade: 898,362 reconciles (1934); 1,043,939 reconciles (1935); 1936 parts sum to 1,361,168 vs printed 1,361,268 — does NOT reconcile (diff 100; consistent with the 1936 export figure 602,659 being a misprint for 602,759, see next note — source not corrected); 1,432,187 reconciles (1937).</t>
        </is>
      </c>
    </row>
    <row r="49">
      <c r="A49" t="inlineStr">
        <is>
          <t>Visible Trade (Export) 1936 printed 602,659; Tables 1 and 3 give 1936 exports as 602,759.</t>
        </is>
      </c>
    </row>
    <row r="50">
      <c r="A50" t="inlineStr">
        <is>
          <t>Table runs over pp. 319-320 (IMG_5618-5619); p. 320 headed '(Continued)'. Tables 5, 6 and 7 are printed later, out of order: Table 5 on p. 321, Table 6 on pp. 326-330, Table 7 on pp. 330-336 (batch B07); Table 9 follows Table 5 on p. 321.</t>
        </is>
      </c>
    </row>
    <row r="51">
      <c r="A51" t="inlineStr">
        <is>
          <t>(A) (b) Special receipts Total = Foreign capital + Collection of capital: 322,489 / 459,780 / 562,252 / 536,895 — all reconcile.</t>
        </is>
      </c>
    </row>
    <row r="52">
      <c r="A52" t="inlineStr">
        <is>
          <t>(A) Total of invisible trade = (a) Total incl. Others + (b) Total: 449,935 / 622,861 / 758,509 / 786,889 — all reconcile.</t>
        </is>
      </c>
    </row>
    <row r="53">
      <c r="A53" t="inlineStr">
        <is>
          <t>(B) (a) Ordinary payment 'Total' (printed as 'Total', not 'incl. others'): the 8 listed items sum to 149,682 / 182,354 / 217,020 / 263,460 vs printed 152,874 / 183,873 / 244,854 / 283,165 — does NOT reconcile (short by 3,192 / 1,519 / 27,834 / 19,705); items re-read, no row missed on the page.</t>
        </is>
      </c>
    </row>
    <row r="54">
      <c r="A54" t="inlineStr">
        <is>
          <t>(B) (b) Total incl. Others: listed items sum to 56,477 (1934, reconciles exactly), 93,515 / 301,027 / 195,839 (1935-37) — below printed totals, consistent with 'incl. Others'.</t>
        </is>
      </c>
    </row>
    <row r="55">
      <c r="A55" t="inlineStr">
        <is>
          <t>(B) Total of Invisible Trade = (a) Total + (b) Total incl. Others: 209,351 reconciles; 342,828 reconciles; 1936 parts sum to 591,578 vs printed 591,528 — does NOT reconcile (diff 50); 513,861 reconciles.</t>
        </is>
      </c>
    </row>
    <row r="56">
      <c r="A56" t="inlineStr">
        <is>
          <t>(B) Total Outward Accounts = Visible Trade (Import) + Total of Invisible Trade: 802,913 reconciles; 946,977 reconciles; 1936 parts sum to 1,283,358 vs printed 1,283,408 — does NOT reconcile (diff 50; would reconcile with the (a)+(b) sum 591,578); 1,401,273 reconciles.</t>
        </is>
      </c>
    </row>
    <row r="57">
      <c r="A57" t="inlineStr">
        <is>
          <t>Balance (receipts) = Total Inward Accounts − Total Outward Accounts: 95,449 / 96,962 / 30,914 reconcile; 1936: 1,361,268 − 1,283,408 = 77,860 vs printed 77,858 — does NOT reconcile (diff 2). 1936 figures re-read on a close crop.</t>
        </is>
      </c>
    </row>
  </sheetData>
  <hyperlinks>
    <hyperlink xmlns:r="http://schemas.openxmlformats.org/officeDocument/2006/relationships" ref="A4" r:id="rId1"/>
  </hyperlink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Y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Commerce by Principal Customs Districts</t>
        </is>
      </c>
    </row>
    <row r="2">
      <c r="A2" t="inlineStr">
        <is>
          <t>Foreign Trade · printed pp. 321</t>
        </is>
      </c>
    </row>
    <row r="3">
      <c r="A3" t="inlineStr">
        <is>
          <t>(Unit: M¥1,000; % against total)</t>
        </is>
      </c>
    </row>
    <row r="4">
      <c r="A4" s="3" t="inlineStr">
        <is>
          <t>← Contents</t>
        </is>
      </c>
    </row>
    <row r="6">
      <c r="A6" s="5" t="inlineStr">
        <is>
          <t>Year</t>
        </is>
      </c>
      <c r="B6" s="5" t="inlineStr">
        <is>
          <t>Dairen — Export</t>
        </is>
      </c>
      <c r="C6" s="5" t="inlineStr">
        <is>
          <t>Dairen — Import</t>
        </is>
      </c>
      <c r="D6" s="5" t="inlineStr">
        <is>
          <t>Dairen — Total</t>
        </is>
      </c>
      <c r="E6" s="5" t="inlineStr">
        <is>
          <t>Dairen — %</t>
        </is>
      </c>
      <c r="F6" s="5" t="inlineStr">
        <is>
          <t>Antung — Export</t>
        </is>
      </c>
      <c r="G6" s="5" t="inlineStr">
        <is>
          <t>Antung — Import</t>
        </is>
      </c>
      <c r="H6" s="5" t="inlineStr">
        <is>
          <t>Antung — Total</t>
        </is>
      </c>
      <c r="I6" s="5" t="inlineStr">
        <is>
          <t>Antung — %</t>
        </is>
      </c>
      <c r="J6" s="5" t="inlineStr">
        <is>
          <t>Yingkow — Export</t>
        </is>
      </c>
      <c r="K6" s="5" t="inlineStr">
        <is>
          <t>Yingkow — Import</t>
        </is>
      </c>
      <c r="L6" s="5" t="inlineStr">
        <is>
          <t>Yingkow — Total</t>
        </is>
      </c>
      <c r="M6" s="5" t="inlineStr">
        <is>
          <t>Yingkow — %</t>
        </is>
      </c>
      <c r="N6" s="5" t="inlineStr">
        <is>
          <t>Shanhaikwan — Export</t>
        </is>
      </c>
      <c r="O6" s="5" t="inlineStr">
        <is>
          <t>Shanhaikwan — Import</t>
        </is>
      </c>
      <c r="P6" s="5" t="inlineStr">
        <is>
          <t>Shanhaikwan — Total</t>
        </is>
      </c>
      <c r="Q6" s="5" t="inlineStr">
        <is>
          <t>Shanhaikwan — %</t>
        </is>
      </c>
      <c r="R6" s="5" t="inlineStr">
        <is>
          <t>Harbin — Export</t>
        </is>
      </c>
      <c r="S6" s="5" t="inlineStr">
        <is>
          <t>Harbin — Import</t>
        </is>
      </c>
      <c r="T6" s="5" t="inlineStr">
        <is>
          <t>Harbin — Total</t>
        </is>
      </c>
      <c r="U6" s="5" t="inlineStr">
        <is>
          <t>Harbin — %</t>
        </is>
      </c>
      <c r="V6" s="5" t="inlineStr">
        <is>
          <t>Tumen — Export</t>
        </is>
      </c>
      <c r="W6" s="5" t="inlineStr">
        <is>
          <t>Tumen — Import</t>
        </is>
      </c>
      <c r="X6" s="5" t="inlineStr">
        <is>
          <t>Tumen — Total</t>
        </is>
      </c>
      <c r="Y6" s="5" t="inlineStr">
        <is>
          <t>Tumen — %</t>
        </is>
      </c>
    </row>
    <row r="7">
      <c r="A7" s="9" t="n">
        <v>1934</v>
      </c>
      <c r="B7" s="6" t="n">
        <v>335182</v>
      </c>
      <c r="C7" s="6" t="n">
        <v>449247</v>
      </c>
      <c r="D7" s="6" t="n">
        <v>784428</v>
      </c>
      <c r="E7" s="8" t="n">
        <v>75.3</v>
      </c>
      <c r="F7" s="6" t="n">
        <v>44735</v>
      </c>
      <c r="G7" s="6" t="n">
        <v>77372</v>
      </c>
      <c r="H7" s="6" t="n">
        <v>122107</v>
      </c>
      <c r="I7" s="8" t="n">
        <v>11.7</v>
      </c>
      <c r="J7" s="6" t="n">
        <v>36316</v>
      </c>
      <c r="K7" s="6" t="n">
        <v>29049</v>
      </c>
      <c r="L7" s="6" t="n">
        <v>65365</v>
      </c>
      <c r="M7" s="8" t="n">
        <v>6.3</v>
      </c>
      <c r="N7" s="6" t="n">
        <v>8620</v>
      </c>
      <c r="O7" s="6" t="n">
        <v>8105</v>
      </c>
      <c r="P7" s="6" t="n">
        <v>16725</v>
      </c>
      <c r="Q7" s="8" t="n">
        <v>1.3</v>
      </c>
      <c r="R7" s="6" t="n">
        <v>3903</v>
      </c>
      <c r="S7" s="6" t="n">
        <v>4573</v>
      </c>
      <c r="T7" s="6" t="n">
        <v>13476</v>
      </c>
      <c r="U7" s="8" t="n">
        <v>0.6</v>
      </c>
      <c r="V7" t="inlineStr">
        <is>
          <t>—</t>
        </is>
      </c>
      <c r="W7" t="inlineStr">
        <is>
          <t>—</t>
        </is>
      </c>
      <c r="X7" t="inlineStr">
        <is>
          <t>—</t>
        </is>
      </c>
      <c r="Y7" t="inlineStr">
        <is>
          <t>—</t>
        </is>
      </c>
    </row>
    <row r="8">
      <c r="A8" s="9" t="n">
        <v>1935</v>
      </c>
      <c r="B8" s="6" t="n">
        <v>315371</v>
      </c>
      <c r="C8" s="6" t="n">
        <v>474375</v>
      </c>
      <c r="D8" s="6" t="n">
        <v>779746</v>
      </c>
      <c r="E8" s="8" t="n">
        <v>76.3</v>
      </c>
      <c r="F8" s="6" t="n">
        <v>35898</v>
      </c>
      <c r="G8" s="6" t="n">
        <v>75685</v>
      </c>
      <c r="H8" s="6" t="n">
        <v>111584</v>
      </c>
      <c r="I8" s="8" t="n">
        <v>10.9</v>
      </c>
      <c r="J8" s="6" t="n">
        <v>41606</v>
      </c>
      <c r="K8" s="6" t="n">
        <v>25174</v>
      </c>
      <c r="L8" s="6" t="n">
        <v>66780</v>
      </c>
      <c r="M8" s="8" t="n">
        <v>6.5</v>
      </c>
      <c r="N8" s="6" t="n">
        <v>8357</v>
      </c>
      <c r="O8" s="6" t="n">
        <v>5247</v>
      </c>
      <c r="P8" s="6" t="n">
        <v>13604</v>
      </c>
      <c r="Q8" s="8" t="n">
        <v>1.3</v>
      </c>
      <c r="R8" s="6" t="n">
        <v>3005</v>
      </c>
      <c r="S8" s="6" t="n">
        <v>4960</v>
      </c>
      <c r="T8" s="6" t="n">
        <v>7911</v>
      </c>
      <c r="U8" s="8" t="n">
        <v>0.8</v>
      </c>
      <c r="V8" s="6" t="n">
        <v>15143</v>
      </c>
      <c r="W8" s="6" t="n">
        <v>27496</v>
      </c>
      <c r="X8" s="6" t="n">
        <v>42639</v>
      </c>
      <c r="Y8" s="8" t="n">
        <v>4.2</v>
      </c>
    </row>
    <row r="9">
      <c r="A9" s="9" t="n">
        <v>1936</v>
      </c>
      <c r="B9" s="6" t="n">
        <v>422699</v>
      </c>
      <c r="C9" s="6" t="n">
        <v>526201</v>
      </c>
      <c r="D9" s="6" t="n">
        <v>968900</v>
      </c>
      <c r="E9" s="8" t="n">
        <v>74.7</v>
      </c>
      <c r="F9" s="6" t="n">
        <v>42163</v>
      </c>
      <c r="G9" s="6" t="n">
        <v>93333</v>
      </c>
      <c r="H9" s="6" t="n">
        <v>135596</v>
      </c>
      <c r="I9" s="8" t="n">
        <v>10.4</v>
      </c>
      <c r="J9" s="6" t="n">
        <v>52701</v>
      </c>
      <c r="K9" s="6" t="n">
        <v>26347</v>
      </c>
      <c r="L9" s="6" t="n">
        <v>79048</v>
      </c>
      <c r="M9" s="8" t="n">
        <v>6.1</v>
      </c>
      <c r="N9" s="6" t="n">
        <v>19039</v>
      </c>
      <c r="O9" s="6" t="n">
        <v>11572</v>
      </c>
      <c r="P9" s="6" t="n">
        <v>30611</v>
      </c>
      <c r="Q9" s="8" t="n">
        <v>2.4</v>
      </c>
      <c r="R9" s="9" t="n">
        <v>951</v>
      </c>
      <c r="S9" s="6" t="n">
        <v>4320</v>
      </c>
      <c r="T9" s="6" t="n">
        <v>5271</v>
      </c>
      <c r="U9" s="8" t="n">
        <v>0.4</v>
      </c>
      <c r="V9" s="6" t="n">
        <v>43007</v>
      </c>
      <c r="W9" s="6" t="n">
        <v>28455</v>
      </c>
      <c r="X9" s="6" t="n">
        <v>71462</v>
      </c>
      <c r="Y9" s="8" t="n">
        <v>5.5</v>
      </c>
    </row>
    <row r="10">
      <c r="A10" s="9" t="n">
        <v>1937</v>
      </c>
      <c r="B10" s="6" t="n">
        <v>484850</v>
      </c>
      <c r="C10" s="6" t="n">
        <v>640996</v>
      </c>
      <c r="D10" s="6" t="n">
        <v>1125846</v>
      </c>
      <c r="E10" s="8" t="n">
        <v>73.40000000000001</v>
      </c>
      <c r="F10" s="6" t="n">
        <v>38296</v>
      </c>
      <c r="G10" s="6" t="n">
        <v>53885</v>
      </c>
      <c r="H10" s="6" t="n">
        <v>92180</v>
      </c>
      <c r="I10" s="8" t="n">
        <v>6.1</v>
      </c>
      <c r="J10" s="6" t="n">
        <v>36371</v>
      </c>
      <c r="K10" s="6" t="n">
        <v>49666</v>
      </c>
      <c r="L10" s="6" t="n">
        <v>86037</v>
      </c>
      <c r="M10" s="8" t="n">
        <v>5.6</v>
      </c>
      <c r="N10" s="6" t="n">
        <v>18254</v>
      </c>
      <c r="O10" s="6" t="n">
        <v>13902</v>
      </c>
      <c r="P10" s="6" t="n">
        <v>32156</v>
      </c>
      <c r="Q10" s="8" t="n">
        <v>2.1</v>
      </c>
      <c r="R10" s="9" t="n">
        <v>537</v>
      </c>
      <c r="S10" s="6" t="n">
        <v>23044</v>
      </c>
      <c r="T10" s="6" t="n">
        <v>23582</v>
      </c>
      <c r="U10" s="8" t="n">
        <v>1.5</v>
      </c>
      <c r="V10" s="6" t="n">
        <v>66945</v>
      </c>
      <c r="W10" s="6" t="n">
        <v>47978</v>
      </c>
      <c r="X10" s="6" t="n">
        <v>114923</v>
      </c>
      <c r="Y10" s="8" t="n">
        <v>7.5</v>
      </c>
    </row>
    <row r="11">
      <c r="A11" s="9" t="n">
        <v>1938</v>
      </c>
      <c r="B11" s="6" t="n">
        <v>508208</v>
      </c>
      <c r="C11" s="6" t="n">
        <v>860024</v>
      </c>
      <c r="D11" s="6" t="n">
        <v>1368232</v>
      </c>
      <c r="E11" s="8" t="n">
        <v>68.40000000000001</v>
      </c>
      <c r="F11" s="6" t="n">
        <v>46308</v>
      </c>
      <c r="G11" s="6" t="n">
        <v>86532</v>
      </c>
      <c r="H11" s="6" t="n">
        <v>132841</v>
      </c>
      <c r="I11" s="8" t="n">
        <v>6.5</v>
      </c>
      <c r="J11" s="6" t="n">
        <v>33837</v>
      </c>
      <c r="K11" s="6" t="n">
        <v>44031</v>
      </c>
      <c r="L11" s="6" t="n">
        <v>77868</v>
      </c>
      <c r="M11" s="8" t="n">
        <v>3.8</v>
      </c>
      <c r="N11" s="6" t="n">
        <v>32095</v>
      </c>
      <c r="O11" s="6" t="n">
        <v>28640</v>
      </c>
      <c r="P11" s="6" t="n">
        <v>60735</v>
      </c>
      <c r="Q11" s="8" t="n">
        <v>3</v>
      </c>
      <c r="R11" s="9" t="n">
        <v>306</v>
      </c>
      <c r="S11" s="6" t="n">
        <v>33230</v>
      </c>
      <c r="T11" s="6" t="n">
        <v>33537</v>
      </c>
      <c r="U11" s="8" t="n">
        <v>1.6</v>
      </c>
      <c r="V11" s="6" t="n">
        <v>104617</v>
      </c>
      <c r="W11" s="6" t="n">
        <v>68111</v>
      </c>
      <c r="X11" s="6" t="n">
        <v>172728</v>
      </c>
      <c r="Y11" s="8" t="n">
        <v>8.6</v>
      </c>
    </row>
    <row r="12">
      <c r="A12" s="9" t="n">
        <v>1939</v>
      </c>
      <c r="B12" s="6" t="n">
        <v>601294</v>
      </c>
      <c r="C12" s="6" t="n">
        <v>1145813</v>
      </c>
      <c r="D12" s="6" t="n">
        <v>1747107</v>
      </c>
      <c r="E12" s="8" t="n">
        <v>67.59999999999999</v>
      </c>
      <c r="F12" s="6" t="n">
        <v>60347</v>
      </c>
      <c r="G12" s="6" t="n">
        <v>120227</v>
      </c>
      <c r="H12" s="6" t="n">
        <v>180574</v>
      </c>
      <c r="I12" s="8" t="n">
        <v>6.9</v>
      </c>
      <c r="J12" s="6" t="n">
        <v>32794</v>
      </c>
      <c r="K12" s="6" t="n">
        <v>50304</v>
      </c>
      <c r="L12" s="6" t="n">
        <v>83098</v>
      </c>
      <c r="M12" s="8" t="n">
        <v>3.2</v>
      </c>
      <c r="N12" s="6" t="n">
        <v>54649</v>
      </c>
      <c r="O12" s="6" t="n">
        <v>36386</v>
      </c>
      <c r="P12" s="6" t="n">
        <v>91035</v>
      </c>
      <c r="Q12" s="8" t="n">
        <v>3.5</v>
      </c>
      <c r="R12" s="9" t="n">
        <v>157</v>
      </c>
      <c r="S12" s="6" t="n">
        <v>53218</v>
      </c>
      <c r="T12" s="6" t="n">
        <v>53375</v>
      </c>
      <c r="U12" s="8" t="n">
        <v>2.7</v>
      </c>
      <c r="V12" s="6" t="n">
        <v>85418</v>
      </c>
      <c r="W12" s="6" t="n">
        <v>157156</v>
      </c>
      <c r="X12" s="6" t="n">
        <v>242574</v>
      </c>
      <c r="Y12" s="8" t="n">
        <v>9.4</v>
      </c>
    </row>
    <row r="14">
      <c r="A14" s="2" t="inlineStr">
        <is>
          <t>Transcriber's notes</t>
        </is>
      </c>
    </row>
    <row r="15">
      <c r="A15" t="inlineStr">
        <is>
          <t>Export + Import = Total checked for every district/year; all reconcile except the following (cells re-read on close crops, printed figures kept):</t>
        </is>
      </c>
    </row>
    <row r="16">
      <c r="A16" t="inlineStr">
        <is>
          <t>Dairen 1934: Export + Import = 784,429 vs printed Total 784,428 — does NOT reconcile (diff -1)</t>
        </is>
      </c>
    </row>
    <row r="17">
      <c r="A17" t="inlineStr">
        <is>
          <t>Dairen 1935: Export + Import = 789,746 vs printed Total 779,746 — does NOT reconcile (diff -10,000)</t>
        </is>
      </c>
    </row>
    <row r="18">
      <c r="A18" t="inlineStr">
        <is>
          <t>Dairen 1936: Export + Import = 948,900 vs printed Total 968,900 — does NOT reconcile (diff 20,000)</t>
        </is>
      </c>
    </row>
    <row r="19">
      <c r="A19" t="inlineStr">
        <is>
          <t>Antung 1935: Export + Import = 111,583 vs printed Total 111,584 — does NOT reconcile (diff 1)</t>
        </is>
      </c>
    </row>
    <row r="20">
      <c r="A20" t="inlineStr">
        <is>
          <t>Antung 1936: Export + Import = 135,496 vs printed Total 135,596 — does NOT reconcile (diff 100)</t>
        </is>
      </c>
    </row>
    <row r="21">
      <c r="A21" t="inlineStr">
        <is>
          <t>Antung 1937: Export + Import = 92,181 vs printed Total 92,180 — does NOT reconcile (diff -1)</t>
        </is>
      </c>
    </row>
    <row r="22">
      <c r="A22" t="inlineStr">
        <is>
          <t>Antung 1938: Export + Import = 132,840 vs printed Total 132,841 — does NOT reconcile (diff 1)</t>
        </is>
      </c>
    </row>
    <row r="23">
      <c r="A23" t="inlineStr">
        <is>
          <t>Harbin 1934: Export + Import = 8,476 vs printed Total 13,476 — does NOT reconcile (diff 5,000)</t>
        </is>
      </c>
    </row>
    <row r="24">
      <c r="A24" t="inlineStr">
        <is>
          <t>Harbin 1935: Export + Import = 7,965 vs printed Total 7,911 — does NOT reconcile (diff -54)</t>
        </is>
      </c>
    </row>
    <row r="25">
      <c r="A25" t="inlineStr">
        <is>
          <t>Harbin 1937: Export + Import = 23,581 vs printed Total 23,582 — does NOT reconcile (diff 1)</t>
        </is>
      </c>
    </row>
    <row r="26">
      <c r="A26" t="inlineStr">
        <is>
          <t>Harbin 1938: Export + Import = 33,536 vs printed Total 33,537 — does NOT reconcile (diff 1)</t>
        </is>
      </c>
    </row>
    <row r="27">
      <c r="A27" t="inlineStr">
        <is>
          <t>Harbin 1934 Export clearly printed 3,903; 8,903 would reconcile with Total 13,476.</t>
        </is>
      </c>
    </row>
    <row r="28">
      <c r="A28" t="inlineStr">
        <is>
          <t>The six districts' % columns sum to 95.2 (1934), 100.0 (1935), 99.5 (1936), 96.2 (1937), 91.9 (1938), 93.3 (1939); no grand total is printed (other customs districts not shown), so no total to reconcile.</t>
        </is>
      </c>
    </row>
    <row r="29">
      <c r="A29" t="inlineStr">
        <is>
          <t>Table 5 is printed on p. 321, after Table 8 (pp. 319-320): the chapter's table numbering is out of order in print.</t>
        </is>
      </c>
    </row>
    <row r="30">
      <c r="A30" t="inlineStr">
        <is>
          <t>Printed as three blocks of two districts each (Dairen/Antung, Yingkow/Shanhaikwan, Harbin/Tumen), each with its own year stub 1934-1939; merged here into one row per year.</t>
        </is>
      </c>
    </row>
  </sheetData>
  <hyperlinks>
    <hyperlink xmlns:r="http://schemas.openxmlformats.org/officeDocument/2006/relationships" ref="A4" r:id="rId1"/>
  </hyperlink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9. Vessels Entered and Cleared by Flags</t>
        </is>
      </c>
    </row>
    <row r="2">
      <c r="A2" t="inlineStr">
        <is>
          <t>Foreign Trade · printed pp. 321, 322</t>
        </is>
      </c>
    </row>
    <row r="3">
      <c r="A3" s="3" t="inlineStr">
        <is>
          <t>← Contents</t>
        </is>
      </c>
    </row>
    <row r="5">
      <c r="A5" s="5" t="inlineStr">
        <is>
          <t>Year</t>
        </is>
      </c>
      <c r="B5" s="5" t="inlineStr">
        <is>
          <t>Entered — No.</t>
        </is>
      </c>
      <c r="C5" s="5" t="inlineStr">
        <is>
          <t>Entered — Tons (1,000)</t>
        </is>
      </c>
      <c r="D5" s="5" t="inlineStr">
        <is>
          <t>Entered — Cargo Unloaded (1,000 tons)</t>
        </is>
      </c>
      <c r="E5" s="5" t="inlineStr">
        <is>
          <t>Cleared — No.</t>
        </is>
      </c>
      <c r="F5" s="5" t="inlineStr">
        <is>
          <t>Cleared — Tons (1,000)</t>
        </is>
      </c>
      <c r="G5" s="5" t="inlineStr">
        <is>
          <t>Cleared — Cargo loaded (1,000 tons)</t>
        </is>
      </c>
    </row>
    <row r="6">
      <c r="A6" s="9" t="n">
        <v>1929</v>
      </c>
      <c r="B6" s="6" t="n">
        <v>6422</v>
      </c>
      <c r="C6" s="6" t="n">
        <v>8272</v>
      </c>
      <c r="D6" t="inlineStr">
        <is>
          <t>—</t>
        </is>
      </c>
      <c r="E6" s="6" t="n">
        <v>6312</v>
      </c>
      <c r="F6" s="6" t="n">
        <v>8172</v>
      </c>
      <c r="G6" t="inlineStr">
        <is>
          <t>—</t>
        </is>
      </c>
    </row>
    <row r="7">
      <c r="A7" s="9" t="n">
        <v>1931</v>
      </c>
      <c r="B7" s="6" t="n">
        <v>6633</v>
      </c>
      <c r="C7" s="6" t="n">
        <v>8083</v>
      </c>
      <c r="D7" t="inlineStr">
        <is>
          <t>—</t>
        </is>
      </c>
      <c r="E7" s="6" t="n">
        <v>6089</v>
      </c>
      <c r="F7" s="6" t="n">
        <v>7999</v>
      </c>
      <c r="G7" t="inlineStr">
        <is>
          <t>—</t>
        </is>
      </c>
    </row>
    <row r="8">
      <c r="A8" s="9" t="n">
        <v>1933</v>
      </c>
      <c r="B8" s="6" t="n">
        <v>5394</v>
      </c>
      <c r="C8" s="6" t="n">
        <v>8456</v>
      </c>
      <c r="D8" t="inlineStr">
        <is>
          <t>—</t>
        </is>
      </c>
      <c r="E8" s="6" t="n">
        <v>5436</v>
      </c>
      <c r="F8" s="6" t="n">
        <v>8592</v>
      </c>
      <c r="G8" t="inlineStr">
        <is>
          <t>—</t>
        </is>
      </c>
    </row>
    <row r="9">
      <c r="A9" s="9" t="n">
        <v>1935</v>
      </c>
      <c r="B9" s="6" t="n">
        <v>5523</v>
      </c>
      <c r="C9" s="6" t="n">
        <v>8925</v>
      </c>
      <c r="D9" t="inlineStr">
        <is>
          <t>—</t>
        </is>
      </c>
      <c r="E9" s="6" t="n">
        <v>5534</v>
      </c>
      <c r="F9" s="6" t="n">
        <v>9119</v>
      </c>
      <c r="G9" t="inlineStr">
        <is>
          <t>—</t>
        </is>
      </c>
    </row>
    <row r="10">
      <c r="A10" s="9" t="n">
        <v>1936</v>
      </c>
      <c r="B10" s="6" t="n">
        <v>5292</v>
      </c>
      <c r="C10" s="6" t="n">
        <v>8323</v>
      </c>
      <c r="D10" t="inlineStr">
        <is>
          <t>—</t>
        </is>
      </c>
      <c r="E10" s="6" t="n">
        <v>5333</v>
      </c>
      <c r="F10" s="6" t="n">
        <v>8417</v>
      </c>
      <c r="G10" t="inlineStr">
        <is>
          <t>—</t>
        </is>
      </c>
    </row>
    <row r="11">
      <c r="A11" s="9" t="n">
        <v>1937</v>
      </c>
      <c r="B11" s="6" t="n">
        <v>4839</v>
      </c>
      <c r="C11" s="6" t="n">
        <v>7623</v>
      </c>
      <c r="D11" t="inlineStr">
        <is>
          <t>—</t>
        </is>
      </c>
      <c r="E11" s="6" t="n">
        <v>4894</v>
      </c>
      <c r="F11" s="6" t="n">
        <v>7696</v>
      </c>
      <c r="G11" t="inlineStr">
        <is>
          <t>—</t>
        </is>
      </c>
    </row>
    <row r="12">
      <c r="A12" s="9" t="n">
        <v>1938</v>
      </c>
      <c r="B12" s="6" t="n">
        <v>5043</v>
      </c>
      <c r="C12" s="6" t="n">
        <v>7193</v>
      </c>
      <c r="D12" s="7" t="n">
        <v>4401.9</v>
      </c>
      <c r="E12" s="6" t="n">
        <v>5066</v>
      </c>
      <c r="F12" s="6" t="n">
        <v>7236</v>
      </c>
      <c r="G12" s="7" t="n">
        <v>7276.3</v>
      </c>
    </row>
    <row r="13">
      <c r="A13" s="9" t="n">
        <v>1939</v>
      </c>
      <c r="B13" s="6" t="n">
        <v>6151</v>
      </c>
      <c r="C13" s="6" t="n">
        <v>7361</v>
      </c>
      <c r="D13" s="7" t="n">
        <v>5634</v>
      </c>
      <c r="E13" s="6" t="n">
        <v>6151</v>
      </c>
      <c r="F13" s="6" t="n">
        <v>7359</v>
      </c>
      <c r="G13" s="7" t="n">
        <v>6237.9</v>
      </c>
    </row>
    <row r="15">
      <c r="A15" s="2" t="inlineStr">
        <is>
          <t>Of which:</t>
        </is>
      </c>
    </row>
    <row r="16">
      <c r="A16" s="5" t="inlineStr">
        <is>
          <t>Flag</t>
        </is>
      </c>
      <c r="B16" s="5" t="inlineStr">
        <is>
          <t>Entered — No.</t>
        </is>
      </c>
      <c r="C16" s="5" t="inlineStr">
        <is>
          <t>Entered — Tons (1,000)</t>
        </is>
      </c>
      <c r="D16" s="5" t="inlineStr">
        <is>
          <t>Entered — Cargo Unloaded (1,000 tons)</t>
        </is>
      </c>
      <c r="E16" s="5" t="inlineStr">
        <is>
          <t>Cleared — No.</t>
        </is>
      </c>
      <c r="F16" s="5" t="inlineStr">
        <is>
          <t>Cleared — Tons (1,000)</t>
        </is>
      </c>
      <c r="G16" s="5" t="inlineStr">
        <is>
          <t>Cleared — Cargo loaded (1,000 tons)</t>
        </is>
      </c>
    </row>
    <row r="17">
      <c r="A17" t="inlineStr">
        <is>
          <t>Manchoukuoan</t>
        </is>
      </c>
      <c r="B17" s="9" t="n">
        <v>583</v>
      </c>
      <c r="C17" s="9" t="n">
        <v>367</v>
      </c>
      <c r="D17" s="8" t="n">
        <v>177.6</v>
      </c>
      <c r="E17" s="9" t="n">
        <v>576</v>
      </c>
      <c r="F17" s="9" t="n">
        <v>370</v>
      </c>
      <c r="G17" s="8" t="n">
        <v>339.4</v>
      </c>
    </row>
    <row r="18">
      <c r="A18" t="inlineStr">
        <is>
          <t>Kwantung</t>
        </is>
      </c>
      <c r="B18" s="6" t="n">
        <v>1126</v>
      </c>
      <c r="C18" s="6" t="n">
        <v>1500</v>
      </c>
      <c r="D18" s="7" t="n">
        <v>1275.3</v>
      </c>
      <c r="E18" s="6" t="n">
        <v>1092</v>
      </c>
      <c r="F18" s="6" t="n">
        <v>1441</v>
      </c>
      <c r="G18" s="7" t="n">
        <v>1377.8</v>
      </c>
    </row>
    <row r="19">
      <c r="A19" t="inlineStr">
        <is>
          <t>Japanese</t>
        </is>
      </c>
      <c r="B19" s="6" t="n">
        <v>3379</v>
      </c>
      <c r="C19" s="6" t="n">
        <v>3841</v>
      </c>
      <c r="D19" s="7" t="n">
        <v>3065.8</v>
      </c>
      <c r="E19" s="6" t="n">
        <v>3382</v>
      </c>
      <c r="F19" s="6" t="n">
        <v>3822</v>
      </c>
      <c r="G19" s="7" t="n">
        <v>3188.9</v>
      </c>
    </row>
    <row r="20">
      <c r="A20" t="inlineStr">
        <is>
          <t>Chinese</t>
        </is>
      </c>
      <c r="B20" s="9" t="n">
        <v>761</v>
      </c>
      <c r="C20" s="9" t="n">
        <v>556</v>
      </c>
      <c r="D20" s="8" t="n">
        <v>406.9</v>
      </c>
      <c r="E20" s="9" t="n">
        <v>803</v>
      </c>
      <c r="F20" s="9" t="n">
        <v>649</v>
      </c>
      <c r="G20" s="8" t="n">
        <v>543</v>
      </c>
    </row>
    <row r="21">
      <c r="A21" t="inlineStr">
        <is>
          <t>U.S.S.R.</t>
        </is>
      </c>
      <c r="B21" s="9" t="n">
        <v>1</v>
      </c>
      <c r="C21" s="9" t="n">
        <v>3</v>
      </c>
      <c r="D21" t="inlineStr">
        <is>
          <t>—</t>
        </is>
      </c>
      <c r="E21" t="inlineStr">
        <is>
          <t>—</t>
        </is>
      </c>
      <c r="F21" t="inlineStr">
        <is>
          <t>—</t>
        </is>
      </c>
      <c r="G21" t="inlineStr">
        <is>
          <t>—</t>
        </is>
      </c>
    </row>
    <row r="22">
      <c r="A22" t="inlineStr">
        <is>
          <t>British</t>
        </is>
      </c>
      <c r="B22" s="9" t="n">
        <v>106</v>
      </c>
      <c r="C22" s="9" t="n">
        <v>412</v>
      </c>
      <c r="D22" s="8" t="n">
        <v>241.6</v>
      </c>
      <c r="E22" s="9" t="n">
        <v>107</v>
      </c>
      <c r="F22" s="9" t="n">
        <v>419</v>
      </c>
      <c r="G22" s="8" t="n">
        <v>265.9</v>
      </c>
    </row>
    <row r="23">
      <c r="A23" t="inlineStr">
        <is>
          <t>French</t>
        </is>
      </c>
      <c r="B23" t="inlineStr">
        <is>
          <t>—</t>
        </is>
      </c>
      <c r="C23" t="inlineStr">
        <is>
          <t>—</t>
        </is>
      </c>
      <c r="D23" t="inlineStr">
        <is>
          <t>—</t>
        </is>
      </c>
      <c r="E23" t="inlineStr">
        <is>
          <t>—</t>
        </is>
      </c>
      <c r="F23" t="inlineStr">
        <is>
          <t>—</t>
        </is>
      </c>
      <c r="G23" t="inlineStr">
        <is>
          <t>—</t>
        </is>
      </c>
    </row>
    <row r="24">
      <c r="A24" t="inlineStr">
        <is>
          <t>German</t>
        </is>
      </c>
      <c r="B24" s="9" t="n">
        <v>71</v>
      </c>
      <c r="C24" s="9" t="n">
        <v>267</v>
      </c>
      <c r="D24" s="8" t="n">
        <v>120.4</v>
      </c>
      <c r="E24" s="9" t="n">
        <v>72</v>
      </c>
      <c r="F24" s="9" t="n">
        <v>262</v>
      </c>
      <c r="G24" s="8" t="n">
        <v>298.8</v>
      </c>
    </row>
    <row r="25">
      <c r="A25" t="inlineStr">
        <is>
          <t>Dutch</t>
        </is>
      </c>
      <c r="B25" s="9" t="n">
        <v>13</v>
      </c>
      <c r="C25" s="9" t="n">
        <v>58</v>
      </c>
      <c r="D25" s="8" t="n">
        <v>51</v>
      </c>
      <c r="E25" s="9" t="n">
        <v>12</v>
      </c>
      <c r="F25" s="9" t="n">
        <v>54</v>
      </c>
      <c r="G25" s="8" t="n">
        <v>9</v>
      </c>
    </row>
    <row r="26">
      <c r="A26" t="inlineStr">
        <is>
          <t>Danish</t>
        </is>
      </c>
      <c r="B26" s="9" t="n">
        <v>14</v>
      </c>
      <c r="C26" s="9" t="n">
        <v>66</v>
      </c>
      <c r="D26" s="8" t="n">
        <v>45.8</v>
      </c>
      <c r="E26" s="9" t="n">
        <v>14</v>
      </c>
      <c r="F26" s="9" t="n">
        <v>66</v>
      </c>
      <c r="G26" s="8" t="n">
        <v>29.2</v>
      </c>
    </row>
    <row r="27">
      <c r="A27" t="inlineStr">
        <is>
          <t>Swedish</t>
        </is>
      </c>
      <c r="B27" s="9" t="n">
        <v>12</v>
      </c>
      <c r="C27" s="9" t="n">
        <v>47</v>
      </c>
      <c r="D27" s="8" t="n">
        <v>24.9</v>
      </c>
      <c r="E27" s="9" t="n">
        <v>11</v>
      </c>
      <c r="F27" s="9" t="n">
        <v>43</v>
      </c>
      <c r="G27" s="8" t="n">
        <v>10.8</v>
      </c>
    </row>
    <row r="28">
      <c r="A28" t="inlineStr">
        <is>
          <t>Norwegian</t>
        </is>
      </c>
      <c r="B28" s="9" t="n">
        <v>48</v>
      </c>
      <c r="C28" s="9" t="n">
        <v>136</v>
      </c>
      <c r="D28" s="8" t="n">
        <v>149.3</v>
      </c>
      <c r="E28" s="9" t="n">
        <v>46</v>
      </c>
      <c r="F28" s="9" t="n">
        <v>133</v>
      </c>
      <c r="G28" s="8" t="n">
        <v>86.90000000000001</v>
      </c>
    </row>
    <row r="29">
      <c r="A29" t="inlineStr">
        <is>
          <t>Italian</t>
        </is>
      </c>
      <c r="B29" s="9" t="n">
        <v>22</v>
      </c>
      <c r="C29" s="9" t="n">
        <v>65</v>
      </c>
      <c r="D29" s="8" t="n">
        <v>30</v>
      </c>
      <c r="E29" s="9" t="n">
        <v>22</v>
      </c>
      <c r="F29" s="9" t="n">
        <v>62</v>
      </c>
      <c r="G29" s="8" t="n">
        <v>68.5</v>
      </c>
    </row>
    <row r="30">
      <c r="A30" t="inlineStr">
        <is>
          <t>Greek</t>
        </is>
      </c>
      <c r="B30" s="9" t="n">
        <v>3</v>
      </c>
      <c r="C30" s="9" t="n">
        <v>10</v>
      </c>
      <c r="D30" s="8" t="n">
        <v>7.1</v>
      </c>
      <c r="E30" s="9" t="n">
        <v>2</v>
      </c>
      <c r="F30" s="9" t="n">
        <v>6</v>
      </c>
      <c r="G30" s="8" t="n">
        <v>14.4</v>
      </c>
    </row>
    <row r="31">
      <c r="A31" t="inlineStr">
        <is>
          <t>U.S.A.</t>
        </is>
      </c>
      <c r="B31" s="9" t="n">
        <v>6</v>
      </c>
      <c r="C31" s="9" t="n">
        <v>22</v>
      </c>
      <c r="D31" s="8" t="n">
        <v>25.3</v>
      </c>
      <c r="E31" s="9" t="n">
        <v>6</v>
      </c>
      <c r="F31" s="9" t="n">
        <v>22</v>
      </c>
      <c r="G31" s="8" t="n">
        <v>2.3</v>
      </c>
    </row>
    <row r="32">
      <c r="A32" t="inlineStr">
        <is>
          <t>Total incl. others</t>
        </is>
      </c>
      <c r="B32" s="6" t="n">
        <v>6151</v>
      </c>
      <c r="C32" s="6" t="n">
        <v>7361</v>
      </c>
      <c r="D32" s="7" t="n">
        <v>5634</v>
      </c>
      <c r="E32" s="6" t="n">
        <v>6151</v>
      </c>
      <c r="F32" s="6" t="n">
        <v>7359</v>
      </c>
      <c r="G32" s="7" t="n">
        <v>6237.9</v>
      </c>
    </row>
    <row r="34">
      <c r="A34" s="2" t="inlineStr">
        <is>
          <t>Transcriber's notes</t>
        </is>
      </c>
    </row>
    <row r="35">
      <c r="A35" t="inlineStr">
        <is>
          <t>Year stub labels are printed slightly above their rows (page curvature near the gutter); 8 labels for 8 rows, assigned in order.</t>
        </is>
      </c>
    </row>
    <row r="36">
      <c r="A36" t="inlineStr">
        <is>
          <t>'Of which' (by flag) part: no year is printed; its 'Total incl. others' (6,151 / 7,361 / 5,634.0 / 6,151 / 7,359 / 6,237.9) equals the 1939 row of the first part, so it evidently refers to 1939.</t>
        </is>
      </c>
    </row>
    <row r="37">
      <c r="A37" t="inlineStr">
        <is>
          <t>'Of which' listed flags sum to [6145.0, 7350.0, 5621.0, 6145.0, 7349.0, 6234.9] against Total incl. others 6,151 / 7,361 / 5,634.0 / 6,151 / 7,359 / 6,237.9 — below the totals in every column, consistent with 'incl. others'; not reconcilable exactly.</t>
        </is>
      </c>
    </row>
    <row r="38">
      <c r="A38" t="inlineStr">
        <is>
          <t>Table 9 printed on p. 321 (after Table 5), continued on p. 322 headed '(Continued)'.</t>
        </is>
      </c>
    </row>
  </sheetData>
  <hyperlinks>
    <hyperlink xmlns:r="http://schemas.openxmlformats.org/officeDocument/2006/relationships" ref="A3" r:id="rId1"/>
  </hyperlink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G27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Exports of Principal Commodities</t>
        </is>
      </c>
    </row>
    <row r="2">
      <c r="A2" t="inlineStr">
        <is>
          <t>Foreign Trade · printed pp. 326, 327, 328, 329, 330</t>
        </is>
      </c>
    </row>
    <row r="3">
      <c r="A3" t="inlineStr">
        <is>
          <t>(Unit: M¥1,000)</t>
        </is>
      </c>
    </row>
    <row r="4">
      <c r="A4" s="3" t="inlineStr">
        <is>
          <t>← Contents</t>
        </is>
      </c>
    </row>
    <row r="6">
      <c r="A6" s="2" t="inlineStr">
        <is>
          <t>Sulphate of Ammonium</t>
        </is>
      </c>
    </row>
    <row r="7">
      <c r="A7" s="5" t="inlineStr">
        <is>
          <t>Year</t>
        </is>
      </c>
      <c r="B7" s="5" t="inlineStr">
        <is>
          <t>Total</t>
        </is>
      </c>
      <c r="C7" s="5" t="inlineStr">
        <is>
          <t>Japan</t>
        </is>
      </c>
      <c r="D7" s="5" t="inlineStr">
        <is>
          <t>China</t>
        </is>
      </c>
      <c r="E7" s="5" t="inlineStr">
        <is>
          <t>Hongkong</t>
        </is>
      </c>
      <c r="F7" s="5" t="inlineStr">
        <is>
          <t>D.E.I.</t>
        </is>
      </c>
      <c r="G7" s="5" t="inlineStr">
        <is>
          <t>U.S.A.</t>
        </is>
      </c>
    </row>
    <row r="8">
      <c r="A8" s="9" t="n">
        <v>1934</v>
      </c>
      <c r="B8" s="6" t="n">
        <v>1718</v>
      </c>
      <c r="C8" s="9" t="n">
        <v>997</v>
      </c>
      <c r="D8" s="9" t="n">
        <v>184</v>
      </c>
      <c r="E8" s="9" t="n">
        <v>298</v>
      </c>
      <c r="F8" s="9" t="n">
        <v>101</v>
      </c>
      <c r="G8" s="9" t="n">
        <v>135</v>
      </c>
    </row>
    <row r="9">
      <c r="A9" s="9" t="n">
        <v>1935</v>
      </c>
      <c r="B9" s="6" t="n">
        <v>6051</v>
      </c>
      <c r="C9" s="6" t="n">
        <v>5207</v>
      </c>
      <c r="D9" s="9" t="n">
        <v>302</v>
      </c>
      <c r="E9" s="9" t="n">
        <v>282</v>
      </c>
      <c r="F9" s="9" t="n">
        <v>58</v>
      </c>
      <c r="G9" s="9" t="n">
        <v>173</v>
      </c>
    </row>
    <row r="10">
      <c r="A10" s="9" t="n">
        <v>1936</v>
      </c>
      <c r="B10" s="6" t="n">
        <v>11424</v>
      </c>
      <c r="C10" s="6" t="n">
        <v>9942</v>
      </c>
      <c r="D10" s="9" t="n">
        <v>580</v>
      </c>
      <c r="E10" s="9" t="n">
        <v>317</v>
      </c>
      <c r="F10" s="9" t="n">
        <v>351</v>
      </c>
      <c r="G10" t="inlineStr">
        <is>
          <t>—</t>
        </is>
      </c>
    </row>
    <row r="11">
      <c r="A11" s="9" t="n">
        <v>1937</v>
      </c>
      <c r="B11" s="6" t="n">
        <v>9676</v>
      </c>
      <c r="C11" s="6" t="n">
        <v>8692</v>
      </c>
      <c r="D11" s="9" t="n">
        <v>482</v>
      </c>
      <c r="E11" s="9" t="n">
        <v>299</v>
      </c>
      <c r="F11" s="9" t="n">
        <v>153</v>
      </c>
      <c r="G11" t="inlineStr">
        <is>
          <t>—</t>
        </is>
      </c>
    </row>
    <row r="12">
      <c r="A12" s="9" t="n">
        <v>1938</v>
      </c>
      <c r="B12" s="6" t="n">
        <v>16571</v>
      </c>
      <c r="C12" s="6" t="n">
        <v>15744</v>
      </c>
      <c r="D12" s="9" t="n">
        <v>826</v>
      </c>
      <c r="E12" t="inlineStr">
        <is>
          <t>—</t>
        </is>
      </c>
      <c r="F12" t="inlineStr">
        <is>
          <t>—</t>
        </is>
      </c>
      <c r="G12" t="inlineStr">
        <is>
          <t>—</t>
        </is>
      </c>
    </row>
    <row r="13">
      <c r="A13" s="9" t="n">
        <v>1939</v>
      </c>
      <c r="B13" s="6" t="n">
        <v>11777</v>
      </c>
      <c r="C13" s="6" t="n">
        <v>11072</v>
      </c>
      <c r="D13" s="9" t="n">
        <v>705</v>
      </c>
      <c r="E13" t="inlineStr">
        <is>
          <t>—</t>
        </is>
      </c>
      <c r="F13" t="inlineStr">
        <is>
          <t>—</t>
        </is>
      </c>
      <c r="G13" t="inlineStr">
        <is>
          <t>—</t>
        </is>
      </c>
    </row>
    <row r="15">
      <c r="A15" s="2" t="inlineStr">
        <is>
          <t>Kaoliang</t>
        </is>
      </c>
    </row>
    <row r="16">
      <c r="A16" s="5" t="inlineStr">
        <is>
          <t>Year</t>
        </is>
      </c>
      <c r="B16" s="5" t="inlineStr">
        <is>
          <t>Total</t>
        </is>
      </c>
      <c r="C16" s="5" t="inlineStr">
        <is>
          <t>Japan</t>
        </is>
      </c>
      <c r="D16" s="5" t="inlineStr">
        <is>
          <t>China</t>
        </is>
      </c>
      <c r="E16" s="5" t="inlineStr">
        <is>
          <t>Germany</t>
        </is>
      </c>
      <c r="F16" s="5" t="inlineStr">
        <is>
          <t>Holland</t>
        </is>
      </c>
      <c r="G16" s="5" t="inlineStr">
        <is>
          <t>U.S.A.</t>
        </is>
      </c>
    </row>
    <row r="17">
      <c r="A17" s="9" t="n">
        <v>1934</v>
      </c>
      <c r="B17" s="6" t="n">
        <v>7311</v>
      </c>
      <c r="C17" s="6" t="n">
        <v>3348</v>
      </c>
      <c r="D17" s="6" t="n">
        <v>3839</v>
      </c>
      <c r="E17" s="9" t="n">
        <v>86</v>
      </c>
      <c r="F17" s="9" t="n">
        <v>12</v>
      </c>
      <c r="G17" s="9" t="n">
        <v>21</v>
      </c>
    </row>
    <row r="18">
      <c r="A18" s="9" t="n">
        <v>1935</v>
      </c>
      <c r="B18" s="6" t="n">
        <v>3993</v>
      </c>
      <c r="C18" s="6" t="n">
        <v>2095</v>
      </c>
      <c r="D18" s="6" t="n">
        <v>1887</v>
      </c>
      <c r="E18" t="inlineStr">
        <is>
          <t>—</t>
        </is>
      </c>
      <c r="F18" t="inlineStr">
        <is>
          <t>—</t>
        </is>
      </c>
      <c r="G18" s="9" t="n">
        <v>11</v>
      </c>
    </row>
    <row r="19">
      <c r="A19" s="9" t="n">
        <v>1936</v>
      </c>
      <c r="B19" s="6" t="n">
        <v>11726</v>
      </c>
      <c r="C19" s="6" t="n">
        <v>5608</v>
      </c>
      <c r="D19" s="9" t="n">
        <v>100</v>
      </c>
      <c r="E19" t="inlineStr">
        <is>
          <t>—</t>
        </is>
      </c>
      <c r="F19" t="inlineStr">
        <is>
          <t>—</t>
        </is>
      </c>
      <c r="G19" t="inlineStr">
        <is>
          <t>—</t>
        </is>
      </c>
    </row>
    <row r="20">
      <c r="A20" s="9" t="n">
        <v>1937</v>
      </c>
      <c r="B20" s="6" t="n">
        <v>9843</v>
      </c>
      <c r="C20" s="6" t="n">
        <v>6742</v>
      </c>
      <c r="D20" s="9" t="n">
        <v>115</v>
      </c>
      <c r="E20" t="inlineStr">
        <is>
          <t>—</t>
        </is>
      </c>
      <c r="F20" t="inlineStr">
        <is>
          <t>—</t>
        </is>
      </c>
      <c r="G20" s="9" t="n">
        <v>4</v>
      </c>
    </row>
    <row r="21">
      <c r="A21" s="9" t="n">
        <v>1938</v>
      </c>
      <c r="B21" s="6" t="n">
        <v>18845</v>
      </c>
      <c r="C21" s="6" t="n">
        <v>6741</v>
      </c>
      <c r="D21" s="6" t="n">
        <v>11876</v>
      </c>
      <c r="E21" t="inlineStr">
        <is>
          <t>—</t>
        </is>
      </c>
      <c r="F21" t="inlineStr">
        <is>
          <t>—</t>
        </is>
      </c>
      <c r="G21" s="9" t="n">
        <v>228</v>
      </c>
    </row>
    <row r="22">
      <c r="A22" s="9" t="n">
        <v>1939</v>
      </c>
      <c r="B22" s="6" t="n">
        <v>27063</v>
      </c>
      <c r="C22" s="6" t="n">
        <v>16019</v>
      </c>
      <c r="D22" s="6" t="n">
        <v>11044</v>
      </c>
      <c r="E22" t="inlineStr">
        <is>
          <t>—</t>
        </is>
      </c>
      <c r="F22" t="inlineStr">
        <is>
          <t>—</t>
        </is>
      </c>
      <c r="G22" t="inlineStr">
        <is>
          <t>—</t>
        </is>
      </c>
    </row>
    <row r="24">
      <c r="A24" s="2" t="inlineStr">
        <is>
          <t>Maize</t>
        </is>
      </c>
    </row>
    <row r="25">
      <c r="A25" s="5" t="inlineStr">
        <is>
          <t>Year</t>
        </is>
      </c>
      <c r="B25" s="5" t="inlineStr">
        <is>
          <t>Total</t>
        </is>
      </c>
      <c r="C25" s="5" t="inlineStr">
        <is>
          <t>Japan</t>
        </is>
      </c>
      <c r="D25" s="5" t="inlineStr">
        <is>
          <t>China</t>
        </is>
      </c>
      <c r="E25" s="5" t="inlineStr">
        <is>
          <t>U.S.A.</t>
        </is>
      </c>
      <c r="F25" s="5" t="inlineStr">
        <is>
          <t>Holland</t>
        </is>
      </c>
      <c r="G25" s="5" t="inlineStr">
        <is>
          <t>Others</t>
        </is>
      </c>
    </row>
    <row r="26">
      <c r="A26" s="9" t="n">
        <v>1934</v>
      </c>
      <c r="B26" s="6" t="n">
        <v>5016</v>
      </c>
      <c r="C26" s="6" t="n">
        <v>2803</v>
      </c>
      <c r="D26" s="6" t="n">
        <v>1950</v>
      </c>
      <c r="E26" s="9" t="n">
        <v>62</v>
      </c>
      <c r="F26" t="inlineStr">
        <is>
          <t>—</t>
        </is>
      </c>
      <c r="G26" s="9" t="n">
        <v>101</v>
      </c>
    </row>
    <row r="27">
      <c r="A27" s="9" t="n">
        <v>1935</v>
      </c>
      <c r="B27" s="6" t="n">
        <v>1470</v>
      </c>
      <c r="C27" s="9" t="n">
        <v>514</v>
      </c>
      <c r="D27" s="9" t="n">
        <v>907</v>
      </c>
      <c r="E27" s="9" t="n">
        <v>32</v>
      </c>
      <c r="F27" t="inlineStr">
        <is>
          <t>—</t>
        </is>
      </c>
      <c r="G27" s="9" t="n">
        <v>17</v>
      </c>
    </row>
    <row r="28">
      <c r="A28" s="9" t="n">
        <v>1936</v>
      </c>
      <c r="B28" s="6" t="n">
        <v>6995</v>
      </c>
      <c r="C28" s="6" t="n">
        <v>1122</v>
      </c>
      <c r="D28" s="6" t="n">
        <v>5693</v>
      </c>
      <c r="E28" s="9" t="n">
        <v>180</v>
      </c>
      <c r="F28" t="inlineStr">
        <is>
          <t>—</t>
        </is>
      </c>
      <c r="G28" s="9" t="n">
        <v>0</v>
      </c>
    </row>
    <row r="29">
      <c r="A29" s="9" t="n">
        <v>1937</v>
      </c>
      <c r="B29" s="6" t="n">
        <v>8526</v>
      </c>
      <c r="C29" s="6" t="n">
        <v>4397</v>
      </c>
      <c r="D29" s="6" t="n">
        <v>4122</v>
      </c>
      <c r="E29" s="9" t="n">
        <v>8</v>
      </c>
      <c r="F29" t="inlineStr">
        <is>
          <t>—</t>
        </is>
      </c>
      <c r="G29" s="9" t="n">
        <v>13</v>
      </c>
    </row>
    <row r="30">
      <c r="A30" s="9" t="n">
        <v>1938</v>
      </c>
      <c r="B30" s="6" t="n">
        <v>18328</v>
      </c>
      <c r="C30" s="6" t="n">
        <v>12896</v>
      </c>
      <c r="D30" s="6" t="n">
        <v>5418</v>
      </c>
      <c r="E30" t="inlineStr">
        <is>
          <t>—</t>
        </is>
      </c>
      <c r="F30" t="inlineStr">
        <is>
          <t>—</t>
        </is>
      </c>
      <c r="G30" t="inlineStr">
        <is>
          <t>—</t>
        </is>
      </c>
    </row>
    <row r="31">
      <c r="A31" s="9" t="n">
        <v>1939</v>
      </c>
      <c r="B31" s="6" t="n">
        <v>29072</v>
      </c>
      <c r="C31" s="6" t="n">
        <v>16935</v>
      </c>
      <c r="D31" s="6" t="n">
        <v>12136</v>
      </c>
      <c r="E31" t="inlineStr">
        <is>
          <t>—</t>
        </is>
      </c>
      <c r="F31" t="inlineStr">
        <is>
          <t>—</t>
        </is>
      </c>
      <c r="G31" t="inlineStr">
        <is>
          <t>—</t>
        </is>
      </c>
    </row>
    <row r="33">
      <c r="A33" s="2" t="inlineStr">
        <is>
          <t>Millet</t>
        </is>
      </c>
    </row>
    <row r="34">
      <c r="A34" s="5" t="inlineStr">
        <is>
          <t>Year</t>
        </is>
      </c>
      <c r="B34" s="5" t="inlineStr">
        <is>
          <t>Total</t>
        </is>
      </c>
      <c r="C34" s="5" t="inlineStr">
        <is>
          <t>Japan</t>
        </is>
      </c>
      <c r="D34" s="5" t="inlineStr">
        <is>
          <t>China</t>
        </is>
      </c>
      <c r="E34" s="5" t="inlineStr">
        <is>
          <t>U.K.</t>
        </is>
      </c>
      <c r="F34" s="5" t="inlineStr">
        <is>
          <t>Germany</t>
        </is>
      </c>
      <c r="G34" s="5" t="inlineStr">
        <is>
          <t>U.S.A.</t>
        </is>
      </c>
    </row>
    <row r="35">
      <c r="A35" s="9" t="n">
        <v>1934</v>
      </c>
      <c r="B35" s="6" t="n">
        <v>19940</v>
      </c>
      <c r="C35" s="6" t="n">
        <v>18607</v>
      </c>
      <c r="D35" s="6" t="n">
        <v>1063</v>
      </c>
      <c r="E35" s="9" t="n">
        <v>23</v>
      </c>
      <c r="F35" s="9" t="n">
        <v>131</v>
      </c>
      <c r="G35" s="9" t="n">
        <v>87</v>
      </c>
    </row>
    <row r="36">
      <c r="A36" s="9" t="n">
        <v>1935</v>
      </c>
      <c r="B36" s="6" t="n">
        <v>9050</v>
      </c>
      <c r="C36" s="6" t="n">
        <v>8439</v>
      </c>
      <c r="D36" s="9" t="n">
        <v>282</v>
      </c>
      <c r="E36" s="9" t="n">
        <v>15</v>
      </c>
      <c r="F36" s="9" t="n">
        <v>4</v>
      </c>
      <c r="G36" s="9" t="n">
        <v>300</v>
      </c>
    </row>
    <row r="37">
      <c r="A37" s="9" t="n">
        <v>1936</v>
      </c>
      <c r="B37" s="6" t="n">
        <v>18318</v>
      </c>
      <c r="C37" s="6" t="n">
        <v>17548</v>
      </c>
      <c r="D37" s="9" t="n">
        <v>634</v>
      </c>
      <c r="E37" s="9" t="n">
        <v>33</v>
      </c>
      <c r="F37" s="9" t="n">
        <v>7</v>
      </c>
      <c r="G37" s="9" t="n">
        <v>22</v>
      </c>
    </row>
    <row r="38">
      <c r="A38" s="9" t="n">
        <v>1937</v>
      </c>
      <c r="B38" s="6" t="n">
        <v>13197</v>
      </c>
      <c r="C38" s="6" t="n">
        <v>12787</v>
      </c>
      <c r="D38" s="6" t="n">
        <v>1349</v>
      </c>
      <c r="E38" s="9" t="n">
        <v>8</v>
      </c>
      <c r="F38" t="inlineStr">
        <is>
          <t>—</t>
        </is>
      </c>
      <c r="G38" s="9" t="n">
        <v>12</v>
      </c>
    </row>
    <row r="39">
      <c r="A39" s="9" t="n">
        <v>1938</v>
      </c>
      <c r="B39" s="6" t="n">
        <v>20260</v>
      </c>
      <c r="C39" s="6" t="n">
        <v>14065</v>
      </c>
      <c r="D39" s="6" t="n">
        <v>6126</v>
      </c>
      <c r="E39" t="inlineStr">
        <is>
          <t>—</t>
        </is>
      </c>
      <c r="F39" t="inlineStr">
        <is>
          <t>—</t>
        </is>
      </c>
      <c r="G39" t="inlineStr">
        <is>
          <t>—</t>
        </is>
      </c>
    </row>
    <row r="40">
      <c r="A40" s="9" t="n">
        <v>1939</v>
      </c>
      <c r="B40" s="6" t="n">
        <v>33694</v>
      </c>
      <c r="C40" s="6" t="n">
        <v>16896</v>
      </c>
      <c r="D40" s="6" t="n">
        <v>16666</v>
      </c>
      <c r="E40" t="inlineStr">
        <is>
          <t>—</t>
        </is>
      </c>
      <c r="F40" t="inlineStr">
        <is>
          <t>—</t>
        </is>
      </c>
      <c r="G40" t="inlineStr">
        <is>
          <t>—</t>
        </is>
      </c>
    </row>
    <row r="42">
      <c r="A42" s="2" t="inlineStr">
        <is>
          <t>Buckwheat</t>
        </is>
      </c>
    </row>
    <row r="43">
      <c r="A43" s="5" t="inlineStr">
        <is>
          <t>Year</t>
        </is>
      </c>
      <c r="B43" s="5" t="inlineStr">
        <is>
          <t>Total</t>
        </is>
      </c>
      <c r="C43" s="5" t="inlineStr">
        <is>
          <t>Japan</t>
        </is>
      </c>
      <c r="D43" s="5" t="inlineStr">
        <is>
          <t>China</t>
        </is>
      </c>
      <c r="E43" s="5" t="inlineStr">
        <is>
          <t>Germany</t>
        </is>
      </c>
      <c r="F43" s="5" t="inlineStr">
        <is>
          <t>Belgium</t>
        </is>
      </c>
      <c r="G43" s="5" t="inlineStr">
        <is>
          <t>Holland</t>
        </is>
      </c>
    </row>
    <row r="44">
      <c r="A44" s="9" t="n">
        <v>1934</v>
      </c>
      <c r="B44" s="6" t="n">
        <v>4251</v>
      </c>
      <c r="C44" s="9" t="n">
        <v>339</v>
      </c>
      <c r="D44" s="9" t="n">
        <v>5</v>
      </c>
      <c r="E44" s="6" t="n">
        <v>3151</v>
      </c>
      <c r="F44" s="9" t="n">
        <v>288</v>
      </c>
      <c r="G44" s="9" t="n">
        <v>428</v>
      </c>
    </row>
    <row r="45">
      <c r="A45" s="9" t="n">
        <v>1935</v>
      </c>
      <c r="B45" s="6" t="n">
        <v>2494</v>
      </c>
      <c r="C45" s="9" t="n">
        <v>783</v>
      </c>
      <c r="D45" s="9" t="n">
        <v>4</v>
      </c>
      <c r="E45" s="6" t="n">
        <v>1107</v>
      </c>
      <c r="F45" s="9" t="n">
        <v>281</v>
      </c>
      <c r="G45" s="9" t="n">
        <v>286</v>
      </c>
    </row>
    <row r="46">
      <c r="A46" s="9" t="n">
        <v>1936</v>
      </c>
      <c r="B46" s="6" t="n">
        <v>2373</v>
      </c>
      <c r="C46" s="6" t="n">
        <v>1368</v>
      </c>
      <c r="D46" s="9" t="n">
        <v>14</v>
      </c>
      <c r="E46" s="9" t="n">
        <v>677</v>
      </c>
      <c r="F46" s="9" t="n">
        <v>190</v>
      </c>
      <c r="G46" s="9" t="n">
        <v>101</v>
      </c>
    </row>
    <row r="47">
      <c r="A47" s="9" t="n">
        <v>1937</v>
      </c>
      <c r="B47" s="6" t="n">
        <v>2564</v>
      </c>
      <c r="C47" s="9" t="n">
        <v>872</v>
      </c>
      <c r="D47" s="9" t="n">
        <v>36</v>
      </c>
      <c r="E47" s="6" t="n">
        <v>1197</v>
      </c>
      <c r="F47" s="9" t="n">
        <v>80</v>
      </c>
      <c r="G47" s="9" t="n">
        <v>369</v>
      </c>
    </row>
    <row r="48">
      <c r="A48" s="9" t="n">
        <v>1938</v>
      </c>
      <c r="B48" s="6" t="n">
        <v>2683</v>
      </c>
      <c r="C48" s="9" t="n">
        <v>782</v>
      </c>
      <c r="D48" s="9" t="n">
        <v>77</v>
      </c>
      <c r="E48" s="6" t="n">
        <v>1355</v>
      </c>
      <c r="F48" s="9" t="n">
        <v>111</v>
      </c>
      <c r="G48" s="9" t="n">
        <v>345</v>
      </c>
    </row>
    <row r="49">
      <c r="A49" s="9" t="n">
        <v>1939</v>
      </c>
      <c r="B49" s="6" t="n">
        <v>1853</v>
      </c>
      <c r="C49" s="6" t="n">
        <v>1557</v>
      </c>
      <c r="D49" s="9" t="n">
        <v>152</v>
      </c>
      <c r="E49" s="9" t="n">
        <v>114</v>
      </c>
      <c r="F49" s="9" t="n">
        <v>5</v>
      </c>
      <c r="G49" s="9" t="n">
        <v>14</v>
      </c>
    </row>
    <row r="51">
      <c r="A51" s="2" t="inlineStr">
        <is>
          <t>Soya Beans</t>
        </is>
      </c>
    </row>
    <row r="52">
      <c r="A52" s="5" t="inlineStr">
        <is>
          <t>Year</t>
        </is>
      </c>
      <c r="B52" s="5" t="inlineStr">
        <is>
          <t>Total</t>
        </is>
      </c>
      <c r="C52" s="5" t="inlineStr">
        <is>
          <t>Japan</t>
        </is>
      </c>
      <c r="D52" s="5" t="inlineStr">
        <is>
          <t>China</t>
        </is>
      </c>
      <c r="E52" s="5" t="inlineStr">
        <is>
          <t>U.K.</t>
        </is>
      </c>
      <c r="F52" s="5" t="inlineStr">
        <is>
          <t>Germany</t>
        </is>
      </c>
      <c r="G52" s="5" t="inlineStr">
        <is>
          <t>Egypt</t>
        </is>
      </c>
    </row>
    <row r="53">
      <c r="A53" s="9" t="n">
        <v>1934</v>
      </c>
      <c r="B53" s="6" t="n">
        <v>160349</v>
      </c>
      <c r="C53" s="6" t="n">
        <v>39651</v>
      </c>
      <c r="D53" s="6" t="n">
        <v>9031</v>
      </c>
      <c r="E53" s="6" t="n">
        <v>13714</v>
      </c>
      <c r="F53" s="6" t="n">
        <v>36258</v>
      </c>
      <c r="G53" s="6" t="n">
        <v>46179</v>
      </c>
    </row>
    <row r="54">
      <c r="A54" s="9" t="n">
        <v>1935</v>
      </c>
      <c r="B54" s="6" t="n">
        <v>130053</v>
      </c>
      <c r="C54" s="6" t="n">
        <v>42520</v>
      </c>
      <c r="D54" s="6" t="n">
        <v>12049</v>
      </c>
      <c r="E54" s="6" t="n">
        <v>18215</v>
      </c>
      <c r="F54" s="6" t="n">
        <v>22169</v>
      </c>
      <c r="G54" s="6" t="n">
        <v>16284</v>
      </c>
    </row>
    <row r="55">
      <c r="A55" s="9" t="n">
        <v>1936</v>
      </c>
      <c r="B55" s="6" t="n">
        <v>216475</v>
      </c>
      <c r="C55" s="6" t="n">
        <v>72325</v>
      </c>
      <c r="D55" s="6" t="n">
        <v>18816</v>
      </c>
      <c r="E55" s="6" t="n">
        <v>21411</v>
      </c>
      <c r="F55" s="6" t="n">
        <v>34388</v>
      </c>
      <c r="G55" s="6" t="n">
        <v>50558</v>
      </c>
    </row>
    <row r="56">
      <c r="A56" s="9" t="n">
        <v>1937</v>
      </c>
      <c r="B56" s="6" t="n">
        <v>226076</v>
      </c>
      <c r="C56" s="6" t="n">
        <v>86654</v>
      </c>
      <c r="D56" s="6" t="n">
        <v>6313</v>
      </c>
      <c r="E56" s="6" t="n">
        <v>4143</v>
      </c>
      <c r="F56" s="6" t="n">
        <v>42511</v>
      </c>
      <c r="G56" s="6" t="n">
        <v>76119</v>
      </c>
    </row>
    <row r="57">
      <c r="A57" s="9" t="n">
        <v>1938</v>
      </c>
      <c r="B57" s="6" t="n">
        <v>234263</v>
      </c>
      <c r="C57" s="6" t="n">
        <v>79831</v>
      </c>
      <c r="D57" s="6" t="n">
        <v>11019</v>
      </c>
      <c r="E57" s="6" t="n">
        <v>3457</v>
      </c>
      <c r="F57" s="6" t="n">
        <v>37711</v>
      </c>
      <c r="G57" s="6" t="n">
        <v>92856</v>
      </c>
    </row>
    <row r="58">
      <c r="A58" s="9" t="n">
        <v>1939</v>
      </c>
      <c r="B58" s="6" t="n">
        <v>206584</v>
      </c>
      <c r="C58" s="6" t="n">
        <v>95492</v>
      </c>
      <c r="D58" s="6" t="n">
        <v>10414</v>
      </c>
      <c r="E58" s="6" t="n">
        <v>1278</v>
      </c>
      <c r="F58" s="6" t="n">
        <v>41044</v>
      </c>
      <c r="G58" s="6" t="n">
        <v>42079</v>
      </c>
    </row>
    <row r="60">
      <c r="A60" s="2" t="inlineStr">
        <is>
          <t>Other Beans</t>
        </is>
      </c>
    </row>
    <row r="61">
      <c r="A61" s="5" t="inlineStr">
        <is>
          <t>Year</t>
        </is>
      </c>
      <c r="B61" s="5" t="inlineStr">
        <is>
          <t>Total</t>
        </is>
      </c>
      <c r="C61" s="5" t="inlineStr">
        <is>
          <t>Japan</t>
        </is>
      </c>
      <c r="D61" s="5" t="inlineStr">
        <is>
          <t>China</t>
        </is>
      </c>
      <c r="E61" s="5" t="inlineStr">
        <is>
          <t>Hongkong</t>
        </is>
      </c>
      <c r="F61" s="5" t="inlineStr">
        <is>
          <t>D.E.I.</t>
        </is>
      </c>
      <c r="G61" s="5" t="inlineStr">
        <is>
          <t>Others</t>
        </is>
      </c>
    </row>
    <row r="62">
      <c r="A62" s="9" t="n">
        <v>1934</v>
      </c>
      <c r="B62" s="6" t="n">
        <v>9994</v>
      </c>
      <c r="C62" s="6" t="n">
        <v>7658</v>
      </c>
      <c r="D62" s="6" t="n">
        <v>1330</v>
      </c>
      <c r="E62" s="9" t="n">
        <v>358</v>
      </c>
      <c r="F62" s="9" t="n">
        <v>55</v>
      </c>
      <c r="G62" s="9" t="n">
        <v>593</v>
      </c>
    </row>
    <row r="63">
      <c r="A63" s="9" t="n">
        <v>1935</v>
      </c>
      <c r="B63" s="6" t="n">
        <v>13056</v>
      </c>
      <c r="C63" s="6" t="n">
        <v>10211</v>
      </c>
      <c r="D63" s="6" t="n">
        <v>1543</v>
      </c>
      <c r="E63" s="9" t="n">
        <v>505</v>
      </c>
      <c r="F63" s="9" t="n">
        <v>120</v>
      </c>
      <c r="G63" s="9" t="n">
        <v>677</v>
      </c>
    </row>
    <row r="64">
      <c r="A64" s="9" t="n">
        <v>1936</v>
      </c>
      <c r="B64" s="6" t="n">
        <v>14838</v>
      </c>
      <c r="C64" s="6" t="n">
        <v>12718</v>
      </c>
      <c r="D64" s="6" t="n">
        <v>1325</v>
      </c>
      <c r="E64" s="9" t="n">
        <v>516</v>
      </c>
      <c r="F64" s="9" t="n">
        <v>63</v>
      </c>
      <c r="G64" s="9" t="n">
        <v>216</v>
      </c>
    </row>
    <row r="65">
      <c r="A65" s="9" t="n">
        <v>1937</v>
      </c>
      <c r="B65" s="6" t="n">
        <v>12542</v>
      </c>
      <c r="C65" s="6" t="n">
        <v>10755</v>
      </c>
      <c r="D65" s="9" t="n">
        <v>861</v>
      </c>
      <c r="E65" s="9" t="n">
        <v>627</v>
      </c>
      <c r="F65" s="9" t="n">
        <v>67</v>
      </c>
      <c r="G65" s="9" t="n">
        <v>299</v>
      </c>
    </row>
    <row r="66">
      <c r="A66" s="9" t="n">
        <v>1938</v>
      </c>
      <c r="B66" s="6" t="n">
        <v>14010</v>
      </c>
      <c r="C66" s="6" t="n">
        <v>10542</v>
      </c>
      <c r="D66" s="6" t="n">
        <v>2748</v>
      </c>
      <c r="E66" s="9" t="n">
        <v>485</v>
      </c>
      <c r="F66" s="9" t="n">
        <v>14</v>
      </c>
      <c r="G66" s="9" t="n">
        <v>219</v>
      </c>
    </row>
    <row r="67">
      <c r="A67" s="9" t="n">
        <v>1939</v>
      </c>
      <c r="B67" s="6" t="n">
        <v>25704</v>
      </c>
      <c r="C67" s="6" t="n">
        <v>20210</v>
      </c>
      <c r="D67" s="6" t="n">
        <v>5447</v>
      </c>
      <c r="E67" s="9" t="n">
        <v>4</v>
      </c>
      <c r="F67" t="inlineStr">
        <is>
          <t>—</t>
        </is>
      </c>
      <c r="G67" s="9" t="n">
        <v>41</v>
      </c>
    </row>
    <row r="69">
      <c r="A69" s="2" t="inlineStr">
        <is>
          <t>Ground nuts</t>
        </is>
      </c>
    </row>
    <row r="70">
      <c r="A70" s="5" t="inlineStr">
        <is>
          <t>Year</t>
        </is>
      </c>
      <c r="B70" s="5" t="inlineStr">
        <is>
          <t>Total</t>
        </is>
      </c>
      <c r="C70" s="5" t="inlineStr">
        <is>
          <t>Japan</t>
        </is>
      </c>
      <c r="D70" s="5" t="inlineStr">
        <is>
          <t>France</t>
        </is>
      </c>
      <c r="E70" s="5" t="inlineStr">
        <is>
          <t>Germany</t>
        </is>
      </c>
      <c r="F70" s="5" t="inlineStr">
        <is>
          <t>Holland</t>
        </is>
      </c>
      <c r="G70" s="5" t="inlineStr">
        <is>
          <t>Italy</t>
        </is>
      </c>
    </row>
    <row r="71">
      <c r="A71" s="9" t="n">
        <v>1934</v>
      </c>
      <c r="B71" s="6" t="n">
        <v>14129</v>
      </c>
      <c r="C71" s="9" t="n">
        <v>680</v>
      </c>
      <c r="D71" s="6" t="n">
        <v>1205</v>
      </c>
      <c r="E71" s="6" t="n">
        <v>2606</v>
      </c>
      <c r="F71" s="6" t="n">
        <v>3910</v>
      </c>
      <c r="G71" s="6" t="n">
        <v>1904</v>
      </c>
    </row>
    <row r="72">
      <c r="A72" s="9" t="n">
        <v>1935</v>
      </c>
      <c r="B72" s="6" t="n">
        <v>15141</v>
      </c>
      <c r="C72" s="9" t="n">
        <v>693</v>
      </c>
      <c r="D72" s="6" t="n">
        <v>1733</v>
      </c>
      <c r="E72" s="6" t="n">
        <v>2188</v>
      </c>
      <c r="F72" s="6" t="n">
        <v>5937</v>
      </c>
      <c r="G72" s="6" t="n">
        <v>1184</v>
      </c>
    </row>
    <row r="73">
      <c r="A73" s="9" t="n">
        <v>1936</v>
      </c>
      <c r="B73" s="6" t="n">
        <v>16111</v>
      </c>
      <c r="C73" s="6" t="n">
        <v>1222</v>
      </c>
      <c r="D73" s="9" t="n">
        <v>556</v>
      </c>
      <c r="E73" s="6" t="n">
        <v>5335</v>
      </c>
      <c r="F73" s="6" t="n">
        <v>2834</v>
      </c>
      <c r="G73" s="9" t="n">
        <v>342</v>
      </c>
    </row>
    <row r="74">
      <c r="A74" s="9" t="n">
        <v>1937</v>
      </c>
      <c r="B74" s="6" t="n">
        <v>16370</v>
      </c>
      <c r="C74" s="6" t="n">
        <v>2021</v>
      </c>
      <c r="D74" s="9" t="n">
        <v>316</v>
      </c>
      <c r="E74" s="6" t="n">
        <v>2849</v>
      </c>
      <c r="F74" s="6" t="n">
        <v>2484</v>
      </c>
      <c r="G74" s="6" t="n">
        <v>1386</v>
      </c>
    </row>
    <row r="75">
      <c r="A75" s="9" t="n">
        <v>1938</v>
      </c>
      <c r="B75" s="6" t="n">
        <v>12115</v>
      </c>
      <c r="C75" s="6" t="n">
        <v>6278</v>
      </c>
      <c r="D75" s="9" t="n">
        <v>275</v>
      </c>
      <c r="E75" s="6" t="n">
        <v>1049</v>
      </c>
      <c r="F75" s="9" t="n">
        <v>870</v>
      </c>
      <c r="G75" s="9" t="n">
        <v>93</v>
      </c>
    </row>
    <row r="76">
      <c r="A76" s="9" t="n">
        <v>1939</v>
      </c>
      <c r="B76" s="6" t="n">
        <v>6271</v>
      </c>
      <c r="C76" s="6" t="n">
        <v>3501</v>
      </c>
      <c r="D76" s="9" t="n">
        <v>17</v>
      </c>
      <c r="E76" s="9" t="n">
        <v>79</v>
      </c>
      <c r="F76" s="9" t="n">
        <v>117</v>
      </c>
      <c r="G76" s="6" t="n">
        <v>1680</v>
      </c>
    </row>
    <row r="78">
      <c r="A78" s="2" t="inlineStr">
        <is>
          <t>Hides, Skin &amp; Leather</t>
        </is>
      </c>
    </row>
    <row r="79">
      <c r="A79" s="5" t="inlineStr">
        <is>
          <t>Year</t>
        </is>
      </c>
      <c r="B79" s="5" t="inlineStr">
        <is>
          <t>Total</t>
        </is>
      </c>
      <c r="C79" s="5" t="inlineStr">
        <is>
          <t>Japan</t>
        </is>
      </c>
      <c r="D79" s="5" t="inlineStr">
        <is>
          <t>China</t>
        </is>
      </c>
      <c r="E79" s="5" t="inlineStr">
        <is>
          <t>U.K.</t>
        </is>
      </c>
      <c r="F79" s="5" t="inlineStr">
        <is>
          <t>U.S.A.</t>
        </is>
      </c>
      <c r="G79" s="5" t="inlineStr">
        <is>
          <t>Others</t>
        </is>
      </c>
    </row>
    <row r="80">
      <c r="A80" s="9" t="n">
        <v>1934</v>
      </c>
      <c r="B80" s="6" t="n">
        <v>6687</v>
      </c>
      <c r="C80" s="6" t="n">
        <v>1822</v>
      </c>
      <c r="D80" s="9" t="n">
        <v>175</v>
      </c>
      <c r="E80" s="9" t="n">
        <v>101</v>
      </c>
      <c r="F80" s="9" t="n">
        <v>563</v>
      </c>
      <c r="G80" s="9" t="n">
        <v>27</v>
      </c>
    </row>
    <row r="81">
      <c r="A81" s="9" t="n">
        <v>1935</v>
      </c>
      <c r="B81" s="6" t="n">
        <v>4134</v>
      </c>
      <c r="C81" s="6" t="n">
        <v>2555</v>
      </c>
      <c r="D81" s="9" t="n">
        <v>230</v>
      </c>
      <c r="E81" s="9" t="n">
        <v>167</v>
      </c>
      <c r="F81" s="6" t="n">
        <v>1132</v>
      </c>
      <c r="G81" s="9" t="n">
        <v>50</v>
      </c>
    </row>
    <row r="82">
      <c r="A82" s="9" t="n">
        <v>1936</v>
      </c>
      <c r="B82" s="6" t="n">
        <v>5785</v>
      </c>
      <c r="C82" s="6" t="n">
        <v>3766</v>
      </c>
      <c r="D82" s="9" t="n">
        <v>338</v>
      </c>
      <c r="E82" s="9" t="n">
        <v>120</v>
      </c>
      <c r="F82" s="6" t="n">
        <v>1531</v>
      </c>
      <c r="G82" s="9" t="n">
        <v>30</v>
      </c>
    </row>
    <row r="83">
      <c r="A83" s="9" t="n">
        <v>1937</v>
      </c>
      <c r="B83" s="6" t="n">
        <v>5368</v>
      </c>
      <c r="C83" s="6" t="n">
        <v>2865</v>
      </c>
      <c r="D83" s="9" t="n">
        <v>315</v>
      </c>
      <c r="E83" s="9" t="n">
        <v>289</v>
      </c>
      <c r="F83" s="6" t="n">
        <v>1557</v>
      </c>
      <c r="G83" s="9" t="n">
        <v>342</v>
      </c>
    </row>
    <row r="84">
      <c r="A84" s="9" t="n">
        <v>1938</v>
      </c>
      <c r="B84" s="6" t="n">
        <v>6205</v>
      </c>
      <c r="C84" s="6" t="n">
        <v>2494</v>
      </c>
      <c r="D84" s="9" t="n">
        <v>150</v>
      </c>
      <c r="E84" s="9" t="n">
        <v>87</v>
      </c>
      <c r="F84" s="6" t="n">
        <v>2585</v>
      </c>
      <c r="G84" s="9" t="n">
        <v>888</v>
      </c>
    </row>
    <row r="85">
      <c r="A85" s="9" t="n">
        <v>1939</v>
      </c>
      <c r="B85" s="6" t="n">
        <v>4156</v>
      </c>
      <c r="C85" s="6" t="n">
        <v>1043</v>
      </c>
      <c r="D85" s="9" t="n">
        <v>2</v>
      </c>
      <c r="E85" s="9" t="n">
        <v>28</v>
      </c>
      <c r="F85" t="inlineStr">
        <is>
          <t>—</t>
        </is>
      </c>
      <c r="G85" s="6" t="n">
        <v>3082</v>
      </c>
    </row>
    <row r="87">
      <c r="A87" s="2" t="inlineStr">
        <is>
          <t>Bristle</t>
        </is>
      </c>
    </row>
    <row r="88">
      <c r="A88" s="5" t="inlineStr">
        <is>
          <t>Year</t>
        </is>
      </c>
      <c r="B88" s="5" t="inlineStr">
        <is>
          <t>Total</t>
        </is>
      </c>
      <c r="C88" s="5" t="inlineStr">
        <is>
          <t>Japan</t>
        </is>
      </c>
      <c r="D88" s="5" t="inlineStr">
        <is>
          <t>China</t>
        </is>
      </c>
      <c r="E88" s="5" t="inlineStr">
        <is>
          <t>U.K.</t>
        </is>
      </c>
      <c r="F88" s="5" t="inlineStr">
        <is>
          <t>Germany</t>
        </is>
      </c>
      <c r="G88" s="5" t="inlineStr">
        <is>
          <t>U.S.A.</t>
        </is>
      </c>
    </row>
    <row r="89">
      <c r="A89" s="9" t="n">
        <v>1934</v>
      </c>
      <c r="B89" s="6" t="n">
        <v>2146</v>
      </c>
      <c r="C89" s="9" t="n">
        <v>459</v>
      </c>
      <c r="D89" s="9" t="n">
        <v>529</v>
      </c>
      <c r="E89" s="9" t="n">
        <v>239</v>
      </c>
      <c r="F89" s="9" t="n">
        <v>68</v>
      </c>
      <c r="G89" s="9" t="n">
        <v>788</v>
      </c>
    </row>
    <row r="90">
      <c r="A90" s="9" t="n">
        <v>1935</v>
      </c>
      <c r="B90" s="6" t="n">
        <v>2797</v>
      </c>
      <c r="C90" s="9" t="n">
        <v>812</v>
      </c>
      <c r="D90" s="9" t="n">
        <v>329</v>
      </c>
      <c r="E90" s="9" t="n">
        <v>234</v>
      </c>
      <c r="F90" s="9" t="n">
        <v>99</v>
      </c>
      <c r="G90" s="6" t="n">
        <v>1177</v>
      </c>
    </row>
    <row r="91">
      <c r="A91" s="9" t="n">
        <v>1936</v>
      </c>
      <c r="B91" s="6" t="n">
        <v>4404</v>
      </c>
      <c r="C91" s="6" t="n">
        <v>1194</v>
      </c>
      <c r="D91" s="9" t="n">
        <v>779</v>
      </c>
      <c r="E91" s="9" t="n">
        <v>234</v>
      </c>
      <c r="F91" s="9" t="n">
        <v>254</v>
      </c>
      <c r="G91" s="6" t="n">
        <v>1817</v>
      </c>
    </row>
    <row r="92">
      <c r="A92" s="9" t="n">
        <v>1937</v>
      </c>
      <c r="B92" s="6" t="n">
        <v>6541</v>
      </c>
      <c r="C92" s="6" t="n">
        <v>1951</v>
      </c>
      <c r="D92" s="9" t="n">
        <v>606</v>
      </c>
      <c r="E92" s="9" t="n">
        <v>337</v>
      </c>
      <c r="F92" s="9" t="n">
        <v>903</v>
      </c>
      <c r="G92" s="6" t="n">
        <v>2368</v>
      </c>
    </row>
    <row r="93">
      <c r="A93" s="9" t="n">
        <v>1938</v>
      </c>
      <c r="B93" s="6" t="n">
        <v>5471</v>
      </c>
      <c r="C93" s="9" t="n">
        <v>942</v>
      </c>
      <c r="D93" s="9" t="n">
        <v>999</v>
      </c>
      <c r="E93" s="9" t="n">
        <v>292</v>
      </c>
      <c r="F93" s="9" t="n">
        <v>591</v>
      </c>
      <c r="G93" s="6" t="n">
        <v>2346</v>
      </c>
    </row>
    <row r="94">
      <c r="A94" s="9" t="n">
        <v>1939</v>
      </c>
      <c r="B94" s="6" t="n">
        <v>6595</v>
      </c>
      <c r="C94" s="6" t="n">
        <v>1131</v>
      </c>
      <c r="D94" s="9" t="n">
        <v>95</v>
      </c>
      <c r="E94" s="9" t="n">
        <v>756</v>
      </c>
      <c r="F94" s="9" t="n">
        <v>858</v>
      </c>
      <c r="G94" s="6" t="n">
        <v>3598</v>
      </c>
    </row>
    <row r="96">
      <c r="A96" s="2" t="inlineStr">
        <is>
          <t>Hemp seeds</t>
        </is>
      </c>
    </row>
    <row r="97">
      <c r="A97" s="5" t="inlineStr">
        <is>
          <t>Year</t>
        </is>
      </c>
      <c r="B97" s="5" t="inlineStr">
        <is>
          <t>Total</t>
        </is>
      </c>
      <c r="C97" s="5" t="inlineStr">
        <is>
          <t>Japan</t>
        </is>
      </c>
      <c r="D97" s="5" t="inlineStr">
        <is>
          <t>France</t>
        </is>
      </c>
      <c r="E97" s="5" t="inlineStr">
        <is>
          <t>Germany</t>
        </is>
      </c>
      <c r="F97" s="5" t="inlineStr">
        <is>
          <t>Belgium</t>
        </is>
      </c>
      <c r="G97" s="5" t="inlineStr">
        <is>
          <t>U.S.A.</t>
        </is>
      </c>
    </row>
    <row r="98">
      <c r="A98" s="9" t="n">
        <v>1934</v>
      </c>
      <c r="B98" s="6" t="n">
        <v>4410</v>
      </c>
      <c r="C98" s="9" t="n">
        <v>934</v>
      </c>
      <c r="D98" s="9" t="n">
        <v>578</v>
      </c>
      <c r="E98" s="6" t="n">
        <v>1950</v>
      </c>
      <c r="F98" s="9" t="n">
        <v>118</v>
      </c>
      <c r="G98" s="9" t="n">
        <v>453</v>
      </c>
    </row>
    <row r="99">
      <c r="A99" s="9" t="n">
        <v>1935</v>
      </c>
      <c r="B99" s="6" t="n">
        <v>5649</v>
      </c>
      <c r="C99" s="6" t="n">
        <v>1170</v>
      </c>
      <c r="D99" s="9" t="n">
        <v>437</v>
      </c>
      <c r="E99" s="9" t="n">
        <v>298</v>
      </c>
      <c r="F99" s="9" t="n">
        <v>145</v>
      </c>
      <c r="G99" s="6" t="n">
        <v>3387</v>
      </c>
    </row>
    <row r="100">
      <c r="A100" s="9" t="n">
        <v>1936</v>
      </c>
      <c r="B100" s="6" t="n">
        <v>3597</v>
      </c>
      <c r="C100" s="9" t="n">
        <v>716</v>
      </c>
      <c r="D100" s="9" t="n">
        <v>573</v>
      </c>
      <c r="E100" s="9" t="n">
        <v>161</v>
      </c>
      <c r="F100" s="9" t="n">
        <v>59</v>
      </c>
      <c r="G100" s="6" t="n">
        <v>1798</v>
      </c>
    </row>
    <row r="101">
      <c r="A101" s="9" t="n">
        <v>1937</v>
      </c>
      <c r="B101" s="6" t="n">
        <v>2269</v>
      </c>
      <c r="C101" s="9" t="n">
        <v>600</v>
      </c>
      <c r="D101" s="9" t="n">
        <v>542</v>
      </c>
      <c r="E101" s="9" t="n">
        <v>573</v>
      </c>
      <c r="F101" s="9" t="n">
        <v>117</v>
      </c>
      <c r="G101" s="9" t="n">
        <v>17</v>
      </c>
    </row>
    <row r="102">
      <c r="A102" s="9" t="n">
        <v>1938</v>
      </c>
      <c r="B102" s="6" t="n">
        <v>3305</v>
      </c>
      <c r="C102" s="9" t="n">
        <v>785</v>
      </c>
      <c r="D102" s="9" t="n">
        <v>762</v>
      </c>
      <c r="E102" s="9" t="n">
        <v>998</v>
      </c>
      <c r="F102" s="9" t="n">
        <v>249</v>
      </c>
      <c r="G102" s="9" t="n">
        <v>41</v>
      </c>
    </row>
    <row r="103">
      <c r="A103" s="9" t="n">
        <v>1939</v>
      </c>
      <c r="B103" s="6" t="n">
        <v>8381</v>
      </c>
      <c r="C103" s="6" t="n">
        <v>6694</v>
      </c>
      <c r="D103" s="9" t="n">
        <v>347</v>
      </c>
      <c r="E103" s="9" t="n">
        <v>372</v>
      </c>
      <c r="F103" s="9" t="n">
        <v>250</v>
      </c>
      <c r="G103" s="9" t="n">
        <v>84</v>
      </c>
    </row>
    <row r="105">
      <c r="A105" s="2" t="inlineStr">
        <is>
          <t>Perilla seeds</t>
        </is>
      </c>
    </row>
    <row r="106">
      <c r="A106" s="5" t="inlineStr">
        <is>
          <t>Year</t>
        </is>
      </c>
      <c r="B106" s="5" t="inlineStr">
        <is>
          <t>Total</t>
        </is>
      </c>
      <c r="C106" s="5" t="inlineStr">
        <is>
          <t>Japan</t>
        </is>
      </c>
      <c r="D106" s="5" t="inlineStr">
        <is>
          <t>China</t>
        </is>
      </c>
      <c r="E106" s="5" t="inlineStr">
        <is>
          <t>U.S.A.</t>
        </is>
      </c>
      <c r="F106" s="5" t="inlineStr">
        <is>
          <t>[no heading]</t>
        </is>
      </c>
      <c r="G106" s="5" t="inlineStr">
        <is>
          <t>Others</t>
        </is>
      </c>
    </row>
    <row r="107">
      <c r="A107" s="9" t="n">
        <v>1934</v>
      </c>
      <c r="B107" s="6" t="n">
        <v>4153</v>
      </c>
      <c r="C107" s="6" t="n">
        <v>3975</v>
      </c>
      <c r="D107" s="9" t="n">
        <v>2</v>
      </c>
      <c r="E107" s="9" t="n">
        <v>175</v>
      </c>
      <c r="F107" t="inlineStr">
        <is>
          <t>—</t>
        </is>
      </c>
      <c r="G107" t="inlineStr">
        <is>
          <t>—</t>
        </is>
      </c>
    </row>
    <row r="108">
      <c r="A108" s="9" t="n">
        <v>1935</v>
      </c>
      <c r="B108" s="6" t="n">
        <v>7533</v>
      </c>
      <c r="C108" s="6" t="n">
        <v>7355</v>
      </c>
      <c r="D108" s="9" t="n">
        <v>10</v>
      </c>
      <c r="E108" s="9" t="n">
        <v>166</v>
      </c>
      <c r="F108" t="inlineStr">
        <is>
          <t>—</t>
        </is>
      </c>
      <c r="G108" t="inlineStr">
        <is>
          <t>—</t>
        </is>
      </c>
    </row>
    <row r="109">
      <c r="A109" s="9" t="n">
        <v>1936</v>
      </c>
      <c r="B109" s="6" t="n">
        <v>13818</v>
      </c>
      <c r="C109" s="6" t="n">
        <v>13176</v>
      </c>
      <c r="D109" s="9" t="n">
        <v>200</v>
      </c>
      <c r="E109" s="9" t="n">
        <v>224</v>
      </c>
      <c r="F109" t="inlineStr">
        <is>
          <t>—</t>
        </is>
      </c>
      <c r="G109" s="9" t="n">
        <v>218</v>
      </c>
    </row>
    <row r="110">
      <c r="A110" s="9" t="n">
        <v>1937</v>
      </c>
      <c r="B110" s="6" t="n">
        <v>7885</v>
      </c>
      <c r="C110" s="6" t="n">
        <v>7695</v>
      </c>
      <c r="D110" s="9" t="n">
        <v>88</v>
      </c>
      <c r="E110" s="9" t="n">
        <v>12</v>
      </c>
      <c r="F110" t="inlineStr">
        <is>
          <t>—</t>
        </is>
      </c>
      <c r="G110" s="9" t="n">
        <v>91</v>
      </c>
    </row>
    <row r="111">
      <c r="A111" s="9" t="n">
        <v>1938</v>
      </c>
      <c r="B111" s="6" t="n">
        <v>7275</v>
      </c>
      <c r="C111" s="6" t="n">
        <v>7172</v>
      </c>
      <c r="D111" s="9" t="n">
        <v>103</v>
      </c>
      <c r="E111" t="inlineStr">
        <is>
          <t>—</t>
        </is>
      </c>
      <c r="F111" t="inlineStr">
        <is>
          <t>—</t>
        </is>
      </c>
      <c r="G111" t="inlineStr">
        <is>
          <t>—</t>
        </is>
      </c>
    </row>
    <row r="112">
      <c r="A112" s="9" t="n">
        <v>1939</v>
      </c>
      <c r="B112" s="6" t="n">
        <v>10872</v>
      </c>
      <c r="C112" s="6" t="n">
        <v>9862</v>
      </c>
      <c r="D112" s="9" t="n">
        <v>258</v>
      </c>
      <c r="E112" t="inlineStr">
        <is>
          <t>—</t>
        </is>
      </c>
      <c r="F112" t="inlineStr">
        <is>
          <t>—</t>
        </is>
      </c>
      <c r="G112" s="9" t="n">
        <v>750</v>
      </c>
    </row>
    <row r="114">
      <c r="A114" s="2" t="inlineStr">
        <is>
          <t>Sesamum seeds</t>
        </is>
      </c>
    </row>
    <row r="115">
      <c r="A115" s="5" t="inlineStr">
        <is>
          <t>Year</t>
        </is>
      </c>
      <c r="B115" s="5" t="inlineStr">
        <is>
          <t>Total</t>
        </is>
      </c>
      <c r="C115" s="5" t="inlineStr">
        <is>
          <t>Japan</t>
        </is>
      </c>
      <c r="D115" s="5" t="inlineStr">
        <is>
          <t>Germany</t>
        </is>
      </c>
      <c r="E115" s="5" t="inlineStr">
        <is>
          <t>Holland</t>
        </is>
      </c>
      <c r="F115" s="5" t="inlineStr">
        <is>
          <t>Italy</t>
        </is>
      </c>
      <c r="G115" s="5" t="inlineStr">
        <is>
          <t>U.S.A.</t>
        </is>
      </c>
    </row>
    <row r="116">
      <c r="A116" s="9" t="n">
        <v>1934</v>
      </c>
      <c r="B116" s="6" t="n">
        <v>5865</v>
      </c>
      <c r="C116" s="6" t="n">
        <v>3783</v>
      </c>
      <c r="D116" s="9" t="n">
        <v>118</v>
      </c>
      <c r="E116" s="9" t="n">
        <v>177</v>
      </c>
      <c r="F116" s="6" t="n">
        <v>1405</v>
      </c>
      <c r="G116" s="9" t="n">
        <v>39</v>
      </c>
    </row>
    <row r="117">
      <c r="A117" s="9" t="n">
        <v>1935</v>
      </c>
      <c r="B117" s="6" t="n">
        <v>3122</v>
      </c>
      <c r="C117" s="6" t="n">
        <v>1747</v>
      </c>
      <c r="D117" s="9" t="n">
        <v>94</v>
      </c>
      <c r="E117" s="9" t="n">
        <v>51</v>
      </c>
      <c r="F117" s="9" t="n">
        <v>947</v>
      </c>
      <c r="G117" s="9" t="n">
        <v>129</v>
      </c>
    </row>
    <row r="118">
      <c r="A118" s="9" t="n">
        <v>1936</v>
      </c>
      <c r="B118" s="9" t="n">
        <v>832</v>
      </c>
      <c r="C118" s="9" t="n">
        <v>814</v>
      </c>
      <c r="D118" s="9" t="n">
        <v>17</v>
      </c>
      <c r="E118" t="inlineStr">
        <is>
          <t>—</t>
        </is>
      </c>
      <c r="F118" t="inlineStr">
        <is>
          <t>—</t>
        </is>
      </c>
      <c r="G118" t="inlineStr">
        <is>
          <t>—</t>
        </is>
      </c>
    </row>
    <row r="119">
      <c r="A119" s="9" t="n">
        <v>1937</v>
      </c>
      <c r="B119" s="6" t="n">
        <v>2020</v>
      </c>
      <c r="C119" s="6" t="n">
        <v>1997</v>
      </c>
      <c r="D119" t="inlineStr">
        <is>
          <t>—</t>
        </is>
      </c>
      <c r="E119" t="inlineStr">
        <is>
          <t>—</t>
        </is>
      </c>
      <c r="F119" t="inlineStr">
        <is>
          <t>—</t>
        </is>
      </c>
      <c r="G119" s="9" t="n">
        <v>33</v>
      </c>
    </row>
    <row r="120">
      <c r="A120" s="9" t="n">
        <v>1938</v>
      </c>
      <c r="B120" s="6" t="n">
        <v>3421</v>
      </c>
      <c r="C120" s="6" t="n">
        <v>3413</v>
      </c>
      <c r="D120" t="inlineStr">
        <is>
          <t>—</t>
        </is>
      </c>
      <c r="E120" t="inlineStr">
        <is>
          <t>—</t>
        </is>
      </c>
      <c r="F120" t="inlineStr">
        <is>
          <t>—</t>
        </is>
      </c>
      <c r="G120" s="9" t="n">
        <v>6</v>
      </c>
    </row>
    <row r="121">
      <c r="A121" s="9" t="n">
        <v>1939</v>
      </c>
      <c r="B121" s="6" t="n">
        <v>8425</v>
      </c>
      <c r="C121" s="6" t="n">
        <v>7944</v>
      </c>
      <c r="D121" t="inlineStr">
        <is>
          <t>—</t>
        </is>
      </c>
      <c r="E121" t="inlineStr">
        <is>
          <t>—</t>
        </is>
      </c>
      <c r="F121" t="inlineStr">
        <is>
          <t>—</t>
        </is>
      </c>
      <c r="G121" t="inlineStr">
        <is>
          <t>—</t>
        </is>
      </c>
    </row>
    <row r="123">
      <c r="A123" s="2" t="inlineStr">
        <is>
          <t>Castor Seed</t>
        </is>
      </c>
    </row>
    <row r="124">
      <c r="A124" s="5" t="inlineStr">
        <is>
          <t>Year</t>
        </is>
      </c>
      <c r="B124" s="5" t="inlineStr">
        <is>
          <t>Total</t>
        </is>
      </c>
      <c r="C124" s="5" t="inlineStr">
        <is>
          <t>France</t>
        </is>
      </c>
      <c r="D124" s="5" t="inlineStr">
        <is>
          <t>Germany</t>
        </is>
      </c>
      <c r="E124" s="5" t="inlineStr">
        <is>
          <t>Holland</t>
        </is>
      </c>
      <c r="F124" s="5" t="inlineStr">
        <is>
          <t>Italy</t>
        </is>
      </c>
      <c r="G124" s="5" t="inlineStr">
        <is>
          <t>U.S.A.</t>
        </is>
      </c>
    </row>
    <row r="125">
      <c r="A125" s="9" t="n">
        <v>1934</v>
      </c>
      <c r="B125" s="6" t="n">
        <v>2013</v>
      </c>
      <c r="C125" s="6" t="n">
        <v>1125</v>
      </c>
      <c r="D125" s="9" t="n">
        <v>4</v>
      </c>
      <c r="E125" t="inlineStr">
        <is>
          <t>—</t>
        </is>
      </c>
      <c r="F125" s="9" t="n">
        <v>123</v>
      </c>
      <c r="G125" s="9" t="n">
        <v>696</v>
      </c>
    </row>
    <row r="126">
      <c r="A126" s="9" t="n">
        <v>1935</v>
      </c>
      <c r="B126" s="6" t="n">
        <v>2795</v>
      </c>
      <c r="C126" s="6" t="n">
        <v>1348</v>
      </c>
      <c r="D126" s="9" t="n">
        <v>268</v>
      </c>
      <c r="E126" s="9" t="n">
        <v>36</v>
      </c>
      <c r="F126" s="9" t="n">
        <v>339</v>
      </c>
      <c r="G126" s="9" t="n">
        <v>751</v>
      </c>
    </row>
    <row r="127">
      <c r="A127" s="9" t="n">
        <v>1936</v>
      </c>
      <c r="B127" s="6" t="n">
        <v>3036</v>
      </c>
      <c r="C127" s="6" t="n">
        <v>2775</v>
      </c>
      <c r="D127" s="9" t="n">
        <v>19</v>
      </c>
      <c r="E127" t="inlineStr">
        <is>
          <t>—</t>
        </is>
      </c>
      <c r="F127" s="9" t="n">
        <v>11</v>
      </c>
      <c r="G127" s="9" t="n">
        <v>222</v>
      </c>
    </row>
    <row r="128">
      <c r="A128" s="9" t="n">
        <v>1937</v>
      </c>
      <c r="B128" s="6" t="n">
        <v>4383</v>
      </c>
      <c r="C128" s="6" t="n">
        <v>4361</v>
      </c>
      <c r="D128" s="9" t="n">
        <v>8</v>
      </c>
      <c r="E128" t="inlineStr">
        <is>
          <t>—</t>
        </is>
      </c>
      <c r="F128" s="9" t="n">
        <v>14</v>
      </c>
      <c r="G128" t="inlineStr">
        <is>
          <t>—</t>
        </is>
      </c>
    </row>
    <row r="129">
      <c r="A129" s="9" t="n">
        <v>1938</v>
      </c>
      <c r="B129" s="6" t="n">
        <v>2630</v>
      </c>
      <c r="C129" s="6" t="n">
        <v>2630</v>
      </c>
      <c r="D129" t="inlineStr">
        <is>
          <t>—</t>
        </is>
      </c>
      <c r="E129" t="inlineStr">
        <is>
          <t>—</t>
        </is>
      </c>
      <c r="F129" t="inlineStr">
        <is>
          <t>—</t>
        </is>
      </c>
      <c r="G129" t="inlineStr">
        <is>
          <t>—</t>
        </is>
      </c>
    </row>
    <row r="130">
      <c r="A130" s="9" t="n">
        <v>1939</v>
      </c>
      <c r="B130" s="6" t="n">
        <v>1694</v>
      </c>
      <c r="C130" s="6" t="n">
        <v>1694</v>
      </c>
      <c r="D130" t="inlineStr">
        <is>
          <t>—</t>
        </is>
      </c>
      <c r="E130" t="inlineStr">
        <is>
          <t>—</t>
        </is>
      </c>
      <c r="F130" t="inlineStr">
        <is>
          <t>—</t>
        </is>
      </c>
      <c r="G130" t="inlineStr">
        <is>
          <t>—</t>
        </is>
      </c>
    </row>
    <row r="132">
      <c r="A132" s="2" t="inlineStr">
        <is>
          <t>Sweeping (cereals)</t>
        </is>
      </c>
    </row>
    <row r="133">
      <c r="A133" s="5" t="inlineStr">
        <is>
          <t>Year</t>
        </is>
      </c>
      <c r="B133" s="5" t="inlineStr">
        <is>
          <t>Total</t>
        </is>
      </c>
      <c r="C133" s="5" t="inlineStr">
        <is>
          <t>Japan</t>
        </is>
      </c>
      <c r="D133" s="5" t="inlineStr">
        <is>
          <t>China</t>
        </is>
      </c>
      <c r="E133" s="5" t="inlineStr">
        <is>
          <t>[no heading 1]</t>
        </is>
      </c>
      <c r="F133" s="5" t="inlineStr">
        <is>
          <t>[no heading 2]</t>
        </is>
      </c>
      <c r="G133" s="5" t="inlineStr">
        <is>
          <t>Others</t>
        </is>
      </c>
    </row>
    <row r="134">
      <c r="A134" s="9" t="n">
        <v>1934</v>
      </c>
      <c r="B134" s="6" t="n">
        <v>8668</v>
      </c>
      <c r="C134" s="6" t="n">
        <v>8666</v>
      </c>
      <c r="D134" s="9" t="n">
        <v>0</v>
      </c>
      <c r="E134" t="inlineStr">
        <is>
          <t>—</t>
        </is>
      </c>
      <c r="F134" t="inlineStr">
        <is>
          <t>—</t>
        </is>
      </c>
      <c r="G134" s="9" t="n">
        <v>2</v>
      </c>
    </row>
    <row r="135">
      <c r="A135" s="9" t="n">
        <v>1935</v>
      </c>
      <c r="B135" s="6" t="n">
        <v>3220</v>
      </c>
      <c r="C135" s="6" t="n">
        <v>3209</v>
      </c>
      <c r="D135" s="9" t="n">
        <v>0</v>
      </c>
      <c r="E135" t="inlineStr">
        <is>
          <t>—</t>
        </is>
      </c>
      <c r="F135" t="inlineStr">
        <is>
          <t>—</t>
        </is>
      </c>
      <c r="G135" s="9" t="n">
        <v>10</v>
      </c>
    </row>
    <row r="136">
      <c r="A136" s="9" t="n">
        <v>1936</v>
      </c>
      <c r="B136" s="6" t="n">
        <v>1961</v>
      </c>
      <c r="C136" s="6" t="n">
        <v>1961</v>
      </c>
      <c r="D136" s="9" t="n">
        <v>0</v>
      </c>
      <c r="E136" t="inlineStr">
        <is>
          <t>—</t>
        </is>
      </c>
      <c r="F136" t="inlineStr">
        <is>
          <t>—</t>
        </is>
      </c>
      <c r="G136" t="inlineStr">
        <is>
          <t>—</t>
        </is>
      </c>
    </row>
    <row r="137">
      <c r="A137" s="9" t="n">
        <v>1937</v>
      </c>
      <c r="B137" s="6" t="n">
        <v>3209</v>
      </c>
      <c r="C137" s="6" t="n">
        <v>3197</v>
      </c>
      <c r="D137" s="9" t="n">
        <v>0</v>
      </c>
      <c r="E137" t="inlineStr">
        <is>
          <t>—</t>
        </is>
      </c>
      <c r="F137" t="inlineStr">
        <is>
          <t>—</t>
        </is>
      </c>
      <c r="G137" s="9" t="n">
        <v>12</v>
      </c>
    </row>
    <row r="138">
      <c r="A138" s="9" t="n">
        <v>1938</v>
      </c>
      <c r="B138" s="6" t="n">
        <v>6809</v>
      </c>
      <c r="C138" s="6" t="n">
        <v>6809</v>
      </c>
      <c r="D138" s="9" t="n">
        <v>0</v>
      </c>
      <c r="E138" t="inlineStr">
        <is>
          <t>—</t>
        </is>
      </c>
      <c r="F138" t="inlineStr">
        <is>
          <t>—</t>
        </is>
      </c>
      <c r="G138" t="inlineStr">
        <is>
          <t>—</t>
        </is>
      </c>
    </row>
    <row r="139">
      <c r="A139" s="9" t="n">
        <v>1939</v>
      </c>
      <c r="B139" s="6" t="n">
        <v>7638</v>
      </c>
      <c r="C139" s="6" t="n">
        <v>7575</v>
      </c>
      <c r="D139" s="9" t="n">
        <v>62</v>
      </c>
      <c r="E139" t="inlineStr">
        <is>
          <t>—</t>
        </is>
      </c>
      <c r="F139" t="inlineStr">
        <is>
          <t>—</t>
        </is>
      </c>
      <c r="G139" t="inlineStr">
        <is>
          <t>—</t>
        </is>
      </c>
    </row>
    <row r="141">
      <c r="A141" s="2" t="inlineStr">
        <is>
          <t>Bean Oil</t>
        </is>
      </c>
    </row>
    <row r="142">
      <c r="A142" s="5" t="inlineStr">
        <is>
          <t>Year</t>
        </is>
      </c>
      <c r="B142" s="5" t="inlineStr">
        <is>
          <t>Total</t>
        </is>
      </c>
      <c r="C142" s="5" t="inlineStr">
        <is>
          <t>Japan</t>
        </is>
      </c>
      <c r="D142" s="5" t="inlineStr">
        <is>
          <t>China</t>
        </is>
      </c>
      <c r="E142" s="5" t="inlineStr">
        <is>
          <t>U.K.</t>
        </is>
      </c>
      <c r="F142" s="5" t="inlineStr">
        <is>
          <t>Germany</t>
        </is>
      </c>
      <c r="G142" s="5" t="inlineStr">
        <is>
          <t>Holland</t>
        </is>
      </c>
    </row>
    <row r="143">
      <c r="A143" s="9" t="n">
        <v>1934</v>
      </c>
      <c r="B143" s="6" t="n">
        <v>16262</v>
      </c>
      <c r="C143" s="9" t="n">
        <v>802</v>
      </c>
      <c r="D143" s="6" t="n">
        <v>4792</v>
      </c>
      <c r="E143" s="9" t="n">
        <v>454</v>
      </c>
      <c r="F143" s="6" t="n">
        <v>7703</v>
      </c>
      <c r="G143" s="6" t="n">
        <v>1754</v>
      </c>
    </row>
    <row r="144">
      <c r="A144" s="9" t="n">
        <v>1935</v>
      </c>
      <c r="B144" s="6" t="n">
        <v>20132</v>
      </c>
      <c r="C144" s="9" t="n">
        <v>178</v>
      </c>
      <c r="D144" s="6" t="n">
        <v>2208</v>
      </c>
      <c r="E144" s="6" t="n">
        <v>3584</v>
      </c>
      <c r="F144" s="6" t="n">
        <v>5935</v>
      </c>
      <c r="G144" s="6" t="n">
        <v>2580</v>
      </c>
    </row>
    <row r="145">
      <c r="A145" s="9" t="n">
        <v>1936</v>
      </c>
      <c r="B145" s="6" t="n">
        <v>21383</v>
      </c>
      <c r="C145" s="9" t="n">
        <v>429</v>
      </c>
      <c r="D145" s="6" t="n">
        <v>3110</v>
      </c>
      <c r="E145" s="6" t="n">
        <v>3551</v>
      </c>
      <c r="F145" s="6" t="n">
        <v>8183</v>
      </c>
      <c r="G145" s="6" t="n">
        <v>1235</v>
      </c>
    </row>
    <row r="146">
      <c r="A146" s="9" t="n">
        <v>1937</v>
      </c>
      <c r="B146" s="6" t="n">
        <v>25343</v>
      </c>
      <c r="C146" s="9" t="n">
        <v>219</v>
      </c>
      <c r="D146" s="9" t="n">
        <v>846</v>
      </c>
      <c r="E146" s="6" t="n">
        <v>1303</v>
      </c>
      <c r="F146" s="6" t="n">
        <v>6731</v>
      </c>
      <c r="G146" s="6" t="n">
        <v>9253</v>
      </c>
    </row>
    <row r="147">
      <c r="A147" s="9" t="n">
        <v>1938</v>
      </c>
      <c r="B147" s="6" t="n">
        <v>14099</v>
      </c>
      <c r="C147" s="9" t="n">
        <v>93</v>
      </c>
      <c r="D147" s="6" t="n">
        <v>5317</v>
      </c>
      <c r="E147" s="9" t="n">
        <v>51</v>
      </c>
      <c r="F147" s="6" t="n">
        <v>3804</v>
      </c>
      <c r="G147" s="6" t="n">
        <v>3625</v>
      </c>
    </row>
    <row r="148">
      <c r="A148" s="9" t="n">
        <v>1939</v>
      </c>
      <c r="B148" s="6" t="n">
        <v>23051</v>
      </c>
      <c r="C148" s="6" t="n">
        <v>1774</v>
      </c>
      <c r="D148" s="6" t="n">
        <v>7289</v>
      </c>
      <c r="E148" s="9" t="n">
        <v>76</v>
      </c>
      <c r="F148" s="6" t="n">
        <v>2728</v>
      </c>
      <c r="G148" s="6" t="n">
        <v>3059</v>
      </c>
    </row>
    <row r="150">
      <c r="A150" s="2" t="inlineStr">
        <is>
          <t>Perilla Oil</t>
        </is>
      </c>
    </row>
    <row r="151">
      <c r="A151" s="5" t="inlineStr">
        <is>
          <t>Year</t>
        </is>
      </c>
      <c r="B151" s="5" t="inlineStr">
        <is>
          <t>Total</t>
        </is>
      </c>
      <c r="C151" s="5" t="inlineStr">
        <is>
          <t>Japan</t>
        </is>
      </c>
      <c r="D151" s="5" t="inlineStr">
        <is>
          <t>China</t>
        </is>
      </c>
      <c r="E151" s="5" t="inlineStr">
        <is>
          <t>U.K.</t>
        </is>
      </c>
      <c r="F151" s="5" t="inlineStr">
        <is>
          <t>Germany</t>
        </is>
      </c>
      <c r="G151" s="5" t="inlineStr">
        <is>
          <t>U.S.A.</t>
        </is>
      </c>
    </row>
    <row r="152">
      <c r="A152" s="9" t="n">
        <v>1934</v>
      </c>
      <c r="B152" s="9" t="n">
        <v>597</v>
      </c>
      <c r="C152" t="inlineStr">
        <is>
          <t>—</t>
        </is>
      </c>
      <c r="D152" s="9" t="n">
        <v>4</v>
      </c>
      <c r="E152" s="9" t="n">
        <v>5</v>
      </c>
      <c r="F152" t="inlineStr">
        <is>
          <t>—</t>
        </is>
      </c>
      <c r="G152" s="9" t="n">
        <v>588</v>
      </c>
    </row>
    <row r="153">
      <c r="A153" s="9" t="n">
        <v>1935</v>
      </c>
      <c r="B153" s="6" t="n">
        <v>2840</v>
      </c>
      <c r="C153" t="inlineStr">
        <is>
          <t>—</t>
        </is>
      </c>
      <c r="D153" s="9" t="n">
        <v>3</v>
      </c>
      <c r="E153" t="inlineStr">
        <is>
          <t>—</t>
        </is>
      </c>
      <c r="F153" t="inlineStr">
        <is>
          <t>—</t>
        </is>
      </c>
      <c r="G153" s="6" t="n">
        <v>2825</v>
      </c>
    </row>
    <row r="154">
      <c r="A154" s="9" t="n">
        <v>1936</v>
      </c>
      <c r="B154" s="6" t="n">
        <v>6764</v>
      </c>
      <c r="C154" s="9" t="n">
        <v>99</v>
      </c>
      <c r="D154" s="9" t="n">
        <v>42</v>
      </c>
      <c r="E154" s="9" t="n">
        <v>3</v>
      </c>
      <c r="F154" s="9" t="n">
        <v>60</v>
      </c>
      <c r="G154" s="6" t="n">
        <v>6548</v>
      </c>
    </row>
    <row r="155">
      <c r="A155" s="9" t="n">
        <v>1937</v>
      </c>
      <c r="B155" s="6" t="n">
        <v>9315</v>
      </c>
      <c r="C155" s="9" t="n">
        <v>1</v>
      </c>
      <c r="D155" s="9" t="n">
        <v>78</v>
      </c>
      <c r="E155" s="9" t="n">
        <v>950</v>
      </c>
      <c r="F155" s="6" t="n">
        <v>1667</v>
      </c>
      <c r="G155" s="6" t="n">
        <v>5804</v>
      </c>
    </row>
    <row r="156">
      <c r="A156" s="9" t="n">
        <v>1938</v>
      </c>
      <c r="B156" s="6" t="n">
        <v>4646</v>
      </c>
      <c r="C156" s="9" t="n">
        <v>1</v>
      </c>
      <c r="D156" s="9" t="n">
        <v>54</v>
      </c>
      <c r="E156" s="9" t="n">
        <v>119</v>
      </c>
      <c r="F156" s="6" t="n">
        <v>1041</v>
      </c>
      <c r="G156" s="6" t="n">
        <v>3134</v>
      </c>
    </row>
    <row r="157">
      <c r="A157" s="9" t="n">
        <v>1939</v>
      </c>
      <c r="B157" s="6" t="n">
        <v>6744</v>
      </c>
      <c r="C157" s="9" t="n">
        <v>0</v>
      </c>
      <c r="D157" s="9" t="n">
        <v>225</v>
      </c>
      <c r="E157" s="9" t="n">
        <v>240</v>
      </c>
      <c r="F157" s="6" t="n">
        <v>1858</v>
      </c>
      <c r="G157" s="6" t="n">
        <v>4049</v>
      </c>
    </row>
    <row r="159">
      <c r="A159" s="2" t="inlineStr">
        <is>
          <t>Wool, Sheep's</t>
        </is>
      </c>
    </row>
    <row r="160">
      <c r="A160" s="5" t="inlineStr">
        <is>
          <t>Year</t>
        </is>
      </c>
      <c r="B160" s="5" t="inlineStr">
        <is>
          <t>Total</t>
        </is>
      </c>
      <c r="C160" s="5" t="inlineStr">
        <is>
          <t>Japan</t>
        </is>
      </c>
      <c r="D160" s="5" t="inlineStr">
        <is>
          <t>China</t>
        </is>
      </c>
      <c r="E160" s="5" t="inlineStr">
        <is>
          <t>Germany</t>
        </is>
      </c>
      <c r="F160" s="5" t="inlineStr">
        <is>
          <t>U.S.A.</t>
        </is>
      </c>
      <c r="G160" s="5" t="inlineStr">
        <is>
          <t>Others</t>
        </is>
      </c>
    </row>
    <row r="161">
      <c r="A161" s="9" t="n">
        <v>1934</v>
      </c>
      <c r="B161" s="9" t="n">
        <v>756</v>
      </c>
      <c r="C161" s="9" t="n">
        <v>26</v>
      </c>
      <c r="D161" s="9" t="n">
        <v>581</v>
      </c>
      <c r="E161" s="9" t="n">
        <v>1</v>
      </c>
      <c r="F161" s="9" t="n">
        <v>148</v>
      </c>
      <c r="G161" t="inlineStr">
        <is>
          <t>—</t>
        </is>
      </c>
    </row>
    <row r="162">
      <c r="A162" s="9" t="n">
        <v>1935</v>
      </c>
      <c r="B162" s="6" t="n">
        <v>1447</v>
      </c>
      <c r="C162" s="9" t="n">
        <v>8</v>
      </c>
      <c r="D162" s="9" t="n">
        <v>730</v>
      </c>
      <c r="E162" t="inlineStr">
        <is>
          <t>—</t>
        </is>
      </c>
      <c r="F162" s="9" t="n">
        <v>706</v>
      </c>
      <c r="G162" s="9" t="n">
        <v>3</v>
      </c>
    </row>
    <row r="163">
      <c r="A163" s="9" t="n">
        <v>1936</v>
      </c>
      <c r="B163" s="6" t="n">
        <v>1925</v>
      </c>
      <c r="C163" s="9" t="n">
        <v>155</v>
      </c>
      <c r="D163" s="6" t="n">
        <v>1143</v>
      </c>
      <c r="E163" t="inlineStr">
        <is>
          <t>—</t>
        </is>
      </c>
      <c r="F163" s="9" t="n">
        <v>581</v>
      </c>
      <c r="G163" s="9" t="n">
        <v>46</v>
      </c>
    </row>
    <row r="164">
      <c r="A164" s="9" t="n">
        <v>1937</v>
      </c>
      <c r="B164" s="6" t="n">
        <v>2564</v>
      </c>
      <c r="C164" s="9" t="n">
        <v>381</v>
      </c>
      <c r="D164" s="9" t="n">
        <v>716</v>
      </c>
      <c r="E164" t="inlineStr">
        <is>
          <t>—</t>
        </is>
      </c>
      <c r="F164" s="6" t="n">
        <v>1176</v>
      </c>
      <c r="G164" s="9" t="n">
        <v>290</v>
      </c>
    </row>
    <row r="165">
      <c r="A165" s="9" t="n">
        <v>1938</v>
      </c>
      <c r="B165" s="6" t="n">
        <v>2524</v>
      </c>
      <c r="C165" s="6" t="n">
        <v>2100</v>
      </c>
      <c r="D165" s="9" t="n">
        <v>16</v>
      </c>
      <c r="E165" t="inlineStr">
        <is>
          <t>—</t>
        </is>
      </c>
      <c r="F165" s="9" t="n">
        <v>49</v>
      </c>
      <c r="G165" s="9" t="n">
        <v>358</v>
      </c>
    </row>
    <row r="166">
      <c r="A166" s="9" t="n">
        <v>1939</v>
      </c>
      <c r="B166" s="6" t="n">
        <v>1769</v>
      </c>
      <c r="C166" s="6" t="n">
        <v>1618</v>
      </c>
      <c r="D166" t="inlineStr">
        <is>
          <t>—</t>
        </is>
      </c>
      <c r="E166" t="inlineStr">
        <is>
          <t>—</t>
        </is>
      </c>
      <c r="F166" s="9" t="n">
        <v>145</v>
      </c>
      <c r="G166" s="9" t="n">
        <v>5</v>
      </c>
    </row>
    <row r="168">
      <c r="A168" s="2" t="inlineStr">
        <is>
          <t>Raw Silk, wild (Excl. waste)</t>
        </is>
      </c>
    </row>
    <row r="169">
      <c r="A169" s="5" t="inlineStr">
        <is>
          <t>Year</t>
        </is>
      </c>
      <c r="B169" s="5" t="inlineStr">
        <is>
          <t>Total</t>
        </is>
      </c>
      <c r="C169" s="5" t="inlineStr">
        <is>
          <t>Japan</t>
        </is>
      </c>
      <c r="D169" s="5" t="inlineStr">
        <is>
          <t>China</t>
        </is>
      </c>
      <c r="E169" s="5" t="inlineStr">
        <is>
          <t>[no heading 1]</t>
        </is>
      </c>
      <c r="F169" s="5" t="inlineStr">
        <is>
          <t>[no heading 2]</t>
        </is>
      </c>
      <c r="G169" s="5" t="inlineStr">
        <is>
          <t>Others</t>
        </is>
      </c>
    </row>
    <row r="170">
      <c r="A170" s="9" t="n">
        <v>1934</v>
      </c>
      <c r="B170" s="6" t="n">
        <v>7409</v>
      </c>
      <c r="C170" s="6" t="n">
        <v>6675</v>
      </c>
      <c r="D170" s="9" t="n">
        <v>734</v>
      </c>
      <c r="E170" t="inlineStr">
        <is>
          <t>—</t>
        </is>
      </c>
      <c r="F170" t="inlineStr">
        <is>
          <t>—</t>
        </is>
      </c>
      <c r="G170" t="inlineStr">
        <is>
          <t>—</t>
        </is>
      </c>
    </row>
    <row r="171">
      <c r="A171" s="9" t="n">
        <v>1935</v>
      </c>
      <c r="B171" s="6" t="n">
        <v>7279</v>
      </c>
      <c r="C171" s="6" t="n">
        <v>6280</v>
      </c>
      <c r="D171" s="9" t="n">
        <v>999</v>
      </c>
      <c r="E171" t="inlineStr">
        <is>
          <t>—</t>
        </is>
      </c>
      <c r="F171" t="inlineStr">
        <is>
          <t>—</t>
        </is>
      </c>
      <c r="G171" t="inlineStr">
        <is>
          <t>—</t>
        </is>
      </c>
    </row>
    <row r="172">
      <c r="A172" s="9" t="n">
        <v>1936</v>
      </c>
      <c r="B172" s="6" t="n">
        <v>6118</v>
      </c>
      <c r="C172" s="6" t="n">
        <v>4367</v>
      </c>
      <c r="D172" s="6" t="n">
        <v>1751</v>
      </c>
      <c r="E172" t="inlineStr">
        <is>
          <t>—</t>
        </is>
      </c>
      <c r="F172" t="inlineStr">
        <is>
          <t>—</t>
        </is>
      </c>
      <c r="G172" t="inlineStr">
        <is>
          <t>—</t>
        </is>
      </c>
    </row>
    <row r="173">
      <c r="A173" s="9" t="n">
        <v>1937</v>
      </c>
      <c r="B173" s="6" t="n">
        <v>8386</v>
      </c>
      <c r="C173" s="6" t="n">
        <v>6802</v>
      </c>
      <c r="D173" s="6" t="n">
        <v>1584</v>
      </c>
      <c r="E173" t="inlineStr">
        <is>
          <t>—</t>
        </is>
      </c>
      <c r="F173" t="inlineStr">
        <is>
          <t>—</t>
        </is>
      </c>
      <c r="G173" t="inlineStr">
        <is>
          <t>—</t>
        </is>
      </c>
    </row>
    <row r="174">
      <c r="A174" s="9" t="n">
        <v>1938</v>
      </c>
      <c r="B174" s="6" t="n">
        <v>6257</v>
      </c>
      <c r="C174" s="6" t="n">
        <v>5645</v>
      </c>
      <c r="D174" s="9" t="n">
        <v>611</v>
      </c>
      <c r="E174" t="inlineStr">
        <is>
          <t>—</t>
        </is>
      </c>
      <c r="F174" t="inlineStr">
        <is>
          <t>—</t>
        </is>
      </c>
      <c r="G174" s="9" t="n">
        <v>1</v>
      </c>
    </row>
    <row r="175">
      <c r="A175" s="9" t="n">
        <v>1939</v>
      </c>
      <c r="B175" s="6" t="n">
        <v>5877</v>
      </c>
      <c r="C175" s="6" t="n">
        <v>5329</v>
      </c>
      <c r="D175" s="9" t="n">
        <v>449</v>
      </c>
      <c r="E175" t="inlineStr">
        <is>
          <t>—</t>
        </is>
      </c>
      <c r="F175" t="inlineStr">
        <is>
          <t>—</t>
        </is>
      </c>
      <c r="G175" s="9" t="n">
        <v>97</v>
      </c>
    </row>
    <row r="177">
      <c r="A177" s="2" t="inlineStr">
        <is>
          <t>Cotton Yarn</t>
        </is>
      </c>
    </row>
    <row r="178">
      <c r="A178" s="5" t="inlineStr">
        <is>
          <t>Year</t>
        </is>
      </c>
      <c r="B178" s="5" t="inlineStr">
        <is>
          <t>Total</t>
        </is>
      </c>
      <c r="C178" s="5" t="inlineStr">
        <is>
          <t>Japan</t>
        </is>
      </c>
      <c r="D178" s="5" t="inlineStr">
        <is>
          <t>Brit. India</t>
        </is>
      </c>
      <c r="E178" s="5" t="inlineStr">
        <is>
          <t>[no heading 1]</t>
        </is>
      </c>
      <c r="F178" s="5" t="inlineStr">
        <is>
          <t>[no heading 2]</t>
        </is>
      </c>
      <c r="G178" s="5" t="inlineStr">
        <is>
          <t>Others</t>
        </is>
      </c>
    </row>
    <row r="179">
      <c r="A179" s="9" t="n">
        <v>1934</v>
      </c>
      <c r="B179" s="6" t="n">
        <v>6136</v>
      </c>
      <c r="C179" s="6" t="n">
        <v>5492</v>
      </c>
      <c r="D179" s="9" t="n">
        <v>641</v>
      </c>
      <c r="E179" t="inlineStr">
        <is>
          <t>—</t>
        </is>
      </c>
      <c r="F179" t="inlineStr">
        <is>
          <t>—</t>
        </is>
      </c>
      <c r="G179" s="9" t="n">
        <v>2</v>
      </c>
    </row>
    <row r="180">
      <c r="A180" s="9" t="n">
        <v>1935</v>
      </c>
      <c r="B180" s="6" t="n">
        <v>5624</v>
      </c>
      <c r="C180" s="6" t="n">
        <v>2616</v>
      </c>
      <c r="D180" s="6" t="n">
        <v>2024</v>
      </c>
      <c r="E180" t="inlineStr">
        <is>
          <t>—</t>
        </is>
      </c>
      <c r="F180" t="inlineStr">
        <is>
          <t>—</t>
        </is>
      </c>
      <c r="G180" s="9" t="n">
        <v>384</v>
      </c>
    </row>
    <row r="181">
      <c r="A181" s="9" t="n">
        <v>1936</v>
      </c>
      <c r="B181" s="6" t="n">
        <v>6189</v>
      </c>
      <c r="C181" s="6" t="n">
        <v>3334</v>
      </c>
      <c r="D181" s="6" t="n">
        <v>1447</v>
      </c>
      <c r="E181" t="inlineStr">
        <is>
          <t>—</t>
        </is>
      </c>
      <c r="F181" t="inlineStr">
        <is>
          <t>—</t>
        </is>
      </c>
      <c r="G181" s="6" t="n">
        <v>1408</v>
      </c>
    </row>
    <row r="182">
      <c r="A182" s="9" t="n">
        <v>1937</v>
      </c>
      <c r="B182" s="6" t="n">
        <v>4468</v>
      </c>
      <c r="C182" s="6" t="n">
        <v>3693</v>
      </c>
      <c r="D182" s="9" t="n">
        <v>53</v>
      </c>
      <c r="E182" t="inlineStr">
        <is>
          <t>—</t>
        </is>
      </c>
      <c r="F182" t="inlineStr">
        <is>
          <t>—</t>
        </is>
      </c>
      <c r="G182" s="9" t="n">
        <v>724</v>
      </c>
    </row>
    <row r="183">
      <c r="A183" s="9" t="n">
        <v>1938</v>
      </c>
      <c r="B183" s="9" t="n">
        <v>665</v>
      </c>
      <c r="C183" s="9" t="n">
        <v>647</v>
      </c>
      <c r="D183" s="9" t="n">
        <v>17</v>
      </c>
      <c r="E183" t="inlineStr">
        <is>
          <t>—</t>
        </is>
      </c>
      <c r="F183" t="inlineStr">
        <is>
          <t>—</t>
        </is>
      </c>
      <c r="G183" t="inlineStr">
        <is>
          <t>—</t>
        </is>
      </c>
    </row>
    <row r="184">
      <c r="A184" s="9" t="n">
        <v>1939</v>
      </c>
      <c r="B184" s="9" t="n">
        <v>0</v>
      </c>
      <c r="C184" s="9" t="n">
        <v>0</v>
      </c>
      <c r="D184" s="9" t="n">
        <v>0</v>
      </c>
      <c r="E184" t="inlineStr">
        <is>
          <t>—</t>
        </is>
      </c>
      <c r="F184" t="inlineStr">
        <is>
          <t>—</t>
        </is>
      </c>
      <c r="G184" t="inlineStr">
        <is>
          <t>—</t>
        </is>
      </c>
    </row>
    <row r="186">
      <c r="A186" s="2" t="inlineStr">
        <is>
          <t>Coal &amp; Briquettes</t>
        </is>
      </c>
    </row>
    <row r="187">
      <c r="A187" s="5" t="inlineStr">
        <is>
          <t>Year</t>
        </is>
      </c>
      <c r="B187" s="5" t="inlineStr">
        <is>
          <t>Total</t>
        </is>
      </c>
      <c r="C187" s="5" t="inlineStr">
        <is>
          <t>Japan</t>
        </is>
      </c>
      <c r="D187" s="5" t="inlineStr">
        <is>
          <t>China</t>
        </is>
      </c>
      <c r="E187" s="5" t="inlineStr">
        <is>
          <t>Hongkong</t>
        </is>
      </c>
      <c r="F187" s="5" t="inlineStr">
        <is>
          <t>U.K.</t>
        </is>
      </c>
      <c r="G187" s="5" t="inlineStr">
        <is>
          <t>Holland</t>
        </is>
      </c>
    </row>
    <row r="188">
      <c r="A188" s="9" t="n">
        <v>1934</v>
      </c>
      <c r="B188" s="6" t="n">
        <v>41956</v>
      </c>
      <c r="C188" s="6" t="n">
        <v>34660</v>
      </c>
      <c r="D188" s="6" t="n">
        <v>3777</v>
      </c>
      <c r="E188" s="6" t="n">
        <v>1371</v>
      </c>
      <c r="F188" s="9" t="n">
        <v>924</v>
      </c>
      <c r="G188" s="9" t="n">
        <v>334</v>
      </c>
    </row>
    <row r="189">
      <c r="A189" s="9" t="n">
        <v>1935</v>
      </c>
      <c r="B189" s="6" t="n">
        <v>40474</v>
      </c>
      <c r="C189" s="6" t="n">
        <v>34563</v>
      </c>
      <c r="D189" s="6" t="n">
        <v>2636</v>
      </c>
      <c r="E189" s="6" t="n">
        <v>1373</v>
      </c>
      <c r="F189" s="6" t="n">
        <v>1103</v>
      </c>
      <c r="G189" s="9" t="n">
        <v>267</v>
      </c>
    </row>
    <row r="190">
      <c r="A190" s="9" t="n">
        <v>1936</v>
      </c>
      <c r="B190" s="6" t="n">
        <v>35181</v>
      </c>
      <c r="C190" s="6" t="n">
        <v>31028</v>
      </c>
      <c r="D190" s="6" t="n">
        <v>2350</v>
      </c>
      <c r="E190" s="9" t="n">
        <v>535</v>
      </c>
      <c r="F190" s="9" t="n">
        <v>870</v>
      </c>
      <c r="G190" s="9" t="n">
        <v>311</v>
      </c>
    </row>
    <row r="191">
      <c r="A191" s="9" t="n">
        <v>1937</v>
      </c>
      <c r="B191" s="6" t="n">
        <v>35610</v>
      </c>
      <c r="C191" s="6" t="n">
        <v>31780</v>
      </c>
      <c r="D191" s="6" t="n">
        <v>1786</v>
      </c>
      <c r="E191" s="9" t="n">
        <v>769</v>
      </c>
      <c r="F191" s="9" t="n">
        <v>848</v>
      </c>
      <c r="G191" s="9" t="n">
        <v>324</v>
      </c>
    </row>
    <row r="192">
      <c r="A192" s="9" t="n">
        <v>1938</v>
      </c>
      <c r="B192" s="6" t="n">
        <v>28198</v>
      </c>
      <c r="C192" s="6" t="n">
        <v>26511</v>
      </c>
      <c r="D192" s="6" t="n">
        <v>1046</v>
      </c>
      <c r="E192" s="9" t="n">
        <v>24</v>
      </c>
      <c r="F192" s="9" t="n">
        <v>453</v>
      </c>
      <c r="G192" s="9" t="n">
        <v>29</v>
      </c>
    </row>
    <row r="193">
      <c r="A193" s="9" t="n">
        <v>1939</v>
      </c>
      <c r="B193" s="6" t="n">
        <v>25867</v>
      </c>
      <c r="C193" s="6" t="n">
        <v>24202</v>
      </c>
      <c r="D193" s="6" t="n">
        <v>1452</v>
      </c>
      <c r="E193" s="9" t="n">
        <v>0</v>
      </c>
      <c r="F193" s="9" t="n">
        <v>138</v>
      </c>
      <c r="G193" t="inlineStr">
        <is>
          <t>—</t>
        </is>
      </c>
    </row>
    <row r="195">
      <c r="A195" s="2" t="inlineStr">
        <is>
          <t>Iron, (Pig &amp; Kentledge)</t>
        </is>
      </c>
    </row>
    <row r="196">
      <c r="A196" s="5" t="inlineStr">
        <is>
          <t>Year</t>
        </is>
      </c>
      <c r="B196" s="5" t="inlineStr">
        <is>
          <t>Total</t>
        </is>
      </c>
      <c r="C196" s="5" t="inlineStr">
        <is>
          <t>Japan</t>
        </is>
      </c>
      <c r="D196" s="5" t="inlineStr">
        <is>
          <t>China</t>
        </is>
      </c>
      <c r="E196" s="5" t="inlineStr">
        <is>
          <t>Hongkong</t>
        </is>
      </c>
      <c r="F196" s="5" t="inlineStr">
        <is>
          <t>Germany</t>
        </is>
      </c>
      <c r="G196" s="5" t="inlineStr">
        <is>
          <t>Holland</t>
        </is>
      </c>
    </row>
    <row r="197">
      <c r="A197" s="9" t="n">
        <v>1934</v>
      </c>
      <c r="B197" s="6" t="n">
        <v>10380</v>
      </c>
      <c r="C197" s="6" t="n">
        <v>9738</v>
      </c>
      <c r="D197" s="9" t="n">
        <v>489</v>
      </c>
      <c r="E197" s="9" t="n">
        <v>18</v>
      </c>
      <c r="F197" s="9" t="n">
        <v>58</v>
      </c>
      <c r="G197" s="9" t="n">
        <v>28</v>
      </c>
    </row>
    <row r="198">
      <c r="A198" s="9" t="n">
        <v>1935</v>
      </c>
      <c r="B198" s="6" t="n">
        <v>10329</v>
      </c>
      <c r="C198" s="6" t="n">
        <v>9663</v>
      </c>
      <c r="D198" s="9" t="n">
        <v>631</v>
      </c>
      <c r="E198" s="9" t="n">
        <v>16</v>
      </c>
      <c r="F198" s="9" t="n">
        <v>38</v>
      </c>
      <c r="G198" s="9" t="n">
        <v>6</v>
      </c>
    </row>
    <row r="199">
      <c r="A199" s="9" t="n">
        <v>1936</v>
      </c>
      <c r="B199" s="6" t="n">
        <v>7650</v>
      </c>
      <c r="C199" s="6" t="n">
        <v>7105</v>
      </c>
      <c r="D199" s="9" t="n">
        <v>517</v>
      </c>
      <c r="E199" s="9" t="n">
        <v>7</v>
      </c>
      <c r="F199" t="inlineStr">
        <is>
          <t>—</t>
        </is>
      </c>
      <c r="G199" t="inlineStr">
        <is>
          <t>—</t>
        </is>
      </c>
    </row>
    <row r="200">
      <c r="A200" s="9" t="n">
        <v>1937</v>
      </c>
      <c r="B200" s="6" t="n">
        <v>6222</v>
      </c>
      <c r="C200" s="6" t="n">
        <v>5908</v>
      </c>
      <c r="D200" s="9" t="n">
        <v>310</v>
      </c>
      <c r="E200" s="9" t="n">
        <v>4</v>
      </c>
      <c r="F200" t="inlineStr">
        <is>
          <t>—</t>
        </is>
      </c>
      <c r="G200" t="inlineStr">
        <is>
          <t>—</t>
        </is>
      </c>
    </row>
    <row r="201">
      <c r="A201" s="9" t="n">
        <v>1938</v>
      </c>
      <c r="B201" t="inlineStr">
        <is>
          <t>—</t>
        </is>
      </c>
      <c r="C201" t="inlineStr">
        <is>
          <t>—</t>
        </is>
      </c>
      <c r="D201" t="inlineStr">
        <is>
          <t>—</t>
        </is>
      </c>
      <c r="E201" t="inlineStr">
        <is>
          <t>—</t>
        </is>
      </c>
      <c r="F201" t="inlineStr">
        <is>
          <t>—</t>
        </is>
      </c>
      <c r="G201" t="inlineStr">
        <is>
          <t>—</t>
        </is>
      </c>
    </row>
    <row r="202">
      <c r="A202" s="9" t="n">
        <v>1939</v>
      </c>
      <c r="B202" t="inlineStr">
        <is>
          <t>—</t>
        </is>
      </c>
      <c r="C202" t="inlineStr">
        <is>
          <t>—</t>
        </is>
      </c>
      <c r="D202" t="inlineStr">
        <is>
          <t>—</t>
        </is>
      </c>
      <c r="E202" t="inlineStr">
        <is>
          <t>—</t>
        </is>
      </c>
      <c r="F202" t="inlineStr">
        <is>
          <t>—</t>
        </is>
      </c>
      <c r="G202" t="inlineStr">
        <is>
          <t>—</t>
        </is>
      </c>
    </row>
    <row r="204">
      <c r="A204" s="2" t="inlineStr">
        <is>
          <t>Magnesite (incl. powder)</t>
        </is>
      </c>
    </row>
    <row r="205">
      <c r="A205" s="5" t="inlineStr">
        <is>
          <t>Year</t>
        </is>
      </c>
      <c r="B205" s="5" t="inlineStr">
        <is>
          <t>Total</t>
        </is>
      </c>
      <c r="C205" s="5" t="inlineStr">
        <is>
          <t>Japan</t>
        </is>
      </c>
      <c r="D205" s="5" t="inlineStr">
        <is>
          <t>U.K.</t>
        </is>
      </c>
      <c r="E205" s="5" t="inlineStr">
        <is>
          <t>Germany</t>
        </is>
      </c>
      <c r="F205" s="5" t="inlineStr">
        <is>
          <t>Belgium</t>
        </is>
      </c>
      <c r="G205" s="5" t="inlineStr">
        <is>
          <t>U.S.A.</t>
        </is>
      </c>
    </row>
    <row r="206">
      <c r="A206" s="9" t="n">
        <v>1934</v>
      </c>
      <c r="B206" s="9" t="n">
        <v>643</v>
      </c>
      <c r="C206" s="9" t="n">
        <v>642</v>
      </c>
      <c r="D206" t="inlineStr">
        <is>
          <t>—</t>
        </is>
      </c>
      <c r="E206" t="inlineStr">
        <is>
          <t>—</t>
        </is>
      </c>
      <c r="F206" t="inlineStr">
        <is>
          <t>—</t>
        </is>
      </c>
      <c r="G206" t="inlineStr">
        <is>
          <t>—</t>
        </is>
      </c>
    </row>
    <row r="207">
      <c r="A207" s="9" t="n">
        <v>1935</v>
      </c>
      <c r="B207" s="9" t="n">
        <v>859</v>
      </c>
      <c r="C207" s="9" t="n">
        <v>774</v>
      </c>
      <c r="D207" s="9" t="n">
        <v>9</v>
      </c>
      <c r="E207" s="9" t="n">
        <v>4</v>
      </c>
      <c r="F207" t="inlineStr">
        <is>
          <t>—</t>
        </is>
      </c>
      <c r="G207" t="inlineStr">
        <is>
          <t>—</t>
        </is>
      </c>
    </row>
    <row r="208">
      <c r="A208" s="9" t="n">
        <v>1936</v>
      </c>
      <c r="B208" s="6" t="n">
        <v>1295</v>
      </c>
      <c r="C208" s="9" t="n">
        <v>854</v>
      </c>
      <c r="D208" s="9" t="n">
        <v>90</v>
      </c>
      <c r="E208" s="9" t="n">
        <v>83</v>
      </c>
      <c r="F208" t="inlineStr">
        <is>
          <t>—</t>
        </is>
      </c>
      <c r="G208" t="inlineStr">
        <is>
          <t>—</t>
        </is>
      </c>
    </row>
    <row r="209">
      <c r="A209" s="9" t="n">
        <v>1937</v>
      </c>
      <c r="B209" s="6" t="n">
        <v>2214</v>
      </c>
      <c r="C209" s="6" t="n">
        <v>1266</v>
      </c>
      <c r="D209" s="9" t="n">
        <v>112</v>
      </c>
      <c r="E209" s="9" t="n">
        <v>95</v>
      </c>
      <c r="F209" s="9" t="n">
        <v>92</v>
      </c>
      <c r="G209" s="9" t="n">
        <v>529</v>
      </c>
    </row>
    <row r="210">
      <c r="A210" s="9" t="n">
        <v>1938</v>
      </c>
      <c r="B210" s="6" t="n">
        <v>4773</v>
      </c>
      <c r="C210" s="6" t="n">
        <v>3544</v>
      </c>
      <c r="D210" s="9" t="n">
        <v>185</v>
      </c>
      <c r="E210" s="9" t="n">
        <v>208</v>
      </c>
      <c r="F210" s="9" t="n">
        <v>255</v>
      </c>
      <c r="G210" s="9" t="n">
        <v>283</v>
      </c>
    </row>
    <row r="211">
      <c r="A211" s="9" t="n">
        <v>1939</v>
      </c>
      <c r="B211" s="6" t="n">
        <v>6768</v>
      </c>
      <c r="C211" s="6" t="n">
        <v>5974</v>
      </c>
      <c r="D211" s="9" t="n">
        <v>83</v>
      </c>
      <c r="E211" s="9" t="n">
        <v>13</v>
      </c>
      <c r="F211" s="9" t="n">
        <v>93</v>
      </c>
      <c r="G211" s="9" t="n">
        <v>243</v>
      </c>
    </row>
    <row r="213">
      <c r="A213" s="2" t="inlineStr">
        <is>
          <t>Soapstone, Talc, (incl. powder)</t>
        </is>
      </c>
    </row>
    <row r="214">
      <c r="A214" s="5" t="inlineStr">
        <is>
          <t>Year</t>
        </is>
      </c>
      <c r="B214" s="5" t="inlineStr">
        <is>
          <t>Total</t>
        </is>
      </c>
      <c r="C214" s="5" t="inlineStr">
        <is>
          <t>Japan</t>
        </is>
      </c>
      <c r="D214" s="5" t="inlineStr">
        <is>
          <t>China</t>
        </is>
      </c>
      <c r="E214" s="5" t="inlineStr">
        <is>
          <t>U.K.</t>
        </is>
      </c>
      <c r="F214" s="5" t="inlineStr">
        <is>
          <t>Germany</t>
        </is>
      </c>
      <c r="G214" s="5" t="inlineStr">
        <is>
          <t>Others</t>
        </is>
      </c>
    </row>
    <row r="215">
      <c r="A215" s="9" t="n">
        <v>1934</v>
      </c>
      <c r="B215" s="9" t="n">
        <v>535</v>
      </c>
      <c r="C215" s="9" t="n">
        <v>471</v>
      </c>
      <c r="D215" s="9" t="n">
        <v>43</v>
      </c>
      <c r="E215" s="9" t="n">
        <v>3</v>
      </c>
      <c r="F215" s="9" t="n">
        <v>13</v>
      </c>
      <c r="G215" s="9" t="n">
        <v>5</v>
      </c>
    </row>
    <row r="216">
      <c r="A216" s="9" t="n">
        <v>1935</v>
      </c>
      <c r="B216" s="9" t="n">
        <v>643</v>
      </c>
      <c r="C216" s="9" t="n">
        <v>559</v>
      </c>
      <c r="D216" s="9" t="n">
        <v>58</v>
      </c>
      <c r="E216" s="9" t="n">
        <v>5</v>
      </c>
      <c r="F216" s="9" t="n">
        <v>15</v>
      </c>
      <c r="G216" s="9" t="n">
        <v>6</v>
      </c>
    </row>
    <row r="217">
      <c r="A217" s="9" t="n">
        <v>1936</v>
      </c>
      <c r="B217" s="9" t="n">
        <v>750</v>
      </c>
      <c r="C217" s="9" t="n">
        <v>621</v>
      </c>
      <c r="D217" s="9" t="n">
        <v>86</v>
      </c>
      <c r="E217" s="9" t="n">
        <v>3</v>
      </c>
      <c r="F217" s="9" t="n">
        <v>25</v>
      </c>
      <c r="G217" s="9" t="n">
        <v>15</v>
      </c>
    </row>
    <row r="218">
      <c r="A218" s="9" t="n">
        <v>1937</v>
      </c>
      <c r="B218" s="6" t="n">
        <v>1035</v>
      </c>
      <c r="C218" s="9" t="n">
        <v>960</v>
      </c>
      <c r="D218" s="9" t="n">
        <v>62</v>
      </c>
      <c r="E218" s="9" t="n">
        <v>11</v>
      </c>
      <c r="F218" s="9" t="n">
        <v>69</v>
      </c>
      <c r="G218" s="9" t="n">
        <v>38</v>
      </c>
    </row>
    <row r="219">
      <c r="A219" s="9" t="n">
        <v>1938</v>
      </c>
      <c r="B219" s="6" t="n">
        <v>1237</v>
      </c>
      <c r="C219" s="9" t="n">
        <v>895</v>
      </c>
      <c r="D219" s="9" t="n">
        <v>74</v>
      </c>
      <c r="E219" t="inlineStr">
        <is>
          <t>—</t>
        </is>
      </c>
      <c r="F219" s="9" t="n">
        <v>156</v>
      </c>
      <c r="G219" s="9" t="n">
        <v>111</v>
      </c>
    </row>
    <row r="220">
      <c r="A220" s="9" t="n">
        <v>1939</v>
      </c>
      <c r="B220" s="6" t="n">
        <v>2060</v>
      </c>
      <c r="C220" s="6" t="n">
        <v>1506</v>
      </c>
      <c r="D220" s="9" t="n">
        <v>313</v>
      </c>
      <c r="E220" t="inlineStr">
        <is>
          <t>—</t>
        </is>
      </c>
      <c r="F220" s="9" t="n">
        <v>48</v>
      </c>
      <c r="G220" s="9" t="n">
        <v>192</v>
      </c>
    </row>
    <row r="222">
      <c r="A222" s="2" t="inlineStr">
        <is>
          <t>Window Glass, unsilvered</t>
        </is>
      </c>
    </row>
    <row r="223">
      <c r="A223" s="5" t="inlineStr">
        <is>
          <t>Year</t>
        </is>
      </c>
      <c r="B223" s="5" t="inlineStr">
        <is>
          <t>Total</t>
        </is>
      </c>
      <c r="C223" s="5" t="inlineStr">
        <is>
          <t>Japan</t>
        </is>
      </c>
      <c r="D223" s="5" t="inlineStr">
        <is>
          <t>China</t>
        </is>
      </c>
      <c r="E223" s="5" t="inlineStr">
        <is>
          <t>Hongkong</t>
        </is>
      </c>
      <c r="F223" s="5" t="inlineStr">
        <is>
          <t>D.E.I.</t>
        </is>
      </c>
      <c r="G223" s="5" t="inlineStr">
        <is>
          <t>Others</t>
        </is>
      </c>
    </row>
    <row r="224">
      <c r="A224" s="9" t="n">
        <v>1934</v>
      </c>
      <c r="B224" s="6" t="n">
        <v>1422</v>
      </c>
      <c r="C224" s="9" t="n">
        <v>528</v>
      </c>
      <c r="D224" s="9" t="n">
        <v>496</v>
      </c>
      <c r="E224" s="9" t="n">
        <v>28</v>
      </c>
      <c r="F224" s="9" t="n">
        <v>124</v>
      </c>
      <c r="G224" s="9" t="n">
        <v>246</v>
      </c>
    </row>
    <row r="225">
      <c r="A225" s="9" t="n">
        <v>1935</v>
      </c>
      <c r="B225" s="6" t="n">
        <v>1671</v>
      </c>
      <c r="C225" s="9" t="n">
        <v>237</v>
      </c>
      <c r="D225" s="9" t="n">
        <v>922</v>
      </c>
      <c r="E225" s="9" t="n">
        <v>25</v>
      </c>
      <c r="F225" s="9" t="n">
        <v>119</v>
      </c>
      <c r="G225" s="9" t="n">
        <v>368</v>
      </c>
    </row>
    <row r="226">
      <c r="A226" s="9" t="n">
        <v>1936</v>
      </c>
      <c r="B226" s="6" t="n">
        <v>1689</v>
      </c>
      <c r="C226" s="9" t="n">
        <v>496</v>
      </c>
      <c r="D226" s="9" t="n">
        <v>623</v>
      </c>
      <c r="E226" s="9" t="n">
        <v>118</v>
      </c>
      <c r="F226" s="9" t="n">
        <v>88</v>
      </c>
      <c r="G226" s="9" t="n">
        <v>364</v>
      </c>
    </row>
    <row r="227">
      <c r="A227" s="9" t="n">
        <v>1937</v>
      </c>
      <c r="B227" s="6" t="n">
        <v>1667</v>
      </c>
      <c r="C227" s="9" t="n">
        <v>33</v>
      </c>
      <c r="D227" s="9" t="n">
        <v>796</v>
      </c>
      <c r="E227" s="9" t="n">
        <v>189</v>
      </c>
      <c r="F227" s="9" t="n">
        <v>275</v>
      </c>
      <c r="G227" s="9" t="n">
        <v>374</v>
      </c>
    </row>
    <row r="228">
      <c r="A228" s="9" t="n">
        <v>1938</v>
      </c>
      <c r="B228" s="6" t="n">
        <v>1218</v>
      </c>
      <c r="C228" s="9" t="n">
        <v>412</v>
      </c>
      <c r="D228" s="9" t="n">
        <v>653</v>
      </c>
      <c r="E228" t="inlineStr">
        <is>
          <t>—</t>
        </is>
      </c>
      <c r="F228" s="9" t="n">
        <v>152</v>
      </c>
      <c r="G228" s="9" t="n">
        <v>1</v>
      </c>
    </row>
    <row r="229">
      <c r="A229" s="9" t="n">
        <v>1939</v>
      </c>
      <c r="B229" s="6" t="n">
        <v>1059</v>
      </c>
      <c r="C229" s="9" t="n">
        <v>344</v>
      </c>
      <c r="D229" s="9" t="n">
        <v>658</v>
      </c>
      <c r="E229" t="inlineStr">
        <is>
          <t>—</t>
        </is>
      </c>
      <c r="F229" t="inlineStr">
        <is>
          <t>—</t>
        </is>
      </c>
      <c r="G229" s="9" t="n">
        <v>56</v>
      </c>
    </row>
    <row r="231">
      <c r="A231" s="2" t="inlineStr">
        <is>
          <t>Bean-Cake</t>
        </is>
      </c>
    </row>
    <row r="232">
      <c r="A232" s="5" t="inlineStr">
        <is>
          <t>Year</t>
        </is>
      </c>
      <c r="B232" s="5" t="inlineStr">
        <is>
          <t>Total</t>
        </is>
      </c>
      <c r="C232" s="5" t="inlineStr">
        <is>
          <t>Japan</t>
        </is>
      </c>
      <c r="D232" s="5" t="inlineStr">
        <is>
          <t>China</t>
        </is>
      </c>
      <c r="E232" s="5" t="inlineStr">
        <is>
          <t>Holland</t>
        </is>
      </c>
      <c r="F232" s="5" t="inlineStr">
        <is>
          <t>Germany</t>
        </is>
      </c>
      <c r="G232" s="5" t="inlineStr">
        <is>
          <t>U.S.A.</t>
        </is>
      </c>
    </row>
    <row r="233">
      <c r="A233" s="9" t="n">
        <v>1934</v>
      </c>
      <c r="B233" s="6" t="n">
        <v>51509</v>
      </c>
      <c r="C233" s="6" t="n">
        <v>41376</v>
      </c>
      <c r="D233" s="6" t="n">
        <v>7474</v>
      </c>
      <c r="E233" s="9" t="n">
        <v>183</v>
      </c>
      <c r="F233" s="9" t="n">
        <v>386</v>
      </c>
      <c r="G233" s="6" t="n">
        <v>1256</v>
      </c>
    </row>
    <row r="234">
      <c r="A234" s="9" t="n">
        <v>1935</v>
      </c>
      <c r="B234" s="6" t="n">
        <v>51370</v>
      </c>
      <c r="C234" s="6" t="n">
        <v>38076</v>
      </c>
      <c r="D234" s="6" t="n">
        <v>9946</v>
      </c>
      <c r="E234" s="9" t="n">
        <v>30</v>
      </c>
      <c r="F234" s="9" t="n">
        <v>330</v>
      </c>
      <c r="G234" s="6" t="n">
        <v>1945</v>
      </c>
    </row>
    <row r="235">
      <c r="A235" s="9" t="n">
        <v>1936</v>
      </c>
      <c r="B235" s="6" t="n">
        <v>53127</v>
      </c>
      <c r="C235" s="6" t="n">
        <v>42220</v>
      </c>
      <c r="D235" s="6" t="n">
        <v>7341</v>
      </c>
      <c r="E235" s="9" t="n">
        <v>13</v>
      </c>
      <c r="F235" s="9" t="n">
        <v>320</v>
      </c>
      <c r="G235" s="6" t="n">
        <v>1610</v>
      </c>
    </row>
    <row r="236">
      <c r="A236" s="9" t="n">
        <v>1937</v>
      </c>
      <c r="B236" s="6" t="n">
        <v>72236</v>
      </c>
      <c r="C236" s="6" t="n">
        <v>50292</v>
      </c>
      <c r="D236" s="6" t="n">
        <v>7713</v>
      </c>
      <c r="E236" s="9" t="n">
        <v>59</v>
      </c>
      <c r="F236" s="9" t="n">
        <v>301</v>
      </c>
      <c r="G236" s="6" t="n">
        <v>2896</v>
      </c>
    </row>
    <row r="237">
      <c r="A237" s="9" t="n">
        <v>1938</v>
      </c>
      <c r="B237" s="6" t="n">
        <v>70575</v>
      </c>
      <c r="C237" s="6" t="n">
        <v>65365</v>
      </c>
      <c r="D237" s="6" t="n">
        <v>3134</v>
      </c>
      <c r="E237" s="9" t="n">
        <v>284</v>
      </c>
      <c r="F237" s="9" t="n">
        <v>30</v>
      </c>
      <c r="G237" s="9" t="n">
        <v>774</v>
      </c>
    </row>
    <row r="238">
      <c r="A238" s="9" t="n">
        <v>1939</v>
      </c>
      <c r="B238" s="6" t="n">
        <v>125253</v>
      </c>
      <c r="C238" s="6" t="n">
        <v>110923</v>
      </c>
      <c r="D238" s="6" t="n">
        <v>12378</v>
      </c>
      <c r="E238" s="9" t="n">
        <v>241</v>
      </c>
      <c r="F238" s="9" t="n">
        <v>52</v>
      </c>
      <c r="G238" t="inlineStr">
        <is>
          <t>,626</t>
        </is>
      </c>
    </row>
    <row r="240">
      <c r="A240" s="2" t="inlineStr">
        <is>
          <t>Transcriber's notes</t>
        </is>
      </c>
    </row>
    <row r="241">
      <c r="A241" t="inlineStr">
        <is>
          <t>One part per commodity block, in printed order; each block has its own set of country columns as printed. Blocks split across a page turn are merged (years before and after the page break).</t>
        </is>
      </c>
    </row>
    <row r="242">
      <c r="A242" t="inlineStr">
        <is>
          <t>Column headings '[no heading]' / '[no heading 1]' / '[no heading 2]': a column of figures (mostly dashes) printed with no country heading; kept as printed.</t>
        </is>
      </c>
    </row>
    <row r="243">
      <c r="A243" t="inlineStr">
        <is>
          <t>Each continuation page is headed by a running unit caption ('(Exports: M¥1,000)' / '(Import: M¥1,000)' / '(Imports: M¥1,000)'), not transcribed as rows.</t>
        </is>
      </c>
    </row>
    <row r="244">
      <c r="A244" t="inlineStr">
        <is>
          <t>Reconciliation: for each year the country columns were added and compared with 'Total'. Where a block has an 'Others' column the parts should equal the Total; where it has none, the Total includes unlisted countries and parts below the Total are expected. Every non-reconciling cell was re-read on an enlarged crop; figures are as printed.</t>
        </is>
      </c>
    </row>
    <row r="245">
      <c r="A245" t="inlineStr">
        <is>
          <t>Printed out of numerical order: Table 6 (pp. 326-330) follows Table 9 (pp. 321-322); tables numbered 5, 8, 9 precede it.</t>
        </is>
      </c>
    </row>
    <row r="246">
      <c r="A246" t="inlineStr">
        <is>
          <t>Bean-Cake 1939, U.S.A.: printed ',626' — a comma/point followed by 626 with no leading digit visible (probably a dropped digit); transcribed as printed. Parts excl. this cell sum to 123,594 vs Total 125,253 (remainder 1,659).</t>
        </is>
      </c>
    </row>
    <row r="247">
      <c r="A247" t="inlineStr">
        <is>
          <t>Hides, Skin &amp; Leather 1934: Japan clearly printed 1,822; parts sum 2,688 vs Total 6,687 (diff 3,999) — 5,821 would reconcile.</t>
        </is>
      </c>
    </row>
    <row r="248">
      <c r="A248" t="inlineStr">
        <is>
          <t>Millet 1937: China clearly printed 1,349; parts exceed Total by 959 (349 would leave 41 for unlisted countries).</t>
        </is>
      </c>
    </row>
    <row r="249">
      <c r="A249" t="inlineStr">
        <is>
          <t>Soya Beans and Magnesite blocks straddle the page turns (1934-36 on p. 326 / 1937-39 on p. 327; 1934-36 on p. 329 / 1937-39 on p. 330). Perilla seeds 1934 is on p. 327, 1935-39 on p. 328.</t>
        </is>
      </c>
    </row>
    <row r="250">
      <c r="A250" t="inlineStr">
        <is>
          <t>Iron (Pig &amp; Kentledge) 1938 and 1939: all cells printed as dashes.</t>
        </is>
      </c>
    </row>
    <row r="251">
      <c r="A251" t="inlineStr">
        <is>
          <t>Sulphate of Ammonium: country columns vs Total per year — Parts fall short of Total (no 'Others' column; remainder = unlisted countries, not reconcilable) in 1934 (+3), 1935 (+29), 1936 (+234), 1937 (+50), 1938 (+1).</t>
        </is>
      </c>
    </row>
    <row r="252">
      <c r="A252" t="inlineStr">
        <is>
          <t>Kaoliang: country columns vs Total per year — Parts fall short of Total (no 'Others' column; remainder = unlisted countries, not reconcilable) in 1934 (+5), 1936 (+6,018), 1937 (+2,982).</t>
        </is>
      </c>
    </row>
    <row r="253">
      <c r="A253" t="inlineStr">
        <is>
          <t>Maize: country columns vs Total per year — does NOT reconcile: 1934: parts 4,916 vs Total 5,016 (diff +100); 1937: parts 8,540 vs Total 8,526 (diff -14); 1938: parts 18,314 vs Total 18,328 (diff +14); 1939: parts 29,071 vs Total 29,072 (diff +1).</t>
        </is>
      </c>
    </row>
    <row r="254">
      <c r="A254" t="inlineStr">
        <is>
          <t>Millet: country columns vs Total per year — parts EXCEED printed Total: 1937: parts 14,156 vs Total 13,197 (diff -959). Parts fall short of Total (no 'Others' column; remainder = unlisted countries, not reconcilable) in 1934 (+29), 1935 (+10), 1936 (+74), 1938 (+69), 1939 (+132).</t>
        </is>
      </c>
    </row>
    <row r="255">
      <c r="A255" t="inlineStr">
        <is>
          <t>Buckwheat: country columns vs Total per year — Parts fall short of Total (no 'Others' column; remainder = unlisted countries, not reconcilable) in 1934 (+40), 1935 (+33), 1936 (+23), 1937 (+10), 1938 (+13), 1939 (+11).</t>
        </is>
      </c>
    </row>
    <row r="256">
      <c r="A256" t="inlineStr">
        <is>
          <t>Soya Beans: country columns vs Total per year — Parts fall short of Total (no 'Others' column; remainder = unlisted countries, not reconcilable) in 1934 (+15,516), 1935 (+18,816), 1936 (+18,977), 1937 (+10,336), 1938 (+9,389), 1939 (+16,277).</t>
        </is>
      </c>
    </row>
    <row r="257">
      <c r="A257" t="inlineStr">
        <is>
          <t>Other Beans: country columns vs Total per year — does NOT reconcile: 1937: parts 12,609 vs Total 12,542 (diff -67); 1938: parts 14,008 vs Total 14,010 (diff +2); 1939: parts 25,702 vs Total 25,704 (diff +2).</t>
        </is>
      </c>
    </row>
    <row r="258">
      <c r="A258" t="inlineStr">
        <is>
          <t>Ground nuts: country columns vs Total per year — Parts fall short of Total (no 'Others' column; remainder = unlisted countries, not reconcilable) in 1934 (+3,824), 1935 (+3,406), 1936 (+5,822), 1937 (+7,314), 1938 (+3,550), 1939 (+877).</t>
        </is>
      </c>
    </row>
    <row r="259">
      <c r="A259" t="inlineStr">
        <is>
          <t>Hides, Skin &amp; Leather: country columns vs Total per year — does NOT reconcile: 1934: parts 2,688 vs Total 6,687 (diff +3,999); 1938: parts 6,204 vs Total 6,205 (diff +1); 1939: parts 4,155 vs Total 4,156 (diff +1).</t>
        </is>
      </c>
    </row>
    <row r="260">
      <c r="A260" t="inlineStr">
        <is>
          <t>Bristle: country columns vs Total per year — Parts fall short of Total (no 'Others' column; remainder = unlisted countries, not reconcilable) in 1934 (+63), 1935 (+146), 1936 (+126), 1937 (+376), 1938 (+301), 1939 (+157).</t>
        </is>
      </c>
    </row>
    <row r="261">
      <c r="A261" t="inlineStr">
        <is>
          <t>Hemp seeds: country columns vs Total per year — Parts fall short of Total (no 'Others' column; remainder = unlisted countries, not reconcilable) in 1934 (+377), 1935 (+212), 1936 (+290), 1937 (+420), 1938 (+470), 1939 (+634).</t>
        </is>
      </c>
    </row>
    <row r="262">
      <c r="A262" t="inlineStr">
        <is>
          <t>Perilla seeds: country columns vs Total per year — does NOT reconcile: 1934: parts 4,152 vs Total 4,153 (diff +1); 1935: parts 7,531 vs Total 7,533 (diff +2); 1937: parts 7,886 vs Total 7,885 (diff -1); 1939: parts 10,870 vs Total 10,872 (diff +2).</t>
        </is>
      </c>
    </row>
    <row r="263">
      <c r="A263" t="inlineStr">
        <is>
          <t>Sesamum seeds: country columns vs Total per year — parts EXCEED printed Total: 1937: parts 2,030 vs Total 2,020 (diff -10). Parts fall short of Total (no 'Others' column; remainder = unlisted countries, not reconcilable) in 1934 (+343), 1935 (+154), 1936 (+1), 1938 (+2), 1939 (+481).</t>
        </is>
      </c>
    </row>
    <row r="264">
      <c r="A264" t="inlineStr">
        <is>
          <t>Castor Seed: country columns vs Total per year — Parts fall short of Total (no 'Others' column; remainder = unlisted countries, not reconcilable) in 1934 (+65), 1935 (+53), 1936 (+9).</t>
        </is>
      </c>
    </row>
    <row r="265">
      <c r="A265" t="inlineStr">
        <is>
          <t>Sweeping (cereals): country columns vs Total per year — does NOT reconcile: 1935: parts 3,219 vs Total 3,220 (diff +1); 1939: parts 7,637 vs Total 7,638 (diff +1).</t>
        </is>
      </c>
    </row>
    <row r="266">
      <c r="A266" t="inlineStr">
        <is>
          <t>Bean Oil: country columns vs Total per year — Parts fall short of Total (no 'Others' column; remainder = unlisted countries, not reconcilable) in 1934 (+757), 1935 (+5,647), 1936 (+4,875), 1937 (+6,991), 1938 (+1,209), 1939 (+8,125).</t>
        </is>
      </c>
    </row>
    <row r="267">
      <c r="A267" t="inlineStr">
        <is>
          <t>Perilla Oil: country columns vs Total per year — Parts fall short of Total (no 'Others' column; remainder = unlisted countries, not reconcilable) in 1935 (+12), 1936 (+12), 1937 (+815), 1938 (+297), 1939 (+372).</t>
        </is>
      </c>
    </row>
    <row r="268">
      <c r="A268" t="inlineStr">
        <is>
          <t>Wool, Sheep's: country columns vs Total per year — does NOT reconcile: 1937: parts 2,563 vs Total 2,564 (diff +1); 1938: parts 2,523 vs Total 2,524 (diff +1); 1939: parts 1,768 vs Total 1,769 (diff +1).</t>
        </is>
      </c>
    </row>
    <row r="269">
      <c r="A269" t="inlineStr">
        <is>
          <t>Raw Silk, wild (Excl. waste): country columns vs Total per year — does NOT reconcile: 1939: parts 5,875 vs Total 5,877 (diff +2).</t>
        </is>
      </c>
    </row>
    <row r="270">
      <c r="A270" t="inlineStr">
        <is>
          <t>Cotton Yarn: country columns vs Total per year — does NOT reconcile: 1934: parts 6,135 vs Total 6,136 (diff +1); 1935: parts 5,024 vs Total 5,624 (diff +600); 1937: parts 4,470 vs Total 4,468 (diff -2); 1938: parts 664 vs Total 665 (diff +1).</t>
        </is>
      </c>
    </row>
    <row r="271">
      <c r="A271" t="inlineStr">
        <is>
          <t>Coal &amp; Briquettes: country columns vs Total per year — Parts fall short of Total (no 'Others' column; remainder = unlisted countries, not reconcilable) in 1934 (+890), 1935 (+532), 1936 (+87), 1937 (+103), 1938 (+135), 1939 (+75).</t>
        </is>
      </c>
    </row>
    <row r="272">
      <c r="A272" t="inlineStr">
        <is>
          <t>Iron, (Pig &amp; Kentledge): country columns vs Total per year — parts EXCEED printed Total: 1935: parts 10,354 vs Total 10,329 (diff -25). Parts fall short of Total (no 'Others' column; remainder = unlisted countries, not reconcilable) in 1934 (+49), 1936 (+21).</t>
        </is>
      </c>
    </row>
    <row r="273">
      <c r="A273" t="inlineStr">
        <is>
          <t>Magnesite (incl. powder): country columns vs Total per year — Parts fall short of Total (no 'Others' column; remainder = unlisted countries, not reconcilable) in 1934 (+1), 1935 (+72), 1936 (+268), 1937 (+120), 1938 (+298), 1939 (+362).</t>
        </is>
      </c>
    </row>
    <row r="274">
      <c r="A274" t="inlineStr">
        <is>
          <t>Soapstone, Talc, (incl. powder): country columns vs Total per year — does NOT reconcile: 1937: parts 1,140 vs Total 1,035 (diff -105); 1938: parts 1,236 vs Total 1,237 (diff +1); 1939: parts 2,059 vs Total 2,060 (diff +1).</t>
        </is>
      </c>
    </row>
    <row r="275">
      <c r="A275" t="inlineStr">
        <is>
          <t>Window Glass, unsilvered: country columns vs Total per year — does NOT reconcile: 1939: parts 1,058 vs Total 1,059 (diff +1).</t>
        </is>
      </c>
    </row>
    <row r="276">
      <c r="A276" t="inlineStr">
        <is>
          <t>Bean-Cake: country columns vs Total per year — Parts fall short of Total (no 'Others' column; remainder = unlisted countries, not reconcilable) in 1934 (+834), 1935 (+1,043), 1936 (+1,623), 1937 (+10,975), 1938 (+988), 1939 (+1,033).</t>
        </is>
      </c>
    </row>
  </sheetData>
  <hyperlinks>
    <hyperlink xmlns:r="http://schemas.openxmlformats.org/officeDocument/2006/relationships" ref="A4" r:id="rId1"/>
  </hyperlink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35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Imports of Principal Commodities</t>
        </is>
      </c>
    </row>
    <row r="2">
      <c r="A2" t="inlineStr">
        <is>
          <t>Foreign Trade · printed pp. 330, 331, 332, 333, 334, 335, 336</t>
        </is>
      </c>
    </row>
    <row r="3">
      <c r="A3" t="inlineStr">
        <is>
          <t>(Unit: M¥1,000)</t>
        </is>
      </c>
    </row>
    <row r="4">
      <c r="A4" s="3" t="inlineStr">
        <is>
          <t>← Contents</t>
        </is>
      </c>
    </row>
    <row r="6">
      <c r="A6" s="2" t="inlineStr">
        <is>
          <t>Dyes, Pigments, Paints, Varnishes, etc.</t>
        </is>
      </c>
    </row>
    <row r="7">
      <c r="A7" s="5" t="inlineStr">
        <is>
          <t>Year</t>
        </is>
      </c>
      <c r="B7" s="5" t="inlineStr">
        <is>
          <t>Total</t>
        </is>
      </c>
      <c r="C7" s="5" t="inlineStr">
        <is>
          <t>Japan</t>
        </is>
      </c>
      <c r="D7" s="5" t="inlineStr">
        <is>
          <t>China</t>
        </is>
      </c>
      <c r="E7" s="5" t="inlineStr">
        <is>
          <t>Hongkong</t>
        </is>
      </c>
      <c r="F7" s="5" t="inlineStr">
        <is>
          <t>U.K.</t>
        </is>
      </c>
      <c r="G7" s="5" t="inlineStr">
        <is>
          <t>Germany</t>
        </is>
      </c>
      <c r="H7" s="5" t="inlineStr">
        <is>
          <t>U.S.A.</t>
        </is>
      </c>
    </row>
    <row r="8">
      <c r="A8" s="9" t="n">
        <v>1934</v>
      </c>
      <c r="B8" s="6" t="n">
        <v>5608</v>
      </c>
      <c r="C8" s="6" t="n">
        <v>2608</v>
      </c>
      <c r="D8" s="9" t="n">
        <v>420</v>
      </c>
      <c r="E8" s="9" t="n">
        <v>263</v>
      </c>
      <c r="F8" s="9" t="n">
        <v>614</v>
      </c>
      <c r="G8" s="6" t="n">
        <v>1190</v>
      </c>
      <c r="H8" s="9" t="n">
        <v>445</v>
      </c>
    </row>
    <row r="9">
      <c r="A9" s="9" t="n">
        <v>1935</v>
      </c>
      <c r="B9" s="6" t="n">
        <v>6745</v>
      </c>
      <c r="C9" s="6" t="n">
        <v>3455</v>
      </c>
      <c r="D9" s="9" t="n">
        <v>287</v>
      </c>
      <c r="E9" s="9" t="n">
        <v>157</v>
      </c>
      <c r="F9" s="9" t="n">
        <v>458</v>
      </c>
      <c r="G9" s="6" t="n">
        <v>1751</v>
      </c>
      <c r="H9" s="9" t="n">
        <v>602</v>
      </c>
    </row>
    <row r="10">
      <c r="A10" s="9" t="n">
        <v>1936</v>
      </c>
      <c r="B10" s="6" t="n">
        <v>7258</v>
      </c>
      <c r="C10" s="6" t="n">
        <v>4136</v>
      </c>
      <c r="D10" s="9" t="n">
        <v>370</v>
      </c>
      <c r="E10" s="9" t="n">
        <v>111</v>
      </c>
      <c r="F10" s="9" t="n">
        <v>475</v>
      </c>
      <c r="G10" s="6" t="n">
        <v>1622</v>
      </c>
      <c r="H10" s="9" t="n">
        <v>431</v>
      </c>
    </row>
    <row r="11">
      <c r="A11" s="9" t="n">
        <v>1937</v>
      </c>
      <c r="B11" s="6" t="n">
        <v>11598</v>
      </c>
      <c r="C11" s="6" t="n">
        <v>5778</v>
      </c>
      <c r="D11" s="9" t="n">
        <v>289</v>
      </c>
      <c r="E11" s="9" t="n">
        <v>102</v>
      </c>
      <c r="F11" s="9" t="n">
        <v>658</v>
      </c>
      <c r="G11" s="6" t="n">
        <v>3669</v>
      </c>
      <c r="H11" s="9" t="n">
        <v>732</v>
      </c>
    </row>
    <row r="12">
      <c r="A12" s="9" t="n">
        <v>1938</v>
      </c>
      <c r="B12" s="6" t="n">
        <v>11857</v>
      </c>
      <c r="C12" s="6" t="n">
        <v>19200</v>
      </c>
      <c r="D12" s="9" t="n">
        <v>63</v>
      </c>
      <c r="E12" t="inlineStr">
        <is>
          <t>—</t>
        </is>
      </c>
      <c r="F12" s="9" t="n">
        <v>5</v>
      </c>
      <c r="G12" s="6" t="n">
        <v>1496</v>
      </c>
      <c r="H12" s="9" t="n">
        <v>185</v>
      </c>
    </row>
    <row r="13">
      <c r="A13" s="9" t="n">
        <v>1939</v>
      </c>
      <c r="B13" s="6" t="n">
        <v>15002</v>
      </c>
      <c r="C13" s="6" t="n">
        <v>12209</v>
      </c>
      <c r="D13" s="9" t="n">
        <v>9</v>
      </c>
      <c r="E13" t="inlineStr">
        <is>
          <t>—</t>
        </is>
      </c>
      <c r="F13" s="9" t="n">
        <v>1</v>
      </c>
      <c r="G13" s="6" t="n">
        <v>2718</v>
      </c>
      <c r="H13" s="9" t="n">
        <v>49</v>
      </c>
    </row>
    <row r="15">
      <c r="A15" s="2" t="inlineStr">
        <is>
          <t>Rice &amp; Paddy</t>
        </is>
      </c>
    </row>
    <row r="16">
      <c r="A16" s="5" t="inlineStr">
        <is>
          <t>Year</t>
        </is>
      </c>
      <c r="B16" s="5" t="inlineStr">
        <is>
          <t>Total</t>
        </is>
      </c>
      <c r="C16" s="5" t="inlineStr">
        <is>
          <t>Japan</t>
        </is>
      </c>
      <c r="D16" s="5" t="inlineStr">
        <is>
          <t>China</t>
        </is>
      </c>
      <c r="E16" s="5" t="inlineStr">
        <is>
          <t>Hongkong</t>
        </is>
      </c>
      <c r="F16" s="5" t="inlineStr">
        <is>
          <t>Brit. India</t>
        </is>
      </c>
      <c r="G16" s="5" t="inlineStr">
        <is>
          <t>French Indo-China</t>
        </is>
      </c>
      <c r="H16" s="5" t="n"/>
    </row>
    <row r="17">
      <c r="A17" s="9" t="n">
        <v>1934</v>
      </c>
      <c r="B17" s="6" t="n">
        <v>7476</v>
      </c>
      <c r="C17" s="6" t="n">
        <v>2500</v>
      </c>
      <c r="D17" s="6" t="n">
        <v>1393</v>
      </c>
      <c r="E17" s="9" t="n">
        <v>543</v>
      </c>
      <c r="F17" s="6" t="n">
        <v>1534</v>
      </c>
      <c r="G17" s="6" t="n">
        <v>1464</v>
      </c>
    </row>
    <row r="18">
      <c r="A18" s="9" t="n">
        <v>1935</v>
      </c>
      <c r="B18" s="6" t="n">
        <v>11567</v>
      </c>
      <c r="C18" s="6" t="n">
        <v>4131</v>
      </c>
      <c r="D18" s="9" t="n">
        <v>663</v>
      </c>
      <c r="E18" s="9" t="n">
        <v>446</v>
      </c>
      <c r="F18" s="6" t="n">
        <v>11994</v>
      </c>
      <c r="G18" s="6" t="n">
        <v>4145</v>
      </c>
    </row>
    <row r="19">
      <c r="A19" s="9" t="n">
        <v>1936</v>
      </c>
      <c r="B19" s="6" t="n">
        <v>12592</v>
      </c>
      <c r="C19" s="6" t="n">
        <v>1740</v>
      </c>
      <c r="D19" s="6" t="n">
        <v>3562</v>
      </c>
      <c r="E19" s="9" t="n">
        <v>756</v>
      </c>
      <c r="F19" s="6" t="n">
        <v>1318</v>
      </c>
      <c r="G19" s="6" t="n">
        <v>3489</v>
      </c>
    </row>
    <row r="20">
      <c r="A20" s="9" t="n">
        <v>1937</v>
      </c>
      <c r="B20" s="6" t="n">
        <v>8754</v>
      </c>
      <c r="C20" s="6" t="n">
        <v>1441</v>
      </c>
      <c r="D20" s="6" t="n">
        <v>3142</v>
      </c>
      <c r="E20" s="9" t="n">
        <v>433</v>
      </c>
      <c r="F20" s="6" t="n">
        <v>1955</v>
      </c>
      <c r="G20" s="6" t="n">
        <v>1955</v>
      </c>
    </row>
    <row r="21">
      <c r="A21" s="9" t="n">
        <v>1938</v>
      </c>
      <c r="B21" s="6" t="n">
        <v>11393</v>
      </c>
      <c r="C21" s="6" t="n">
        <v>9173</v>
      </c>
      <c r="D21" s="9" t="n">
        <v>10</v>
      </c>
      <c r="E21" s="9" t="n">
        <v>0</v>
      </c>
      <c r="F21" t="inlineStr">
        <is>
          <t>—</t>
        </is>
      </c>
      <c r="G21" t="inlineStr">
        <is>
          <t>—</t>
        </is>
      </c>
    </row>
    <row r="22">
      <c r="A22" s="9" t="n">
        <v>1939</v>
      </c>
      <c r="B22" s="6" t="n">
        <v>18421</v>
      </c>
      <c r="C22" s="6" t="n">
        <v>17075</v>
      </c>
      <c r="D22" s="9" t="n">
        <v>1</v>
      </c>
      <c r="E22" t="inlineStr">
        <is>
          <t>—</t>
        </is>
      </c>
      <c r="F22" t="inlineStr">
        <is>
          <t>—</t>
        </is>
      </c>
      <c r="G22" t="inlineStr">
        <is>
          <t>—</t>
        </is>
      </c>
    </row>
    <row r="24">
      <c r="A24" s="2" t="inlineStr">
        <is>
          <t>Wheat Flour</t>
        </is>
      </c>
    </row>
    <row r="25">
      <c r="A25" s="5" t="inlineStr">
        <is>
          <t>Year</t>
        </is>
      </c>
      <c r="B25" s="5" t="inlineStr">
        <is>
          <t>Total</t>
        </is>
      </c>
      <c r="C25" s="5" t="inlineStr">
        <is>
          <t>Japan</t>
        </is>
      </c>
      <c r="D25" s="5" t="inlineStr">
        <is>
          <t>China</t>
        </is>
      </c>
      <c r="E25" s="5" t="inlineStr">
        <is>
          <t>U.S.A.</t>
        </is>
      </c>
      <c r="F25" s="5" t="inlineStr">
        <is>
          <t>Australia</t>
        </is>
      </c>
      <c r="G25" s="5" t="inlineStr">
        <is>
          <t>Others</t>
        </is>
      </c>
      <c r="H25" s="5" t="n"/>
    </row>
    <row r="26">
      <c r="A26" s="9" t="n">
        <v>1934</v>
      </c>
      <c r="B26" s="6" t="n">
        <v>57059</v>
      </c>
      <c r="C26" s="6" t="n">
        <v>13637</v>
      </c>
      <c r="D26" s="6" t="n">
        <v>6575</v>
      </c>
      <c r="E26" s="6" t="n">
        <v>1357</v>
      </c>
      <c r="F26" s="6" t="n">
        <v>20488</v>
      </c>
      <c r="G26" s="9" t="n">
        <v>1</v>
      </c>
    </row>
    <row r="27">
      <c r="A27" s="9" t="n">
        <v>1935</v>
      </c>
      <c r="B27" s="6" t="n">
        <v>53989</v>
      </c>
      <c r="C27" s="6" t="n">
        <v>33461</v>
      </c>
      <c r="D27" s="9" t="n">
        <v>572</v>
      </c>
      <c r="E27" s="9" t="n">
        <v>54</v>
      </c>
      <c r="F27" s="6" t="n">
        <v>19884</v>
      </c>
      <c r="G27" s="9" t="n">
        <v>18</v>
      </c>
    </row>
    <row r="28">
      <c r="A28" s="9" t="n">
        <v>1936</v>
      </c>
      <c r="B28" s="6" t="n">
        <v>27116</v>
      </c>
      <c r="C28" s="6" t="n">
        <v>15184</v>
      </c>
      <c r="D28" s="6" t="n">
        <v>3291</v>
      </c>
      <c r="E28" t="inlineStr">
        <is>
          <t>—</t>
        </is>
      </c>
      <c r="F28" s="6" t="n">
        <v>8507</v>
      </c>
      <c r="G28" s="9" t="n">
        <v>133</v>
      </c>
    </row>
    <row r="29">
      <c r="A29" s="9" t="n">
        <v>1937</v>
      </c>
      <c r="B29" s="6" t="n">
        <v>13828</v>
      </c>
      <c r="C29" s="6" t="n">
        <v>12257</v>
      </c>
      <c r="D29" s="9" t="n">
        <v>235</v>
      </c>
      <c r="E29" t="inlineStr">
        <is>
          <t>—</t>
        </is>
      </c>
      <c r="F29" s="6" t="n">
        <v>1196</v>
      </c>
      <c r="G29" s="9" t="n">
        <v>140</v>
      </c>
    </row>
    <row r="30">
      <c r="A30" s="9" t="n">
        <v>1938</v>
      </c>
      <c r="B30" s="6" t="n">
        <v>47089</v>
      </c>
      <c r="C30" s="6" t="n">
        <v>44071</v>
      </c>
      <c r="D30" s="6" t="n">
        <v>1379</v>
      </c>
      <c r="E30" t="inlineStr">
        <is>
          <t>—</t>
        </is>
      </c>
      <c r="F30" t="inlineStr">
        <is>
          <t>—</t>
        </is>
      </c>
      <c r="G30" s="6" t="n">
        <v>1638</v>
      </c>
    </row>
    <row r="31">
      <c r="A31" s="9" t="n">
        <v>1939</v>
      </c>
      <c r="B31" s="6" t="n">
        <v>68300</v>
      </c>
      <c r="C31" s="6" t="n">
        <v>51413</v>
      </c>
      <c r="D31" s="6" t="n">
        <v>10175</v>
      </c>
      <c r="E31" t="inlineStr">
        <is>
          <t>—</t>
        </is>
      </c>
      <c r="F31" t="inlineStr">
        <is>
          <t>—</t>
        </is>
      </c>
      <c r="G31" s="6" t="n">
        <v>6713</v>
      </c>
    </row>
    <row r="33">
      <c r="A33" s="2" t="inlineStr">
        <is>
          <t>Aquatic Products</t>
        </is>
      </c>
    </row>
    <row r="34">
      <c r="A34" s="5" t="inlineStr">
        <is>
          <t>Year</t>
        </is>
      </c>
      <c r="B34" s="5" t="inlineStr">
        <is>
          <t>Total</t>
        </is>
      </c>
      <c r="C34" s="5" t="inlineStr">
        <is>
          <t>Japan</t>
        </is>
      </c>
      <c r="D34" s="5" t="inlineStr">
        <is>
          <t>China</t>
        </is>
      </c>
      <c r="E34" s="5" t="inlineStr">
        <is>
          <t>Hongkong</t>
        </is>
      </c>
      <c r="F34" s="5" t="inlineStr">
        <is>
          <t>[no heading]</t>
        </is>
      </c>
      <c r="G34" s="5" t="inlineStr">
        <is>
          <t>Others</t>
        </is>
      </c>
      <c r="H34" s="5" t="n"/>
    </row>
    <row r="35">
      <c r="A35" s="9" t="n">
        <v>1934</v>
      </c>
      <c r="B35" s="6" t="n">
        <v>8238</v>
      </c>
      <c r="C35" s="6" t="n">
        <v>6866</v>
      </c>
      <c r="D35" s="9" t="n">
        <v>704</v>
      </c>
      <c r="E35" s="9" t="n">
        <v>52</v>
      </c>
      <c r="F35" t="inlineStr">
        <is>
          <t>—</t>
        </is>
      </c>
      <c r="G35" s="9" t="n">
        <v>616</v>
      </c>
    </row>
    <row r="36">
      <c r="A36" s="9" t="n">
        <v>1935</v>
      </c>
      <c r="B36" s="6" t="n">
        <v>8553</v>
      </c>
      <c r="C36" s="6" t="n">
        <v>8001</v>
      </c>
      <c r="D36" s="9" t="n">
        <v>272</v>
      </c>
      <c r="E36" s="9" t="n">
        <v>31</v>
      </c>
      <c r="F36" t="inlineStr">
        <is>
          <t>—</t>
        </is>
      </c>
      <c r="G36" s="9" t="n">
        <v>249</v>
      </c>
    </row>
    <row r="37">
      <c r="A37" s="9" t="n">
        <v>1936</v>
      </c>
      <c r="B37" s="6" t="n">
        <v>12005</v>
      </c>
      <c r="C37" s="6" t="n">
        <v>11184</v>
      </c>
      <c r="D37" s="9" t="n">
        <v>570</v>
      </c>
      <c r="E37" s="9" t="n">
        <v>109</v>
      </c>
      <c r="F37" t="inlineStr">
        <is>
          <t>—</t>
        </is>
      </c>
      <c r="G37" s="9" t="n">
        <v>142</v>
      </c>
    </row>
    <row r="38">
      <c r="A38" s="9" t="n">
        <v>1937</v>
      </c>
      <c r="B38" s="6" t="n">
        <v>20585</v>
      </c>
      <c r="C38" s="6" t="n">
        <v>19637</v>
      </c>
      <c r="D38" s="9" t="n">
        <v>443</v>
      </c>
      <c r="E38" s="9" t="n">
        <v>217</v>
      </c>
      <c r="F38" t="inlineStr">
        <is>
          <t>—</t>
        </is>
      </c>
      <c r="G38" s="9" t="n">
        <v>288</v>
      </c>
    </row>
    <row r="39">
      <c r="A39" s="9" t="n">
        <v>1938</v>
      </c>
      <c r="B39" s="6" t="n">
        <v>17136</v>
      </c>
      <c r="C39" s="6" t="n">
        <v>16833</v>
      </c>
      <c r="D39" s="9" t="n">
        <v>293</v>
      </c>
      <c r="E39" t="inlineStr">
        <is>
          <t>—</t>
        </is>
      </c>
      <c r="F39" t="inlineStr">
        <is>
          <t>—</t>
        </is>
      </c>
      <c r="G39" s="9" t="n">
        <v>10</v>
      </c>
    </row>
    <row r="40">
      <c r="A40" s="9" t="n">
        <v>1939</v>
      </c>
      <c r="B40" s="6" t="n">
        <v>47858</v>
      </c>
      <c r="C40" s="6" t="n">
        <v>46623</v>
      </c>
      <c r="D40" s="6" t="n">
        <v>1039</v>
      </c>
      <c r="E40" t="inlineStr">
        <is>
          <t>—</t>
        </is>
      </c>
      <c r="F40" t="inlineStr">
        <is>
          <t>—</t>
        </is>
      </c>
      <c r="G40" s="9" t="n">
        <v>296</v>
      </c>
    </row>
    <row r="42">
      <c r="A42" s="2" t="inlineStr">
        <is>
          <t>Sugar</t>
        </is>
      </c>
    </row>
    <row r="43">
      <c r="A43" s="5" t="inlineStr">
        <is>
          <t>Year</t>
        </is>
      </c>
      <c r="B43" s="5" t="inlineStr">
        <is>
          <t>Total</t>
        </is>
      </c>
      <c r="C43" s="5" t="inlineStr">
        <is>
          <t>Japan</t>
        </is>
      </c>
      <c r="D43" s="5" t="inlineStr">
        <is>
          <t>China</t>
        </is>
      </c>
      <c r="E43" s="5" t="inlineStr">
        <is>
          <t>Hongkong</t>
        </is>
      </c>
      <c r="F43" s="5" t="inlineStr">
        <is>
          <t>D.E.I.</t>
        </is>
      </c>
      <c r="G43" s="5" t="inlineStr">
        <is>
          <t>Others</t>
        </is>
      </c>
      <c r="H43" s="5" t="n"/>
    </row>
    <row r="44">
      <c r="A44" s="9" t="n">
        <v>1934</v>
      </c>
      <c r="B44" s="6" t="n">
        <v>11565</v>
      </c>
      <c r="C44" s="6" t="n">
        <v>9975</v>
      </c>
      <c r="D44" s="9" t="n">
        <v>275</v>
      </c>
      <c r="E44" s="9" t="n">
        <v>935</v>
      </c>
      <c r="F44" s="9" t="n">
        <v>288</v>
      </c>
      <c r="G44" s="9" t="n">
        <v>92</v>
      </c>
    </row>
    <row r="45">
      <c r="A45" s="9" t="n">
        <v>1935</v>
      </c>
      <c r="B45" s="6" t="n">
        <v>12974</v>
      </c>
      <c r="C45" s="6" t="n">
        <v>11766</v>
      </c>
      <c r="D45" s="9" t="n">
        <v>66</v>
      </c>
      <c r="E45" s="9" t="n">
        <v>583</v>
      </c>
      <c r="F45" s="9" t="n">
        <v>518</v>
      </c>
      <c r="G45" s="9" t="n">
        <v>39</v>
      </c>
    </row>
    <row r="46">
      <c r="A46" s="9" t="n">
        <v>1936</v>
      </c>
      <c r="B46" s="6" t="n">
        <v>29421</v>
      </c>
      <c r="C46" s="6" t="n">
        <v>22818</v>
      </c>
      <c r="D46" s="9" t="n">
        <v>284</v>
      </c>
      <c r="E46" s="6" t="n">
        <v>1851</v>
      </c>
      <c r="F46" s="6" t="n">
        <v>4404</v>
      </c>
      <c r="G46" s="9" t="n">
        <v>64</v>
      </c>
    </row>
    <row r="47">
      <c r="A47" s="9" t="n">
        <v>1937</v>
      </c>
      <c r="B47" s="6" t="n">
        <v>21293</v>
      </c>
      <c r="C47" s="6" t="n">
        <v>14604</v>
      </c>
      <c r="D47" s="9" t="n">
        <v>129</v>
      </c>
      <c r="E47" s="9" t="n">
        <v>531</v>
      </c>
      <c r="F47" s="6" t="n">
        <v>5827</v>
      </c>
      <c r="G47" s="9" t="n">
        <v>197</v>
      </c>
    </row>
    <row r="48">
      <c r="A48" s="9" t="n">
        <v>1938</v>
      </c>
      <c r="B48" s="6" t="n">
        <v>35779</v>
      </c>
      <c r="C48" s="6" t="n">
        <v>35717</v>
      </c>
      <c r="D48" s="9" t="n">
        <v>3</v>
      </c>
      <c r="E48" t="inlineStr">
        <is>
          <t>—</t>
        </is>
      </c>
      <c r="F48" s="9" t="n">
        <v>47</v>
      </c>
      <c r="G48" s="9" t="n">
        <v>12</v>
      </c>
    </row>
    <row r="49">
      <c r="A49" s="9" t="n">
        <v>1939</v>
      </c>
      <c r="B49" s="6" t="n">
        <v>42396</v>
      </c>
      <c r="C49" s="6" t="n">
        <v>41812</v>
      </c>
      <c r="D49" s="9" t="n">
        <v>1</v>
      </c>
      <c r="E49" t="inlineStr">
        <is>
          <t>—</t>
        </is>
      </c>
      <c r="F49" t="inlineStr">
        <is>
          <t>—</t>
        </is>
      </c>
      <c r="G49" s="9" t="n">
        <v>584</v>
      </c>
    </row>
    <row r="51">
      <c r="A51" s="2" t="inlineStr">
        <is>
          <t>Tea</t>
        </is>
      </c>
    </row>
    <row r="52">
      <c r="A52" s="5" t="inlineStr">
        <is>
          <t>Year</t>
        </is>
      </c>
      <c r="B52" s="5" t="inlineStr">
        <is>
          <t>Total</t>
        </is>
      </c>
      <c r="C52" s="5" t="inlineStr">
        <is>
          <t>Japan</t>
        </is>
      </c>
      <c r="D52" s="5" t="inlineStr">
        <is>
          <t>China</t>
        </is>
      </c>
      <c r="E52" s="5" t="inlineStr">
        <is>
          <t>Brit. India</t>
        </is>
      </c>
      <c r="F52" s="5" t="inlineStr">
        <is>
          <t>[no heading]</t>
        </is>
      </c>
      <c r="G52" s="5" t="inlineStr">
        <is>
          <t>Others</t>
        </is>
      </c>
      <c r="H52" s="5" t="n"/>
    </row>
    <row r="53">
      <c r="A53" s="9" t="n">
        <v>1934</v>
      </c>
      <c r="B53" s="6" t="n">
        <v>3023</v>
      </c>
      <c r="C53" s="9" t="n">
        <v>865</v>
      </c>
      <c r="D53" s="6" t="n">
        <v>2084</v>
      </c>
      <c r="E53" s="9" t="n">
        <v>66</v>
      </c>
      <c r="F53" t="inlineStr">
        <is>
          <t>—</t>
        </is>
      </c>
      <c r="G53" s="9" t="n">
        <v>8</v>
      </c>
    </row>
    <row r="54">
      <c r="A54" s="9" t="n">
        <v>1935</v>
      </c>
      <c r="B54" s="6" t="n">
        <v>3136</v>
      </c>
      <c r="C54" s="6" t="n">
        <v>1221</v>
      </c>
      <c r="D54" s="6" t="n">
        <v>1832</v>
      </c>
      <c r="E54" s="9" t="n">
        <v>76</v>
      </c>
      <c r="F54" t="inlineStr">
        <is>
          <t>—</t>
        </is>
      </c>
      <c r="G54" s="9" t="n">
        <v>7</v>
      </c>
    </row>
    <row r="55">
      <c r="A55" s="9" t="n">
        <v>1936</v>
      </c>
      <c r="B55" s="6" t="n">
        <v>3732</v>
      </c>
      <c r="C55" s="6" t="n">
        <v>1131</v>
      </c>
      <c r="D55" s="6" t="n">
        <v>2463</v>
      </c>
      <c r="E55" s="9" t="n">
        <v>124</v>
      </c>
      <c r="F55" t="inlineStr">
        <is>
          <t>—</t>
        </is>
      </c>
      <c r="G55" s="9" t="n">
        <v>14</v>
      </c>
    </row>
    <row r="56">
      <c r="A56" s="9" t="n">
        <v>1937</v>
      </c>
      <c r="B56" s="6" t="n">
        <v>4120</v>
      </c>
      <c r="C56" s="6" t="n">
        <v>1715</v>
      </c>
      <c r="D56" s="6" t="n">
        <v>2221</v>
      </c>
      <c r="E56" s="9" t="n">
        <v>148</v>
      </c>
      <c r="F56" t="inlineStr">
        <is>
          <t>—</t>
        </is>
      </c>
      <c r="G56" s="9" t="n">
        <v>86</v>
      </c>
    </row>
    <row r="57">
      <c r="A57" s="9" t="n">
        <v>1938</v>
      </c>
      <c r="B57" s="6" t="n">
        <v>6228</v>
      </c>
      <c r="C57" s="6" t="n">
        <v>5127</v>
      </c>
      <c r="D57" s="6" t="n">
        <v>1089</v>
      </c>
      <c r="E57" s="9" t="n">
        <v>10</v>
      </c>
      <c r="F57" t="inlineStr">
        <is>
          <t>—</t>
        </is>
      </c>
      <c r="G57" s="9" t="n">
        <v>3</v>
      </c>
    </row>
    <row r="58">
      <c r="A58" s="9" t="n">
        <v>1939</v>
      </c>
      <c r="B58" s="6" t="n">
        <v>11183</v>
      </c>
      <c r="C58" s="6" t="n">
        <v>10876</v>
      </c>
      <c r="D58" s="9" t="n">
        <v>304</v>
      </c>
      <c r="E58" s="9" t="n">
        <v>2</v>
      </c>
      <c r="F58" t="inlineStr">
        <is>
          <t>—</t>
        </is>
      </c>
      <c r="G58" s="9" t="n">
        <v>0</v>
      </c>
    </row>
    <row r="60">
      <c r="A60" s="2" t="inlineStr">
        <is>
          <t>Wines, Beer, Spirits, Tablewaters</t>
        </is>
      </c>
    </row>
    <row r="61">
      <c r="A61" s="5" t="inlineStr">
        <is>
          <t>Year</t>
        </is>
      </c>
      <c r="B61" s="5" t="inlineStr">
        <is>
          <t>Total</t>
        </is>
      </c>
      <c r="C61" s="5" t="inlineStr">
        <is>
          <t>Japan</t>
        </is>
      </c>
      <c r="D61" s="5" t="inlineStr">
        <is>
          <t>China</t>
        </is>
      </c>
      <c r="E61" s="5" t="inlineStr">
        <is>
          <t>U.K.</t>
        </is>
      </c>
      <c r="F61" s="5" t="inlineStr">
        <is>
          <t>France</t>
        </is>
      </c>
      <c r="G61" s="5" t="inlineStr">
        <is>
          <t>Others</t>
        </is>
      </c>
      <c r="H61" s="5" t="n"/>
    </row>
    <row r="62">
      <c r="A62" s="9" t="n">
        <v>1934</v>
      </c>
      <c r="B62" s="6" t="n">
        <v>6980</v>
      </c>
      <c r="C62" s="6" t="n">
        <v>5920</v>
      </c>
      <c r="D62" s="9" t="n">
        <v>145</v>
      </c>
      <c r="E62" s="9" t="n">
        <v>655</v>
      </c>
      <c r="F62" s="9" t="n">
        <v>122</v>
      </c>
      <c r="G62" s="9" t="n">
        <v>138</v>
      </c>
    </row>
    <row r="63">
      <c r="A63" s="9" t="n">
        <v>1935</v>
      </c>
      <c r="B63" s="6" t="n">
        <v>7965</v>
      </c>
      <c r="C63" s="6" t="n">
        <v>7099</v>
      </c>
      <c r="D63" s="9" t="n">
        <v>56</v>
      </c>
      <c r="E63" s="9" t="n">
        <v>545</v>
      </c>
      <c r="F63" s="9" t="n">
        <v>139</v>
      </c>
      <c r="G63" s="9" t="n">
        <v>126</v>
      </c>
    </row>
    <row r="64">
      <c r="A64" s="9" t="n">
        <v>1936</v>
      </c>
      <c r="B64" s="6" t="n">
        <v>8368</v>
      </c>
      <c r="C64" s="6" t="n">
        <v>7459</v>
      </c>
      <c r="D64" s="9" t="n">
        <v>99</v>
      </c>
      <c r="E64" s="9" t="n">
        <v>535</v>
      </c>
      <c r="F64" s="9" t="n">
        <v>168</v>
      </c>
      <c r="G64" s="9" t="n">
        <v>107</v>
      </c>
    </row>
    <row r="65">
      <c r="A65" s="9" t="n">
        <v>1937</v>
      </c>
      <c r="B65" s="6" t="n">
        <v>9969</v>
      </c>
      <c r="C65" s="6" t="n">
        <v>8843</v>
      </c>
      <c r="D65" s="9" t="n">
        <v>45</v>
      </c>
      <c r="E65" s="9" t="n">
        <v>571</v>
      </c>
      <c r="F65" s="9" t="n">
        <v>343</v>
      </c>
      <c r="G65" s="9" t="n">
        <v>167</v>
      </c>
    </row>
    <row r="66">
      <c r="A66" s="9" t="n">
        <v>1938</v>
      </c>
      <c r="B66" s="6" t="n">
        <v>9396</v>
      </c>
      <c r="C66" s="6" t="n">
        <v>9394</v>
      </c>
      <c r="D66" t="inlineStr">
        <is>
          <t>—</t>
        </is>
      </c>
      <c r="E66" t="inlineStr">
        <is>
          <t>—</t>
        </is>
      </c>
      <c r="F66" t="inlineStr">
        <is>
          <t>—</t>
        </is>
      </c>
      <c r="G66" s="9" t="n">
        <v>2</v>
      </c>
    </row>
    <row r="67">
      <c r="A67" s="9" t="n">
        <v>1939</v>
      </c>
      <c r="B67" s="6" t="n">
        <v>9956</v>
      </c>
      <c r="C67" s="6" t="n">
        <v>9944</v>
      </c>
      <c r="D67" s="9" t="n">
        <v>7</v>
      </c>
      <c r="E67" t="inlineStr">
        <is>
          <t>—</t>
        </is>
      </c>
      <c r="F67" t="inlineStr">
        <is>
          <t>—</t>
        </is>
      </c>
      <c r="G67" s="9" t="n">
        <v>4</v>
      </c>
    </row>
    <row r="69">
      <c r="A69" s="2" t="inlineStr">
        <is>
          <t>Cigarettes</t>
        </is>
      </c>
    </row>
    <row r="70">
      <c r="A70" s="5" t="inlineStr">
        <is>
          <t>Year</t>
        </is>
      </c>
      <c r="B70" s="5" t="inlineStr">
        <is>
          <t>Total</t>
        </is>
      </c>
      <c r="C70" s="5" t="inlineStr">
        <is>
          <t>Japan</t>
        </is>
      </c>
      <c r="D70" s="5" t="inlineStr">
        <is>
          <t>China</t>
        </is>
      </c>
      <c r="E70" s="5" t="inlineStr">
        <is>
          <t>U.S.S.R.</t>
        </is>
      </c>
      <c r="F70" s="5" t="inlineStr">
        <is>
          <t>U.K.</t>
        </is>
      </c>
      <c r="G70" s="5" t="inlineStr">
        <is>
          <t>U.S.A.</t>
        </is>
      </c>
      <c r="H70" s="5" t="n"/>
    </row>
    <row r="71">
      <c r="A71" s="9" t="n">
        <v>1934</v>
      </c>
      <c r="B71" s="6" t="n">
        <v>2678</v>
      </c>
      <c r="C71" s="9" t="n">
        <v>443</v>
      </c>
      <c r="D71" s="6" t="n">
        <v>1527</v>
      </c>
      <c r="E71" s="9" t="n">
        <v>47</v>
      </c>
      <c r="F71" s="9" t="n">
        <v>577</v>
      </c>
      <c r="G71" s="9" t="n">
        <v>44</v>
      </c>
    </row>
    <row r="72">
      <c r="A72" s="9" t="n">
        <v>1935</v>
      </c>
      <c r="B72" s="6" t="n">
        <v>1934</v>
      </c>
      <c r="C72" s="9" t="n">
        <v>342</v>
      </c>
      <c r="D72" s="9" t="n">
        <v>730</v>
      </c>
      <c r="E72" s="9" t="n">
        <v>2</v>
      </c>
      <c r="F72" s="9" t="n">
        <v>748</v>
      </c>
      <c r="G72" s="9" t="n">
        <v>58</v>
      </c>
    </row>
    <row r="73">
      <c r="A73" s="9" t="n">
        <v>1936</v>
      </c>
      <c r="B73" s="6" t="n">
        <v>1202</v>
      </c>
      <c r="C73" s="9" t="n">
        <v>191</v>
      </c>
      <c r="D73" s="9" t="n">
        <v>484</v>
      </c>
      <c r="E73" t="inlineStr">
        <is>
          <t>—</t>
        </is>
      </c>
      <c r="F73" s="9" t="n">
        <v>310</v>
      </c>
      <c r="G73" s="9" t="n">
        <v>56</v>
      </c>
    </row>
    <row r="74">
      <c r="A74" s="9" t="n">
        <v>1937</v>
      </c>
      <c r="B74" s="6" t="n">
        <v>1419</v>
      </c>
      <c r="C74" s="9" t="n">
        <v>150</v>
      </c>
      <c r="D74" s="9" t="n">
        <v>377</v>
      </c>
      <c r="E74" t="inlineStr">
        <is>
          <t>—</t>
        </is>
      </c>
      <c r="F74" s="9" t="n">
        <v>346</v>
      </c>
      <c r="G74" s="9" t="n">
        <v>46</v>
      </c>
    </row>
    <row r="75">
      <c r="A75" s="9" t="n">
        <v>1938</v>
      </c>
      <c r="B75" s="6" t="n">
        <v>1247</v>
      </c>
      <c r="C75" s="6" t="n">
        <v>1159</v>
      </c>
      <c r="D75" s="9" t="n">
        <v>0</v>
      </c>
      <c r="E75" t="inlineStr">
        <is>
          <t>—</t>
        </is>
      </c>
      <c r="F75" s="9" t="n">
        <v>35</v>
      </c>
      <c r="G75" s="9" t="n">
        <v>3</v>
      </c>
    </row>
    <row r="76">
      <c r="A76" s="9" t="n">
        <v>1939</v>
      </c>
      <c r="B76" s="9" t="n">
        <v>870</v>
      </c>
      <c r="C76" s="9" t="n">
        <v>867</v>
      </c>
      <c r="D76" s="9" t="n">
        <v>3</v>
      </c>
      <c r="E76" t="inlineStr">
        <is>
          <t>—</t>
        </is>
      </c>
      <c r="F76" s="9" t="n">
        <v>0</v>
      </c>
      <c r="G76" t="inlineStr">
        <is>
          <t>—</t>
        </is>
      </c>
    </row>
    <row r="78">
      <c r="A78" s="2" t="inlineStr">
        <is>
          <t>Leaf Tobacco</t>
        </is>
      </c>
    </row>
    <row r="79">
      <c r="A79" s="5" t="inlineStr">
        <is>
          <t>Year</t>
        </is>
      </c>
      <c r="B79" s="5" t="inlineStr">
        <is>
          <t>Total</t>
        </is>
      </c>
      <c r="C79" s="5" t="inlineStr">
        <is>
          <t>Japan</t>
        </is>
      </c>
      <c r="D79" s="5" t="inlineStr">
        <is>
          <t>China</t>
        </is>
      </c>
      <c r="E79" s="5" t="inlineStr">
        <is>
          <t>D.E.I.</t>
        </is>
      </c>
      <c r="F79" s="5" t="inlineStr">
        <is>
          <t>U.S.A.</t>
        </is>
      </c>
      <c r="G79" s="5" t="inlineStr">
        <is>
          <t>Others</t>
        </is>
      </c>
      <c r="H79" s="5" t="n"/>
    </row>
    <row r="80">
      <c r="A80" s="9" t="n">
        <v>1934</v>
      </c>
      <c r="B80" s="6" t="n">
        <v>8558</v>
      </c>
      <c r="C80" s="9" t="n">
        <v>553</v>
      </c>
      <c r="D80" s="6" t="n">
        <v>4395</v>
      </c>
      <c r="E80" s="9" t="n">
        <v>348</v>
      </c>
      <c r="F80" s="6" t="n">
        <v>3549</v>
      </c>
      <c r="G80" s="9" t="n">
        <v>13</v>
      </c>
    </row>
    <row r="81">
      <c r="A81" s="9" t="n">
        <v>1935</v>
      </c>
      <c r="B81" s="6" t="n">
        <v>6067</v>
      </c>
      <c r="C81" s="9" t="n">
        <v>411</v>
      </c>
      <c r="D81" s="6" t="n">
        <v>3250</v>
      </c>
      <c r="E81" t="inlineStr">
        <is>
          <t>—</t>
        </is>
      </c>
      <c r="F81" s="6" t="n">
        <v>1841</v>
      </c>
      <c r="G81" s="9" t="n">
        <v>216</v>
      </c>
    </row>
    <row r="82">
      <c r="A82" s="9" t="n">
        <v>1936</v>
      </c>
      <c r="B82" s="6" t="n">
        <v>8848</v>
      </c>
      <c r="C82" s="9" t="n">
        <v>463</v>
      </c>
      <c r="D82" s="6" t="n">
        <v>5072</v>
      </c>
      <c r="E82" t="inlineStr">
        <is>
          <t>—</t>
        </is>
      </c>
      <c r="F82" s="6" t="n">
        <v>3113</v>
      </c>
      <c r="G82" s="9" t="n">
        <v>200</v>
      </c>
    </row>
    <row r="83">
      <c r="A83" s="9" t="n">
        <v>1937</v>
      </c>
      <c r="B83" s="6" t="n">
        <v>7597</v>
      </c>
      <c r="C83" s="9" t="n">
        <v>407</v>
      </c>
      <c r="D83" s="6" t="n">
        <v>3566</v>
      </c>
      <c r="E83" t="inlineStr">
        <is>
          <t>—</t>
        </is>
      </c>
      <c r="F83" s="6" t="n">
        <v>3202</v>
      </c>
      <c r="G83" s="9" t="n">
        <v>422</v>
      </c>
    </row>
    <row r="84">
      <c r="A84" s="9" t="n">
        <v>1938</v>
      </c>
      <c r="B84" s="6" t="n">
        <v>7739</v>
      </c>
      <c r="C84" s="9" t="n">
        <v>634</v>
      </c>
      <c r="D84" s="6" t="n">
        <v>4737</v>
      </c>
      <c r="E84" t="inlineStr">
        <is>
          <t>—</t>
        </is>
      </c>
      <c r="F84" s="6" t="n">
        <v>2215</v>
      </c>
      <c r="G84" s="9" t="n">
        <v>152</v>
      </c>
    </row>
    <row r="85">
      <c r="A85" s="9" t="n">
        <v>1939</v>
      </c>
      <c r="B85" s="6" t="n">
        <v>8085</v>
      </c>
      <c r="C85" s="6" t="n">
        <v>3660</v>
      </c>
      <c r="D85" s="6" t="n">
        <v>4278</v>
      </c>
      <c r="E85" t="inlineStr">
        <is>
          <t>—</t>
        </is>
      </c>
      <c r="F85" s="9" t="n">
        <v>106</v>
      </c>
      <c r="G85" s="9" t="n">
        <v>40</v>
      </c>
    </row>
    <row r="87">
      <c r="A87" s="2" t="inlineStr">
        <is>
          <t>Timber &amp; Wood</t>
        </is>
      </c>
    </row>
    <row r="88">
      <c r="A88" s="5" t="inlineStr">
        <is>
          <t>Year</t>
        </is>
      </c>
      <c r="B88" s="5" t="inlineStr">
        <is>
          <t>Total</t>
        </is>
      </c>
      <c r="C88" s="5" t="inlineStr">
        <is>
          <t>Japan</t>
        </is>
      </c>
      <c r="D88" s="5" t="inlineStr">
        <is>
          <t>China</t>
        </is>
      </c>
      <c r="E88" s="5" t="inlineStr">
        <is>
          <t>Hongkong</t>
        </is>
      </c>
      <c r="F88" s="5" t="inlineStr">
        <is>
          <t>U.S.A.</t>
        </is>
      </c>
      <c r="G88" s="5" t="inlineStr">
        <is>
          <t>Canada</t>
        </is>
      </c>
      <c r="H88" s="5" t="n"/>
    </row>
    <row r="89">
      <c r="A89" s="9" t="n">
        <v>1934</v>
      </c>
      <c r="B89" s="6" t="n">
        <v>17499</v>
      </c>
      <c r="C89" s="6" t="n">
        <v>11781</v>
      </c>
      <c r="D89" s="9" t="n">
        <v>306</v>
      </c>
      <c r="E89" s="9" t="n">
        <v>38</v>
      </c>
      <c r="F89" s="6" t="n">
        <v>4937</v>
      </c>
      <c r="G89" s="9" t="n">
        <v>115</v>
      </c>
    </row>
    <row r="90">
      <c r="A90" s="9" t="n">
        <v>1935</v>
      </c>
      <c r="B90" s="6" t="n">
        <v>14310</v>
      </c>
      <c r="C90" s="6" t="n">
        <v>10137</v>
      </c>
      <c r="D90" s="9" t="n">
        <v>178</v>
      </c>
      <c r="E90" s="9" t="n">
        <v>31</v>
      </c>
      <c r="F90" s="6" t="n">
        <v>3283</v>
      </c>
      <c r="G90" s="9" t="n">
        <v>202</v>
      </c>
    </row>
    <row r="91">
      <c r="A91" s="9" t="n">
        <v>1936</v>
      </c>
      <c r="B91" s="6" t="n">
        <v>11746</v>
      </c>
      <c r="C91" s="6" t="n">
        <v>9061</v>
      </c>
      <c r="D91" s="9" t="n">
        <v>379</v>
      </c>
      <c r="E91" s="9" t="n">
        <v>44</v>
      </c>
      <c r="F91" s="6" t="n">
        <v>1887</v>
      </c>
      <c r="G91" s="9" t="n">
        <v>102</v>
      </c>
    </row>
    <row r="92">
      <c r="A92" s="9" t="n">
        <v>1937</v>
      </c>
      <c r="B92" s="6" t="n">
        <v>14888</v>
      </c>
      <c r="C92" s="6" t="n">
        <v>11262</v>
      </c>
      <c r="D92" s="9" t="n">
        <v>405</v>
      </c>
      <c r="E92" s="9" t="n">
        <v>40</v>
      </c>
      <c r="F92" s="6" t="n">
        <v>2143</v>
      </c>
      <c r="G92" s="9" t="n">
        <v>22</v>
      </c>
    </row>
    <row r="93">
      <c r="A93" s="9" t="n">
        <v>1938</v>
      </c>
      <c r="B93" s="6" t="n">
        <v>23968</v>
      </c>
      <c r="C93" s="6" t="n">
        <v>20728</v>
      </c>
      <c r="D93" s="9" t="n">
        <v>98</v>
      </c>
      <c r="E93" t="inlineStr">
        <is>
          <t>—</t>
        </is>
      </c>
      <c r="F93" t="inlineStr">
        <is>
          <t>—</t>
        </is>
      </c>
      <c r="G93" s="6" t="n">
        <v>3141</v>
      </c>
    </row>
    <row r="94">
      <c r="A94" s="9" t="n">
        <v>1939</v>
      </c>
      <c r="B94" s="6" t="n">
        <v>76151</v>
      </c>
      <c r="C94" s="6" t="n">
        <v>73395</v>
      </c>
      <c r="D94" s="9" t="n">
        <v>233</v>
      </c>
      <c r="E94" t="inlineStr">
        <is>
          <t>—</t>
        </is>
      </c>
      <c r="F94" t="inlineStr">
        <is>
          <t>—</t>
        </is>
      </c>
      <c r="G94" s="6" t="n">
        <v>2524</v>
      </c>
    </row>
    <row r="96">
      <c r="A96" s="2" t="inlineStr">
        <is>
          <t>Raw Cotton</t>
        </is>
      </c>
    </row>
    <row r="97">
      <c r="A97" s="5" t="inlineStr">
        <is>
          <t>Year</t>
        </is>
      </c>
      <c r="B97" s="5" t="inlineStr">
        <is>
          <t>Total</t>
        </is>
      </c>
      <c r="C97" s="5" t="inlineStr">
        <is>
          <t>Japan</t>
        </is>
      </c>
      <c r="D97" s="5" t="inlineStr">
        <is>
          <t>Brit. India</t>
        </is>
      </c>
      <c r="E97" s="5" t="inlineStr">
        <is>
          <t>China</t>
        </is>
      </c>
      <c r="F97" s="5" t="inlineStr">
        <is>
          <t>U.S.A.</t>
        </is>
      </c>
      <c r="G97" s="5" t="inlineStr">
        <is>
          <t>Others</t>
        </is>
      </c>
      <c r="H97" s="5" t="n"/>
    </row>
    <row r="98">
      <c r="A98" s="9" t="n">
        <v>1934</v>
      </c>
      <c r="B98" s="6" t="n">
        <v>12284</v>
      </c>
      <c r="C98" s="9" t="n">
        <v>457</v>
      </c>
      <c r="D98" s="6" t="n">
        <v>10262</v>
      </c>
      <c r="E98" s="9" t="n">
        <v>511</v>
      </c>
      <c r="F98" s="6" t="n">
        <v>10262</v>
      </c>
      <c r="G98" s="9" t="n">
        <v>15</v>
      </c>
    </row>
    <row r="99">
      <c r="A99" s="9" t="n">
        <v>1935</v>
      </c>
      <c r="B99" s="6" t="n">
        <v>9407</v>
      </c>
      <c r="C99" s="9" t="n">
        <v>60</v>
      </c>
      <c r="D99" s="6" t="n">
        <v>8046</v>
      </c>
      <c r="E99" s="6" t="n">
        <v>1098</v>
      </c>
      <c r="F99" s="6" t="n">
        <v>8046</v>
      </c>
      <c r="G99" s="9" t="n">
        <v>0</v>
      </c>
    </row>
    <row r="100">
      <c r="A100" s="9" t="n">
        <v>1936</v>
      </c>
      <c r="B100" s="6" t="n">
        <v>18601</v>
      </c>
      <c r="C100" s="9" t="n">
        <v>28</v>
      </c>
      <c r="D100" s="6" t="n">
        <v>13862</v>
      </c>
      <c r="E100" s="6" t="n">
        <v>3431</v>
      </c>
      <c r="F100" s="9" t="n">
        <v>837</v>
      </c>
      <c r="G100" s="9" t="n">
        <v>443</v>
      </c>
    </row>
    <row r="101">
      <c r="A101" s="9" t="n">
        <v>1937</v>
      </c>
      <c r="B101" s="6" t="n">
        <v>32202</v>
      </c>
      <c r="C101" s="9" t="n">
        <v>44</v>
      </c>
      <c r="D101" s="6" t="n">
        <v>22340</v>
      </c>
      <c r="E101" s="6" t="n">
        <v>3630</v>
      </c>
      <c r="F101" s="6" t="n">
        <v>4962</v>
      </c>
      <c r="G101" s="6" t="n">
        <v>1227</v>
      </c>
    </row>
    <row r="102">
      <c r="A102" s="9" t="n">
        <v>1938</v>
      </c>
      <c r="B102" s="6" t="n">
        <v>42664</v>
      </c>
      <c r="C102" s="9" t="n">
        <v>35</v>
      </c>
      <c r="D102" s="6" t="n">
        <v>6815</v>
      </c>
      <c r="E102" s="6" t="n">
        <v>28021</v>
      </c>
      <c r="F102" s="6" t="n">
        <v>7678</v>
      </c>
      <c r="G102" s="9" t="n">
        <v>116</v>
      </c>
    </row>
    <row r="103">
      <c r="A103" s="9" t="n">
        <v>1939</v>
      </c>
      <c r="B103" s="6" t="n">
        <v>9043</v>
      </c>
      <c r="C103" s="9" t="n">
        <v>105</v>
      </c>
      <c r="D103" s="6" t="n">
        <v>3126</v>
      </c>
      <c r="E103" s="6" t="n">
        <v>5260</v>
      </c>
      <c r="F103" s="9" t="n">
        <v>552</v>
      </c>
      <c r="G103" t="inlineStr">
        <is>
          <t>—</t>
        </is>
      </c>
    </row>
    <row r="105">
      <c r="A105" s="2" t="inlineStr">
        <is>
          <t>Raw Jute</t>
        </is>
      </c>
    </row>
    <row r="106">
      <c r="A106" s="5" t="inlineStr">
        <is>
          <t>Year</t>
        </is>
      </c>
      <c r="B106" s="5" t="inlineStr">
        <is>
          <t>Total</t>
        </is>
      </c>
      <c r="C106" s="5" t="inlineStr">
        <is>
          <t>Japan</t>
        </is>
      </c>
      <c r="D106" s="5" t="inlineStr">
        <is>
          <t>China</t>
        </is>
      </c>
      <c r="E106" s="5" t="inlineStr">
        <is>
          <t>Brit. India</t>
        </is>
      </c>
      <c r="F106" s="5" t="inlineStr">
        <is>
          <t>[no heading]</t>
        </is>
      </c>
      <c r="G106" s="5" t="inlineStr">
        <is>
          <t>Others</t>
        </is>
      </c>
      <c r="H106" s="5" t="n"/>
    </row>
    <row r="107">
      <c r="A107" s="9" t="n">
        <v>1934</v>
      </c>
      <c r="B107" s="6" t="n">
        <v>2375</v>
      </c>
      <c r="C107" s="9" t="n">
        <v>16</v>
      </c>
      <c r="D107" s="9" t="n">
        <v>307</v>
      </c>
      <c r="E107" s="6" t="n">
        <v>2051</v>
      </c>
      <c r="F107" t="inlineStr">
        <is>
          <t>—</t>
        </is>
      </c>
      <c r="G107" s="9" t="n">
        <v>1</v>
      </c>
    </row>
    <row r="108">
      <c r="A108" s="9" t="n">
        <v>1935</v>
      </c>
      <c r="B108" s="6" t="n">
        <v>2063</v>
      </c>
      <c r="C108" s="9" t="n">
        <v>31</v>
      </c>
      <c r="D108" s="9" t="n">
        <v>49</v>
      </c>
      <c r="E108" s="6" t="n">
        <v>1982</v>
      </c>
      <c r="F108" t="inlineStr">
        <is>
          <t>—</t>
        </is>
      </c>
      <c r="G108" s="9" t="n">
        <v>1</v>
      </c>
    </row>
    <row r="109">
      <c r="A109" s="9" t="n">
        <v>1936</v>
      </c>
      <c r="B109" s="6" t="n">
        <v>2596</v>
      </c>
      <c r="C109" s="9" t="n">
        <v>68</v>
      </c>
      <c r="D109" s="9" t="n">
        <v>22</v>
      </c>
      <c r="E109" s="6" t="n">
        <v>2504</v>
      </c>
      <c r="F109" t="inlineStr">
        <is>
          <t>—</t>
        </is>
      </c>
      <c r="G109" s="9" t="n">
        <v>2</v>
      </c>
    </row>
    <row r="110">
      <c r="A110" s="9" t="n">
        <v>1937</v>
      </c>
      <c r="B110" s="6" t="n">
        <v>2734</v>
      </c>
      <c r="C110" s="9" t="n">
        <v>13</v>
      </c>
      <c r="D110" s="9" t="n">
        <v>24</v>
      </c>
      <c r="E110" s="6" t="n">
        <v>3696</v>
      </c>
      <c r="F110" t="inlineStr">
        <is>
          <t>—</t>
        </is>
      </c>
      <c r="G110" s="9" t="n">
        <v>1</v>
      </c>
    </row>
    <row r="111">
      <c r="A111" s="9" t="n">
        <v>1938</v>
      </c>
      <c r="B111" s="6" t="n">
        <v>2665</v>
      </c>
      <c r="C111" s="9" t="n">
        <v>3</v>
      </c>
      <c r="D111" s="9" t="n">
        <v>21</v>
      </c>
      <c r="E111" s="6" t="n">
        <v>2640</v>
      </c>
      <c r="F111" t="inlineStr">
        <is>
          <t>—</t>
        </is>
      </c>
      <c r="G111" s="9" t="n">
        <v>1</v>
      </c>
    </row>
    <row r="112">
      <c r="A112" s="9" t="n">
        <v>1939</v>
      </c>
      <c r="B112" s="6" t="n">
        <v>3334</v>
      </c>
      <c r="C112" s="9" t="n">
        <v>2</v>
      </c>
      <c r="D112" s="9" t="n">
        <v>8</v>
      </c>
      <c r="E112" s="6" t="n">
        <v>3324</v>
      </c>
      <c r="F112" t="inlineStr">
        <is>
          <t>—</t>
        </is>
      </c>
      <c r="G112" t="inlineStr">
        <is>
          <t>—</t>
        </is>
      </c>
    </row>
    <row r="114">
      <c r="A114" s="2" t="inlineStr">
        <is>
          <t>Woolen Yarn &amp; Cord</t>
        </is>
      </c>
    </row>
    <row r="115">
      <c r="A115" s="5" t="inlineStr">
        <is>
          <t>Year</t>
        </is>
      </c>
      <c r="B115" s="5" t="inlineStr">
        <is>
          <t>Total</t>
        </is>
      </c>
      <c r="C115" s="5" t="inlineStr">
        <is>
          <t>Japan</t>
        </is>
      </c>
      <c r="D115" s="5" t="inlineStr">
        <is>
          <t>China</t>
        </is>
      </c>
      <c r="E115" s="5" t="inlineStr">
        <is>
          <t>U.K.</t>
        </is>
      </c>
      <c r="F115" s="5" t="inlineStr">
        <is>
          <t>[no heading]</t>
        </is>
      </c>
      <c r="G115" s="5" t="inlineStr">
        <is>
          <t>Others</t>
        </is>
      </c>
      <c r="H115" s="5" t="n"/>
    </row>
    <row r="116">
      <c r="A116" s="9" t="n">
        <v>1934</v>
      </c>
      <c r="B116" s="6" t="n">
        <v>2549</v>
      </c>
      <c r="C116" s="6" t="n">
        <v>2280</v>
      </c>
      <c r="D116" t="inlineStr">
        <is>
          <t>—</t>
        </is>
      </c>
      <c r="E116" s="9" t="n">
        <v>236</v>
      </c>
      <c r="F116" t="inlineStr">
        <is>
          <t>—</t>
        </is>
      </c>
      <c r="G116" s="9" t="n">
        <v>33</v>
      </c>
    </row>
    <row r="117">
      <c r="A117" s="9" t="n">
        <v>1935</v>
      </c>
      <c r="B117" s="6" t="n">
        <v>2030</v>
      </c>
      <c r="C117" s="6" t="n">
        <v>1992</v>
      </c>
      <c r="D117" t="inlineStr">
        <is>
          <t>—</t>
        </is>
      </c>
      <c r="E117" s="9" t="n">
        <v>36</v>
      </c>
      <c r="F117" t="inlineStr">
        <is>
          <t>—</t>
        </is>
      </c>
      <c r="G117" s="9" t="n">
        <v>38</v>
      </c>
    </row>
    <row r="118">
      <c r="A118" s="9" t="n">
        <v>1936</v>
      </c>
      <c r="B118" s="6" t="n">
        <v>3467</v>
      </c>
      <c r="C118" s="6" t="n">
        <v>3389</v>
      </c>
      <c r="D118" t="inlineStr">
        <is>
          <t>—</t>
        </is>
      </c>
      <c r="E118" s="9" t="n">
        <v>70</v>
      </c>
      <c r="F118" t="inlineStr">
        <is>
          <t>—</t>
        </is>
      </c>
      <c r="G118" s="9" t="n">
        <v>8</v>
      </c>
    </row>
    <row r="119">
      <c r="A119" s="9" t="n">
        <v>1937</v>
      </c>
      <c r="B119" s="6" t="n">
        <v>7552</v>
      </c>
      <c r="C119" s="6" t="n">
        <v>7445</v>
      </c>
      <c r="D119" t="inlineStr">
        <is>
          <t>—</t>
        </is>
      </c>
      <c r="E119" s="9" t="n">
        <v>104</v>
      </c>
      <c r="F119" t="inlineStr">
        <is>
          <t>—</t>
        </is>
      </c>
      <c r="G119" s="9" t="n">
        <v>103</v>
      </c>
    </row>
    <row r="120">
      <c r="A120" s="9" t="n">
        <v>1938</v>
      </c>
      <c r="B120" s="6" t="n">
        <v>8352</v>
      </c>
      <c r="C120" s="6" t="n">
        <v>8288</v>
      </c>
      <c r="D120" s="9" t="n">
        <v>31</v>
      </c>
      <c r="E120" s="9" t="n">
        <v>31</v>
      </c>
      <c r="F120" t="inlineStr">
        <is>
          <t>—</t>
        </is>
      </c>
      <c r="G120" s="9" t="n">
        <v>3</v>
      </c>
    </row>
    <row r="121">
      <c r="A121" s="9" t="n">
        <v>1939</v>
      </c>
      <c r="B121" s="6" t="n">
        <v>5552</v>
      </c>
      <c r="C121" s="6" t="n">
        <v>5434</v>
      </c>
      <c r="D121" s="9" t="n">
        <v>115</v>
      </c>
      <c r="E121" s="9" t="n">
        <v>1</v>
      </c>
      <c r="F121" t="inlineStr">
        <is>
          <t>—</t>
        </is>
      </c>
      <c r="G121" s="9" t="n">
        <v>1</v>
      </c>
    </row>
    <row r="123">
      <c r="A123" s="2" t="inlineStr">
        <is>
          <t>Cotton Yarn</t>
        </is>
      </c>
    </row>
    <row r="124">
      <c r="A124" s="5" t="inlineStr">
        <is>
          <t>Year</t>
        </is>
      </c>
      <c r="B124" s="5" t="inlineStr">
        <is>
          <t>Total</t>
        </is>
      </c>
      <c r="C124" s="5" t="inlineStr">
        <is>
          <t>Japan</t>
        </is>
      </c>
      <c r="D124" s="5" t="inlineStr">
        <is>
          <t>China</t>
        </is>
      </c>
      <c r="E124" s="5" t="inlineStr">
        <is>
          <t>[no heading 1]</t>
        </is>
      </c>
      <c r="F124" s="5" t="inlineStr">
        <is>
          <t>[no heading 2]</t>
        </is>
      </c>
      <c r="G124" s="5" t="inlineStr">
        <is>
          <t>Others</t>
        </is>
      </c>
      <c r="H124" s="5" t="n"/>
    </row>
    <row r="125">
      <c r="A125" s="9" t="n">
        <v>1934</v>
      </c>
      <c r="B125" s="6" t="n">
        <v>12533</v>
      </c>
      <c r="C125" s="6" t="n">
        <v>5439</v>
      </c>
      <c r="D125" s="6" t="n">
        <v>7055</v>
      </c>
      <c r="E125" t="inlineStr">
        <is>
          <t>—</t>
        </is>
      </c>
      <c r="F125" t="inlineStr">
        <is>
          <t>—</t>
        </is>
      </c>
      <c r="G125" s="9" t="n">
        <v>44</v>
      </c>
    </row>
    <row r="126">
      <c r="A126" s="9" t="n">
        <v>1935</v>
      </c>
      <c r="B126" s="6" t="n">
        <v>7938</v>
      </c>
      <c r="C126" s="6" t="n">
        <v>5400</v>
      </c>
      <c r="D126" s="6" t="n">
        <v>2538</v>
      </c>
      <c r="E126" t="inlineStr">
        <is>
          <t>—</t>
        </is>
      </c>
      <c r="F126" t="inlineStr">
        <is>
          <t>—</t>
        </is>
      </c>
      <c r="G126" s="9" t="n">
        <v>0</v>
      </c>
    </row>
    <row r="127">
      <c r="A127" s="9" t="n">
        <v>1936</v>
      </c>
      <c r="B127" s="6" t="n">
        <v>7699</v>
      </c>
      <c r="C127" s="6" t="n">
        <v>7026</v>
      </c>
      <c r="D127" s="9" t="n">
        <v>673</v>
      </c>
      <c r="E127" t="inlineStr">
        <is>
          <t>—</t>
        </is>
      </c>
      <c r="F127" t="inlineStr">
        <is>
          <t>—</t>
        </is>
      </c>
      <c r="G127" t="inlineStr">
        <is>
          <t>—</t>
        </is>
      </c>
    </row>
    <row r="128">
      <c r="A128" s="9" t="n">
        <v>1937</v>
      </c>
      <c r="B128" s="6" t="n">
        <v>10740</v>
      </c>
      <c r="C128" s="6" t="n">
        <v>10207</v>
      </c>
      <c r="D128" s="9" t="n">
        <v>533</v>
      </c>
      <c r="E128" t="inlineStr">
        <is>
          <t>—</t>
        </is>
      </c>
      <c r="F128" t="inlineStr">
        <is>
          <t>—</t>
        </is>
      </c>
      <c r="G128" t="inlineStr">
        <is>
          <t>—</t>
        </is>
      </c>
    </row>
    <row r="129">
      <c r="A129" s="9" t="n">
        <v>1938</v>
      </c>
      <c r="B129" s="6" t="n">
        <v>4771</v>
      </c>
      <c r="C129" s="6" t="n">
        <v>4605</v>
      </c>
      <c r="D129" s="9" t="n">
        <v>126</v>
      </c>
      <c r="E129" t="inlineStr">
        <is>
          <t>—</t>
        </is>
      </c>
      <c r="F129" t="inlineStr">
        <is>
          <t>—</t>
        </is>
      </c>
      <c r="G129" s="9" t="n">
        <v>39</v>
      </c>
    </row>
    <row r="130">
      <c r="A130" s="9" t="n">
        <v>1939</v>
      </c>
      <c r="B130" s="6" t="n">
        <v>4184</v>
      </c>
      <c r="C130" s="6" t="n">
        <v>4038</v>
      </c>
      <c r="D130" s="9" t="n">
        <v>145</v>
      </c>
      <c r="E130" t="inlineStr">
        <is>
          <t>—</t>
        </is>
      </c>
      <c r="F130" t="inlineStr">
        <is>
          <t>—</t>
        </is>
      </c>
      <c r="G130" t="inlineStr">
        <is>
          <t>—</t>
        </is>
      </c>
    </row>
    <row r="132">
      <c r="A132" s="2" t="inlineStr">
        <is>
          <t>Cotton Piece-goods (Grey)</t>
        </is>
      </c>
    </row>
    <row r="133">
      <c r="A133" s="5" t="inlineStr">
        <is>
          <t>Year</t>
        </is>
      </c>
      <c r="B133" s="5" t="inlineStr">
        <is>
          <t>Total</t>
        </is>
      </c>
      <c r="C133" s="5" t="inlineStr">
        <is>
          <t>Japan</t>
        </is>
      </c>
      <c r="D133" s="5" t="inlineStr">
        <is>
          <t>China</t>
        </is>
      </c>
      <c r="E133" s="5" t="inlineStr">
        <is>
          <t>U.K.</t>
        </is>
      </c>
      <c r="F133" s="5" t="inlineStr">
        <is>
          <t>[no heading]</t>
        </is>
      </c>
      <c r="G133" s="5" t="inlineStr">
        <is>
          <t>Others</t>
        </is>
      </c>
      <c r="H133" s="5" t="n"/>
    </row>
    <row r="134">
      <c r="A134" s="9" t="n">
        <v>1934</v>
      </c>
      <c r="B134" s="6" t="n">
        <v>17154</v>
      </c>
      <c r="C134" s="6" t="n">
        <v>14987</v>
      </c>
      <c r="D134" s="6" t="n">
        <v>2150</v>
      </c>
      <c r="E134" s="9" t="n">
        <v>2</v>
      </c>
      <c r="F134" t="inlineStr">
        <is>
          <t>—</t>
        </is>
      </c>
      <c r="G134" s="9" t="n">
        <v>14</v>
      </c>
    </row>
    <row r="135">
      <c r="A135" s="9" t="n">
        <v>1935</v>
      </c>
      <c r="B135" s="6" t="n">
        <v>24626</v>
      </c>
      <c r="C135" s="6" t="n">
        <v>23710</v>
      </c>
      <c r="D135" s="9" t="n">
        <v>914</v>
      </c>
      <c r="E135" s="9" t="n">
        <v>1</v>
      </c>
      <c r="F135" t="inlineStr">
        <is>
          <t>—</t>
        </is>
      </c>
      <c r="G135" s="9" t="n">
        <v>1</v>
      </c>
    </row>
    <row r="136">
      <c r="A136" s="9" t="n">
        <v>1936</v>
      </c>
      <c r="B136" s="6" t="n">
        <v>32048</v>
      </c>
      <c r="C136" s="6" t="n">
        <v>31058</v>
      </c>
      <c r="D136" s="9" t="n">
        <v>987</v>
      </c>
      <c r="E136" t="inlineStr">
        <is>
          <t>—</t>
        </is>
      </c>
      <c r="F136" t="inlineStr">
        <is>
          <t>—</t>
        </is>
      </c>
      <c r="G136" s="9" t="n">
        <v>3</v>
      </c>
    </row>
    <row r="137">
      <c r="A137" s="9" t="n">
        <v>1937</v>
      </c>
      <c r="B137" s="6" t="n">
        <v>42771</v>
      </c>
      <c r="C137" s="6" t="n">
        <v>42107</v>
      </c>
      <c r="D137" s="9" t="n">
        <v>663</v>
      </c>
      <c r="E137" t="inlineStr">
        <is>
          <t>—</t>
        </is>
      </c>
      <c r="F137" t="inlineStr">
        <is>
          <t>—</t>
        </is>
      </c>
      <c r="G137" s="9" t="n">
        <v>2</v>
      </c>
    </row>
    <row r="138">
      <c r="A138" s="9" t="n">
        <v>1938</v>
      </c>
      <c r="B138" s="6" t="n">
        <v>34050</v>
      </c>
      <c r="C138" s="6" t="n">
        <v>34009</v>
      </c>
      <c r="D138" s="9" t="n">
        <v>40</v>
      </c>
      <c r="E138" t="inlineStr">
        <is>
          <t>—</t>
        </is>
      </c>
      <c r="F138" t="inlineStr">
        <is>
          <t>—</t>
        </is>
      </c>
      <c r="G138" s="9" t="n">
        <v>1</v>
      </c>
    </row>
    <row r="139">
      <c r="A139" s="9" t="n">
        <v>1939</v>
      </c>
      <c r="B139" s="6" t="n">
        <v>3143</v>
      </c>
      <c r="C139" s="6" t="n">
        <v>3016</v>
      </c>
      <c r="D139" s="9" t="n">
        <v>128</v>
      </c>
      <c r="E139" t="inlineStr">
        <is>
          <t>—</t>
        </is>
      </c>
      <c r="F139" t="inlineStr">
        <is>
          <t>—</t>
        </is>
      </c>
      <c r="G139" s="9" t="n">
        <v>0</v>
      </c>
    </row>
    <row r="141">
      <c r="A141" s="2" t="inlineStr">
        <is>
          <t>Cotton Piece-goods (white or dyed)</t>
        </is>
      </c>
    </row>
    <row r="142">
      <c r="A142" s="5" t="inlineStr">
        <is>
          <t>Year</t>
        </is>
      </c>
      <c r="B142" s="5" t="inlineStr">
        <is>
          <t>Total</t>
        </is>
      </c>
      <c r="C142" s="5" t="inlineStr">
        <is>
          <t>Japan</t>
        </is>
      </c>
      <c r="D142" s="5" t="inlineStr">
        <is>
          <t>China</t>
        </is>
      </c>
      <c r="E142" s="5" t="inlineStr">
        <is>
          <t>U.K.</t>
        </is>
      </c>
      <c r="F142" s="5" t="inlineStr">
        <is>
          <t>[no heading]</t>
        </is>
      </c>
      <c r="G142" s="5" t="inlineStr">
        <is>
          <t>Others</t>
        </is>
      </c>
      <c r="H142" s="5" t="n"/>
    </row>
    <row r="143">
      <c r="A143" s="9" t="n">
        <v>1934</v>
      </c>
      <c r="B143" s="6" t="n">
        <v>27511</v>
      </c>
      <c r="C143" s="6" t="n">
        <v>25313</v>
      </c>
      <c r="D143" s="9" t="n">
        <v>66</v>
      </c>
      <c r="E143" s="9" t="n">
        <v>105</v>
      </c>
      <c r="F143" t="inlineStr">
        <is>
          <t>—</t>
        </is>
      </c>
      <c r="G143" s="9" t="n">
        <v>57</v>
      </c>
    </row>
    <row r="144">
      <c r="A144" s="9" t="n">
        <v>1935</v>
      </c>
      <c r="B144" s="6" t="n">
        <v>25251</v>
      </c>
      <c r="C144" s="6" t="n">
        <v>24874</v>
      </c>
      <c r="D144" s="9" t="n">
        <v>31</v>
      </c>
      <c r="E144" s="9" t="n">
        <v>73</v>
      </c>
      <c r="F144" t="inlineStr">
        <is>
          <t>—</t>
        </is>
      </c>
      <c r="G144" s="9" t="n">
        <v>26</v>
      </c>
    </row>
    <row r="145">
      <c r="A145" s="9" t="n">
        <v>1936</v>
      </c>
      <c r="B145" s="6" t="n">
        <v>40769</v>
      </c>
      <c r="C145" s="6" t="n">
        <v>40243</v>
      </c>
      <c r="D145" s="9" t="n">
        <v>91</v>
      </c>
      <c r="E145" s="9" t="n">
        <v>55</v>
      </c>
      <c r="F145" t="inlineStr">
        <is>
          <t>—</t>
        </is>
      </c>
      <c r="G145" s="9" t="n">
        <v>8</v>
      </c>
    </row>
    <row r="146">
      <c r="A146" s="9" t="n">
        <v>1937</v>
      </c>
      <c r="B146" s="6" t="n">
        <v>44435</v>
      </c>
      <c r="C146" s="6" t="n">
        <v>44066</v>
      </c>
      <c r="D146" s="9" t="n">
        <v>41</v>
      </c>
      <c r="E146" s="9" t="n">
        <v>81</v>
      </c>
      <c r="F146" t="inlineStr">
        <is>
          <t>—</t>
        </is>
      </c>
      <c r="G146" s="9" t="n">
        <v>39</v>
      </c>
    </row>
    <row r="147">
      <c r="A147" s="9" t="n">
        <v>1938</v>
      </c>
      <c r="B147" s="6" t="n">
        <v>30692</v>
      </c>
      <c r="C147" s="6" t="n">
        <v>30662</v>
      </c>
      <c r="D147" s="9" t="n">
        <v>24</v>
      </c>
      <c r="E147" t="inlineStr">
        <is>
          <t>—</t>
        </is>
      </c>
      <c r="F147" t="inlineStr">
        <is>
          <t>—</t>
        </is>
      </c>
      <c r="G147" s="9" t="n">
        <v>6</v>
      </c>
    </row>
    <row r="148">
      <c r="A148" s="9" t="n">
        <v>1939</v>
      </c>
      <c r="B148" s="6" t="n">
        <v>3357</v>
      </c>
      <c r="C148" s="6" t="n">
        <v>3280</v>
      </c>
      <c r="D148" s="9" t="n">
        <v>69</v>
      </c>
      <c r="E148" t="inlineStr">
        <is>
          <t>—</t>
        </is>
      </c>
      <c r="F148" t="inlineStr">
        <is>
          <t>—</t>
        </is>
      </c>
      <c r="G148" s="9" t="n">
        <v>7</v>
      </c>
    </row>
    <row r="150">
      <c r="A150" s="2" t="inlineStr">
        <is>
          <t>Cotton Piece-goods (printed)</t>
        </is>
      </c>
    </row>
    <row r="151">
      <c r="A151" s="5" t="inlineStr">
        <is>
          <t>Year</t>
        </is>
      </c>
      <c r="B151" s="5" t="inlineStr">
        <is>
          <t>Total</t>
        </is>
      </c>
      <c r="C151" s="5" t="inlineStr">
        <is>
          <t>Japan</t>
        </is>
      </c>
      <c r="D151" s="5" t="inlineStr">
        <is>
          <t>China</t>
        </is>
      </c>
      <c r="E151" s="5" t="inlineStr">
        <is>
          <t>U.S.S.R.</t>
        </is>
      </c>
      <c r="F151" s="5" t="inlineStr">
        <is>
          <t>U.K.</t>
        </is>
      </c>
      <c r="G151" s="5" t="inlineStr">
        <is>
          <t>Others</t>
        </is>
      </c>
      <c r="H151" s="5" t="n"/>
    </row>
    <row r="152">
      <c r="A152" s="9" t="n">
        <v>1934</v>
      </c>
      <c r="B152" s="6" t="n">
        <v>10948</v>
      </c>
      <c r="C152" s="6" t="n">
        <v>10700</v>
      </c>
      <c r="D152" s="9" t="n">
        <v>66</v>
      </c>
      <c r="E152" s="9" t="n">
        <v>170</v>
      </c>
      <c r="F152" s="9" t="n">
        <v>9</v>
      </c>
      <c r="G152" s="9" t="n">
        <v>2</v>
      </c>
    </row>
    <row r="153">
      <c r="A153" s="9" t="n">
        <v>1935</v>
      </c>
      <c r="B153" s="6" t="n">
        <v>7483</v>
      </c>
      <c r="C153" s="6" t="n">
        <v>7448</v>
      </c>
      <c r="D153" s="9" t="n">
        <v>31</v>
      </c>
      <c r="E153" t="inlineStr">
        <is>
          <t>—</t>
        </is>
      </c>
      <c r="F153" s="9" t="n">
        <v>4</v>
      </c>
      <c r="G153" s="9" t="n">
        <v>1</v>
      </c>
    </row>
    <row r="154">
      <c r="A154" s="9" t="n">
        <v>1936</v>
      </c>
      <c r="B154" s="6" t="n">
        <v>11789</v>
      </c>
      <c r="C154" s="6" t="n">
        <v>11696</v>
      </c>
      <c r="D154" s="9" t="n">
        <v>91</v>
      </c>
      <c r="E154" t="inlineStr">
        <is>
          <t>—</t>
        </is>
      </c>
      <c r="F154" t="inlineStr">
        <is>
          <t>—</t>
        </is>
      </c>
      <c r="G154" s="9" t="n">
        <v>2</v>
      </c>
    </row>
    <row r="155">
      <c r="A155" s="9" t="n">
        <v>1937</v>
      </c>
      <c r="B155" s="6" t="n">
        <v>13934</v>
      </c>
      <c r="C155" s="6" t="n">
        <v>13891</v>
      </c>
      <c r="D155" s="9" t="n">
        <v>41</v>
      </c>
      <c r="E155" t="inlineStr">
        <is>
          <t>—</t>
        </is>
      </c>
      <c r="F155" t="inlineStr">
        <is>
          <t>—</t>
        </is>
      </c>
      <c r="G155" s="9" t="n">
        <v>3</v>
      </c>
    </row>
    <row r="156">
      <c r="A156" s="9" t="n">
        <v>1938</v>
      </c>
      <c r="B156" s="6" t="n">
        <v>11061</v>
      </c>
      <c r="C156" s="6" t="n">
        <v>11059</v>
      </c>
      <c r="D156" s="9" t="n">
        <v>1</v>
      </c>
      <c r="E156" t="inlineStr">
        <is>
          <t>—</t>
        </is>
      </c>
      <c r="F156" t="inlineStr">
        <is>
          <t>—</t>
        </is>
      </c>
      <c r="G156" s="9" t="n">
        <v>1</v>
      </c>
    </row>
    <row r="157">
      <c r="A157" s="9" t="n">
        <v>1939</v>
      </c>
      <c r="B157" s="6" t="n">
        <v>1727</v>
      </c>
      <c r="C157" s="6" t="n">
        <v>1723</v>
      </c>
      <c r="D157" t="inlineStr">
        <is>
          <t>—</t>
        </is>
      </c>
      <c r="E157" t="inlineStr">
        <is>
          <t>—</t>
        </is>
      </c>
      <c r="F157" t="inlineStr">
        <is>
          <t>—</t>
        </is>
      </c>
      <c r="G157" t="inlineStr">
        <is>
          <t>—</t>
        </is>
      </c>
    </row>
    <row r="159">
      <c r="A159" s="2" t="inlineStr">
        <is>
          <t>Woolen Piece-goods</t>
        </is>
      </c>
    </row>
    <row r="160">
      <c r="A160" s="5" t="inlineStr">
        <is>
          <t>Year</t>
        </is>
      </c>
      <c r="B160" s="5" t="inlineStr">
        <is>
          <t>Total</t>
        </is>
      </c>
      <c r="C160" s="5" t="inlineStr">
        <is>
          <t>Japan</t>
        </is>
      </c>
      <c r="D160" s="5" t="inlineStr">
        <is>
          <t>U.K.</t>
        </is>
      </c>
      <c r="E160" s="5" t="inlineStr">
        <is>
          <t>Germany</t>
        </is>
      </c>
      <c r="F160" s="5" t="inlineStr">
        <is>
          <t>Poland</t>
        </is>
      </c>
      <c r="G160" s="5" t="inlineStr">
        <is>
          <t>U.S.A.</t>
        </is>
      </c>
      <c r="H160" s="5" t="n"/>
    </row>
    <row r="161">
      <c r="A161" s="9" t="n">
        <v>1934</v>
      </c>
      <c r="B161" s="6" t="n">
        <v>9551</v>
      </c>
      <c r="C161" s="6" t="n">
        <v>7762</v>
      </c>
      <c r="D161" s="9" t="n">
        <v>988</v>
      </c>
      <c r="E161" s="9" t="n">
        <v>165</v>
      </c>
      <c r="F161" s="9" t="n">
        <v>530</v>
      </c>
      <c r="G161" s="9" t="n">
        <v>32</v>
      </c>
    </row>
    <row r="162">
      <c r="A162" s="9" t="n">
        <v>1935</v>
      </c>
      <c r="B162" s="6" t="n">
        <v>11343</v>
      </c>
      <c r="C162" s="6" t="n">
        <v>9317</v>
      </c>
      <c r="D162" s="9" t="n">
        <v>831</v>
      </c>
      <c r="E162" s="9" t="n">
        <v>233</v>
      </c>
      <c r="F162" s="9" t="n">
        <v>696</v>
      </c>
      <c r="G162" s="9" t="n">
        <v>129</v>
      </c>
    </row>
    <row r="163">
      <c r="A163" s="9" t="n">
        <v>1936</v>
      </c>
      <c r="B163" s="6" t="n">
        <v>15801</v>
      </c>
      <c r="C163" s="6" t="n">
        <v>14403</v>
      </c>
      <c r="D163" s="9" t="n">
        <v>761</v>
      </c>
      <c r="E163" s="9" t="n">
        <v>126</v>
      </c>
      <c r="F163" s="9" t="n">
        <v>544</v>
      </c>
      <c r="G163" s="9" t="n">
        <v>15</v>
      </c>
    </row>
    <row r="164">
      <c r="A164" s="9" t="n">
        <v>1937</v>
      </c>
      <c r="B164" s="6" t="n">
        <v>18998</v>
      </c>
      <c r="C164" s="6" t="n">
        <v>16715</v>
      </c>
      <c r="D164" s="6" t="n">
        <v>1089</v>
      </c>
      <c r="E164" s="9" t="n">
        <v>109</v>
      </c>
      <c r="F164" s="9" t="n">
        <v>842</v>
      </c>
      <c r="G164" s="9" t="n">
        <v>6</v>
      </c>
    </row>
    <row r="165">
      <c r="A165" s="9" t="n">
        <v>1938</v>
      </c>
      <c r="B165" s="6" t="n">
        <v>22811</v>
      </c>
      <c r="C165" s="6" t="n">
        <v>21712</v>
      </c>
      <c r="D165" s="9" t="n">
        <v>306</v>
      </c>
      <c r="E165" t="inlineStr">
        <is>
          <t>—</t>
        </is>
      </c>
      <c r="F165" s="9" t="n">
        <v>515</v>
      </c>
      <c r="G165" t="inlineStr">
        <is>
          <t>—</t>
        </is>
      </c>
    </row>
    <row r="166">
      <c r="A166" s="9" t="n">
        <v>1939</v>
      </c>
      <c r="B166" s="6" t="n">
        <v>36232</v>
      </c>
      <c r="C166" s="6" t="n">
        <v>35891</v>
      </c>
      <c r="D166" s="9" t="n">
        <v>26</v>
      </c>
      <c r="E166" t="inlineStr">
        <is>
          <t>—</t>
        </is>
      </c>
      <c r="F166" s="9" t="n">
        <v>121</v>
      </c>
      <c r="G166" t="inlineStr">
        <is>
          <t>—</t>
        </is>
      </c>
    </row>
    <row r="168">
      <c r="A168" s="2" t="inlineStr">
        <is>
          <t>Rayon Piece-goods</t>
        </is>
      </c>
    </row>
    <row r="169">
      <c r="A169" s="5" t="inlineStr">
        <is>
          <t>Year</t>
        </is>
      </c>
      <c r="B169" s="5" t="inlineStr">
        <is>
          <t>Total</t>
        </is>
      </c>
      <c r="C169" s="5" t="inlineStr">
        <is>
          <t>Japan</t>
        </is>
      </c>
      <c r="D169" s="5" t="inlineStr">
        <is>
          <t>China</t>
        </is>
      </c>
      <c r="E169" s="5" t="inlineStr">
        <is>
          <t>Italy</t>
        </is>
      </c>
      <c r="F169" s="5" t="inlineStr">
        <is>
          <t>[no heading]</t>
        </is>
      </c>
      <c r="G169" s="5" t="inlineStr">
        <is>
          <t>Others</t>
        </is>
      </c>
      <c r="H169" s="5" t="n"/>
    </row>
    <row r="170">
      <c r="A170" s="9" t="n">
        <v>1934</v>
      </c>
      <c r="B170" s="6" t="n">
        <v>10824</v>
      </c>
      <c r="C170" s="6" t="n">
        <v>10723</v>
      </c>
      <c r="D170" s="9" t="n">
        <v>16</v>
      </c>
      <c r="E170" s="9" t="n">
        <v>36</v>
      </c>
      <c r="F170" t="inlineStr">
        <is>
          <t>—</t>
        </is>
      </c>
      <c r="G170" s="9" t="n">
        <v>48</v>
      </c>
    </row>
    <row r="171">
      <c r="A171" s="9" t="n">
        <v>1935</v>
      </c>
      <c r="B171" s="6" t="n">
        <v>8051</v>
      </c>
      <c r="C171" s="6" t="n">
        <v>6993</v>
      </c>
      <c r="D171" s="9" t="n">
        <v>24</v>
      </c>
      <c r="E171" s="6" t="n">
        <v>1014</v>
      </c>
      <c r="F171" t="inlineStr">
        <is>
          <t>—</t>
        </is>
      </c>
      <c r="G171" s="9" t="n">
        <v>20</v>
      </c>
    </row>
    <row r="172">
      <c r="A172" s="9" t="n">
        <v>1936</v>
      </c>
      <c r="B172" s="6" t="n">
        <v>15801</v>
      </c>
      <c r="C172" s="6" t="n">
        <v>14403</v>
      </c>
      <c r="D172" s="9" t="n">
        <v>0</v>
      </c>
      <c r="E172" s="6" t="n">
        <v>1397</v>
      </c>
      <c r="F172" t="inlineStr">
        <is>
          <t>—</t>
        </is>
      </c>
      <c r="G172" t="inlineStr">
        <is>
          <t>—</t>
        </is>
      </c>
    </row>
    <row r="173">
      <c r="A173" s="9" t="n">
        <v>1937</v>
      </c>
      <c r="B173" s="6" t="n">
        <v>2130</v>
      </c>
      <c r="C173" s="6" t="n">
        <v>1514</v>
      </c>
      <c r="D173" s="9" t="n">
        <v>0</v>
      </c>
      <c r="E173" s="9" t="n">
        <v>616</v>
      </c>
      <c r="F173" t="inlineStr">
        <is>
          <t>—</t>
        </is>
      </c>
      <c r="G173" t="inlineStr">
        <is>
          <t>—</t>
        </is>
      </c>
    </row>
    <row r="174">
      <c r="A174" s="9" t="n">
        <v>1938</v>
      </c>
      <c r="B174" s="6" t="n">
        <v>56816</v>
      </c>
      <c r="C174" s="6" t="n">
        <v>56808</v>
      </c>
      <c r="D174" s="9" t="n">
        <v>6</v>
      </c>
      <c r="E174" t="inlineStr">
        <is>
          <t>—</t>
        </is>
      </c>
      <c r="F174" t="inlineStr">
        <is>
          <t>—</t>
        </is>
      </c>
      <c r="G174" s="9" t="n">
        <v>2</v>
      </c>
    </row>
    <row r="175">
      <c r="A175" s="9" t="n">
        <v>1939</v>
      </c>
      <c r="B175" s="6" t="n">
        <v>107612</v>
      </c>
      <c r="C175" s="6" t="n">
        <v>107431</v>
      </c>
      <c r="D175" s="9" t="n">
        <v>181</v>
      </c>
      <c r="E175" t="inlineStr">
        <is>
          <t>—</t>
        </is>
      </c>
      <c r="F175" t="inlineStr">
        <is>
          <t>—</t>
        </is>
      </c>
      <c r="G175" s="9" t="n">
        <v>0</v>
      </c>
    </row>
    <row r="177">
      <c r="A177" s="2" t="inlineStr">
        <is>
          <t>Silk Piece-goods</t>
        </is>
      </c>
    </row>
    <row r="178">
      <c r="A178" s="5" t="inlineStr">
        <is>
          <t>Year</t>
        </is>
      </c>
      <c r="B178" s="5" t="inlineStr">
        <is>
          <t>Total</t>
        </is>
      </c>
      <c r="C178" s="5" t="inlineStr">
        <is>
          <t>Japan</t>
        </is>
      </c>
      <c r="D178" s="5" t="inlineStr">
        <is>
          <t>China</t>
        </is>
      </c>
      <c r="E178" s="5" t="inlineStr">
        <is>
          <t>U.K.</t>
        </is>
      </c>
      <c r="F178" s="5" t="inlineStr">
        <is>
          <t>France</t>
        </is>
      </c>
      <c r="G178" s="5" t="inlineStr">
        <is>
          <t>Germany</t>
        </is>
      </c>
      <c r="H178" s="5" t="n"/>
    </row>
    <row r="179">
      <c r="A179" s="9" t="n">
        <v>1934</v>
      </c>
      <c r="B179" s="6" t="n">
        <v>11111</v>
      </c>
      <c r="C179" s="6" t="n">
        <v>9660</v>
      </c>
      <c r="D179" s="6" t="n">
        <v>1402</v>
      </c>
      <c r="E179" s="9" t="n">
        <v>21</v>
      </c>
      <c r="F179" s="9" t="n">
        <v>6</v>
      </c>
      <c r="G179" s="9" t="n">
        <v>5</v>
      </c>
    </row>
    <row r="180">
      <c r="A180" s="9" t="n">
        <v>1935</v>
      </c>
      <c r="B180" s="6" t="n">
        <v>19709</v>
      </c>
      <c r="C180" s="6" t="n">
        <v>19302</v>
      </c>
      <c r="D180" s="9" t="n">
        <v>371</v>
      </c>
      <c r="E180" s="9" t="n">
        <v>11</v>
      </c>
      <c r="F180" s="9" t="n">
        <v>7</v>
      </c>
      <c r="G180" s="9" t="n">
        <v>12</v>
      </c>
    </row>
    <row r="181">
      <c r="A181" s="9" t="n">
        <v>1936</v>
      </c>
      <c r="B181" s="6" t="n">
        <v>35683</v>
      </c>
      <c r="C181" s="6" t="n">
        <v>35309</v>
      </c>
      <c r="D181" s="9" t="n">
        <v>299</v>
      </c>
      <c r="E181" s="9" t="n">
        <v>23</v>
      </c>
      <c r="F181" s="9" t="n">
        <v>15</v>
      </c>
      <c r="G181" s="9" t="n">
        <v>25</v>
      </c>
    </row>
    <row r="182">
      <c r="A182" s="9" t="n">
        <v>1937</v>
      </c>
      <c r="B182" s="6" t="n">
        <v>30646</v>
      </c>
      <c r="C182" s="6" t="n">
        <v>30215</v>
      </c>
      <c r="D182" s="9" t="n">
        <v>329</v>
      </c>
      <c r="E182" s="9" t="n">
        <v>19</v>
      </c>
      <c r="F182" s="9" t="n">
        <v>12</v>
      </c>
      <c r="G182" s="9" t="n">
        <v>13</v>
      </c>
    </row>
    <row r="183">
      <c r="A183" s="9" t="n">
        <v>1938</v>
      </c>
      <c r="B183" s="6" t="n">
        <v>4523</v>
      </c>
      <c r="C183" s="6" t="n">
        <v>4387</v>
      </c>
      <c r="D183" s="9" t="n">
        <v>88</v>
      </c>
      <c r="E183" t="inlineStr">
        <is>
          <t>—</t>
        </is>
      </c>
      <c r="F183" t="inlineStr">
        <is>
          <t>—</t>
        </is>
      </c>
      <c r="G183" t="inlineStr">
        <is>
          <t>—</t>
        </is>
      </c>
    </row>
    <row r="184">
      <c r="A184" s="9" t="n">
        <v>1939</v>
      </c>
      <c r="B184" s="6" t="n">
        <v>17588</v>
      </c>
      <c r="C184" s="6" t="n">
        <v>16648</v>
      </c>
      <c r="D184" s="9" t="n">
        <v>889</v>
      </c>
      <c r="E184" t="inlineStr">
        <is>
          <t>—</t>
        </is>
      </c>
      <c r="F184" t="inlineStr">
        <is>
          <t>—</t>
        </is>
      </c>
      <c r="G184" t="inlineStr">
        <is>
          <t>—</t>
        </is>
      </c>
    </row>
    <row r="186">
      <c r="A186" s="2" t="inlineStr">
        <is>
          <t>Gunny Bags</t>
        </is>
      </c>
    </row>
    <row r="187">
      <c r="A187" s="5" t="inlineStr">
        <is>
          <t>Year</t>
        </is>
      </c>
      <c r="B187" s="5" t="inlineStr">
        <is>
          <t>Total</t>
        </is>
      </c>
      <c r="C187" s="5" t="inlineStr">
        <is>
          <t>Japan</t>
        </is>
      </c>
      <c r="D187" s="5" t="inlineStr">
        <is>
          <t>China</t>
        </is>
      </c>
      <c r="E187" s="5" t="inlineStr">
        <is>
          <t>Hongkong</t>
        </is>
      </c>
      <c r="F187" s="5" t="inlineStr">
        <is>
          <t>Brit. India</t>
        </is>
      </c>
      <c r="G187" s="5" t="inlineStr">
        <is>
          <t>Others</t>
        </is>
      </c>
      <c r="H187" s="5" t="n"/>
    </row>
    <row r="188">
      <c r="A188" s="9" t="n">
        <v>1934</v>
      </c>
      <c r="B188" s="6" t="n">
        <v>16134</v>
      </c>
      <c r="C188" s="6" t="n">
        <v>5314</v>
      </c>
      <c r="D188" s="9" t="n">
        <v>518</v>
      </c>
      <c r="E188" s="9" t="n">
        <v>725</v>
      </c>
      <c r="F188" s="6" t="n">
        <v>9566</v>
      </c>
      <c r="G188" s="9" t="n">
        <v>11</v>
      </c>
    </row>
    <row r="189">
      <c r="A189" s="9" t="n">
        <v>1935</v>
      </c>
      <c r="B189" s="6" t="n">
        <v>14641</v>
      </c>
      <c r="C189" s="6" t="n">
        <v>3753</v>
      </c>
      <c r="D189" s="9" t="n">
        <v>110</v>
      </c>
      <c r="E189" s="9" t="n">
        <v>241</v>
      </c>
      <c r="F189" s="6" t="n">
        <v>10537</v>
      </c>
      <c r="G189" s="9" t="n">
        <v>0</v>
      </c>
    </row>
    <row r="190">
      <c r="A190" s="9" t="n">
        <v>1936</v>
      </c>
      <c r="B190" s="6" t="n">
        <v>14025</v>
      </c>
      <c r="C190" s="6" t="n">
        <v>4256</v>
      </c>
      <c r="D190" s="9" t="n">
        <v>191</v>
      </c>
      <c r="E190" s="9" t="n">
        <v>120</v>
      </c>
      <c r="F190" s="6" t="n">
        <v>9456</v>
      </c>
      <c r="G190" t="inlineStr">
        <is>
          <t>—</t>
        </is>
      </c>
    </row>
    <row r="191">
      <c r="A191" s="9" t="n">
        <v>1937</v>
      </c>
      <c r="B191" s="6" t="n">
        <v>19274</v>
      </c>
      <c r="C191" s="6" t="n">
        <v>3742</v>
      </c>
      <c r="D191" s="9" t="n">
        <v>163</v>
      </c>
      <c r="E191" s="9" t="n">
        <v>55</v>
      </c>
      <c r="F191" s="6" t="n">
        <v>15314</v>
      </c>
      <c r="G191" t="inlineStr">
        <is>
          <t>—</t>
        </is>
      </c>
    </row>
    <row r="192">
      <c r="A192" s="9" t="n">
        <v>1938</v>
      </c>
      <c r="B192" s="6" t="n">
        <v>20838</v>
      </c>
      <c r="C192" s="6" t="n">
        <v>2441</v>
      </c>
      <c r="D192" s="9" t="n">
        <v>227</v>
      </c>
      <c r="E192" t="inlineStr">
        <is>
          <t>—</t>
        </is>
      </c>
      <c r="F192" s="6" t="n">
        <v>18125</v>
      </c>
      <c r="G192" s="9" t="n">
        <v>46</v>
      </c>
    </row>
    <row r="193">
      <c r="A193" s="9" t="n">
        <v>1939</v>
      </c>
      <c r="B193" s="6" t="n">
        <v>33313</v>
      </c>
      <c r="C193" s="6" t="n">
        <v>18493</v>
      </c>
      <c r="D193" s="9" t="n">
        <v>294</v>
      </c>
      <c r="E193" t="inlineStr">
        <is>
          <t>—</t>
        </is>
      </c>
      <c r="F193" s="6" t="n">
        <v>14508</v>
      </c>
      <c r="G193" s="9" t="n">
        <v>18</v>
      </c>
    </row>
    <row r="195">
      <c r="A195" s="2" t="inlineStr">
        <is>
          <t>Footwear</t>
        </is>
      </c>
    </row>
    <row r="196">
      <c r="A196" s="5" t="inlineStr">
        <is>
          <t>Year</t>
        </is>
      </c>
      <c r="B196" s="5" t="inlineStr">
        <is>
          <t>Total</t>
        </is>
      </c>
      <c r="C196" s="5" t="inlineStr">
        <is>
          <t>Japan</t>
        </is>
      </c>
      <c r="D196" s="5" t="inlineStr">
        <is>
          <t>China</t>
        </is>
      </c>
      <c r="E196" s="5" t="inlineStr">
        <is>
          <t>[no heading 1]</t>
        </is>
      </c>
      <c r="F196" s="5" t="inlineStr">
        <is>
          <t>[no heading 2]</t>
        </is>
      </c>
      <c r="G196" s="5" t="inlineStr">
        <is>
          <t>Others</t>
        </is>
      </c>
      <c r="H196" s="5" t="n"/>
    </row>
    <row r="197">
      <c r="A197" s="9" t="n">
        <v>1934</v>
      </c>
      <c r="B197" s="6" t="n">
        <v>5530</v>
      </c>
      <c r="C197" s="6" t="n">
        <v>5499</v>
      </c>
      <c r="D197" s="9" t="n">
        <v>12</v>
      </c>
      <c r="E197" t="inlineStr">
        <is>
          <t>—</t>
        </is>
      </c>
      <c r="F197" t="inlineStr">
        <is>
          <t>—</t>
        </is>
      </c>
      <c r="G197" s="9" t="n">
        <v>19</v>
      </c>
    </row>
    <row r="198">
      <c r="A198" s="9" t="n">
        <v>1935</v>
      </c>
      <c r="B198" s="6" t="n">
        <v>8438</v>
      </c>
      <c r="C198" s="6" t="n">
        <v>8414</v>
      </c>
      <c r="D198" s="9" t="n">
        <v>7</v>
      </c>
      <c r="E198" t="inlineStr">
        <is>
          <t>—</t>
        </is>
      </c>
      <c r="F198" t="inlineStr">
        <is>
          <t>—</t>
        </is>
      </c>
      <c r="G198" s="9" t="n">
        <v>17</v>
      </c>
    </row>
    <row r="199">
      <c r="A199" s="9" t="n">
        <v>1936</v>
      </c>
      <c r="B199" s="6" t="n">
        <v>8607</v>
      </c>
      <c r="C199" s="6" t="n">
        <v>8581</v>
      </c>
      <c r="D199" s="9" t="n">
        <v>14</v>
      </c>
      <c r="E199" t="inlineStr">
        <is>
          <t>—</t>
        </is>
      </c>
      <c r="F199" t="inlineStr">
        <is>
          <t>—</t>
        </is>
      </c>
      <c r="G199" s="9" t="n">
        <v>12</v>
      </c>
    </row>
    <row r="200">
      <c r="A200" s="9" t="n">
        <v>1937</v>
      </c>
      <c r="B200" s="6" t="n">
        <v>11677</v>
      </c>
      <c r="C200" s="6" t="n">
        <v>11624</v>
      </c>
      <c r="D200" s="9" t="n">
        <v>26</v>
      </c>
      <c r="E200" t="inlineStr">
        <is>
          <t>—</t>
        </is>
      </c>
      <c r="F200" t="inlineStr">
        <is>
          <t>—</t>
        </is>
      </c>
      <c r="G200" s="9" t="n">
        <v>27</v>
      </c>
    </row>
    <row r="201">
      <c r="A201" s="9" t="n">
        <v>1938</v>
      </c>
      <c r="B201" s="6" t="n">
        <v>9710</v>
      </c>
      <c r="C201" s="6" t="n">
        <v>9703</v>
      </c>
      <c r="D201" s="9" t="n">
        <v>5</v>
      </c>
      <c r="E201" t="inlineStr">
        <is>
          <t>—</t>
        </is>
      </c>
      <c r="F201" t="inlineStr">
        <is>
          <t>—</t>
        </is>
      </c>
      <c r="G201" s="9" t="n">
        <v>2</v>
      </c>
    </row>
    <row r="202">
      <c r="A202" s="9" t="n">
        <v>1939</v>
      </c>
      <c r="B202" s="6" t="n">
        <v>6468</v>
      </c>
      <c r="C202" s="6" t="n">
        <v>6437</v>
      </c>
      <c r="D202" s="9" t="n">
        <v>31</v>
      </c>
      <c r="E202" t="inlineStr">
        <is>
          <t>—</t>
        </is>
      </c>
      <c r="F202" t="inlineStr">
        <is>
          <t>—</t>
        </is>
      </c>
      <c r="G202" s="9" t="n">
        <v>0</v>
      </c>
    </row>
    <row r="204">
      <c r="A204" s="2" t="inlineStr">
        <is>
          <t>Paper</t>
        </is>
      </c>
    </row>
    <row r="205">
      <c r="A205" s="5" t="inlineStr">
        <is>
          <t>Year</t>
        </is>
      </c>
      <c r="B205" s="5" t="inlineStr">
        <is>
          <t>Total</t>
        </is>
      </c>
      <c r="C205" s="5" t="inlineStr">
        <is>
          <t>Japan</t>
        </is>
      </c>
      <c r="D205" s="5" t="inlineStr">
        <is>
          <t>China</t>
        </is>
      </c>
      <c r="E205" s="5" t="inlineStr">
        <is>
          <t>Germany</t>
        </is>
      </c>
      <c r="F205" s="5" t="inlineStr">
        <is>
          <t>Sweden</t>
        </is>
      </c>
      <c r="G205" s="5" t="inlineStr">
        <is>
          <t>Others</t>
        </is>
      </c>
      <c r="H205" s="5" t="n"/>
    </row>
    <row r="206">
      <c r="A206" s="9" t="n">
        <v>1934</v>
      </c>
      <c r="B206" s="6" t="n">
        <v>12139</v>
      </c>
      <c r="C206" s="9" t="n">
        <v>952</v>
      </c>
      <c r="D206" s="6" t="n">
        <v>2075</v>
      </c>
      <c r="E206" s="9" t="n">
        <v>148</v>
      </c>
      <c r="F206" s="9" t="n">
        <v>176</v>
      </c>
      <c r="G206" s="9" t="n">
        <v>100</v>
      </c>
    </row>
    <row r="207">
      <c r="A207" s="9" t="n">
        <v>1935</v>
      </c>
      <c r="B207" s="6" t="n">
        <v>12959</v>
      </c>
      <c r="C207" s="6" t="n">
        <v>10971</v>
      </c>
      <c r="D207" s="6" t="n">
        <v>1220</v>
      </c>
      <c r="E207" s="9" t="n">
        <v>270</v>
      </c>
      <c r="F207" s="9" t="n">
        <v>188</v>
      </c>
      <c r="G207" s="9" t="n">
        <v>77</v>
      </c>
    </row>
    <row r="208">
      <c r="A208" s="9" t="n">
        <v>1936</v>
      </c>
      <c r="B208" s="6" t="n">
        <v>16793</v>
      </c>
      <c r="C208" s="6" t="n">
        <v>14171</v>
      </c>
      <c r="D208" s="6" t="n">
        <v>1788</v>
      </c>
      <c r="E208" s="9" t="n">
        <v>135</v>
      </c>
      <c r="F208" s="9" t="n">
        <v>87</v>
      </c>
      <c r="G208" s="9" t="n">
        <v>238</v>
      </c>
    </row>
    <row r="209">
      <c r="A209" s="9" t="n">
        <v>1937</v>
      </c>
      <c r="B209" s="6" t="n">
        <v>24865</v>
      </c>
      <c r="C209" s="6" t="n">
        <v>21416</v>
      </c>
      <c r="D209" s="6" t="n">
        <v>1629</v>
      </c>
      <c r="E209" s="9" t="n">
        <v>84</v>
      </c>
      <c r="F209" s="9" t="n">
        <v>375</v>
      </c>
      <c r="G209" s="9" t="n">
        <v>179</v>
      </c>
    </row>
    <row r="210">
      <c r="A210" s="9" t="n">
        <v>1938</v>
      </c>
      <c r="B210" s="6" t="n">
        <v>35842</v>
      </c>
      <c r="C210" s="6" t="n">
        <v>22570</v>
      </c>
      <c r="D210" s="6" t="n">
        <v>1476</v>
      </c>
      <c r="E210" t="inlineStr">
        <is>
          <t>—</t>
        </is>
      </c>
      <c r="F210" s="9" t="n">
        <v>301</v>
      </c>
      <c r="G210" s="9" t="n">
        <v>273</v>
      </c>
    </row>
    <row r="211">
      <c r="A211" s="9" t="n">
        <v>1939</v>
      </c>
      <c r="B211" s="6" t="n">
        <v>49589</v>
      </c>
      <c r="C211" s="6" t="n">
        <v>47906</v>
      </c>
      <c r="D211" s="6" t="n">
        <v>1117</v>
      </c>
      <c r="E211" t="inlineStr">
        <is>
          <t>—</t>
        </is>
      </c>
      <c r="F211" s="9" t="n">
        <v>20</v>
      </c>
      <c r="G211" s="9" t="n">
        <v>544</v>
      </c>
    </row>
    <row r="213">
      <c r="A213" s="2" t="inlineStr">
        <is>
          <t>Cement</t>
        </is>
      </c>
    </row>
    <row r="214">
      <c r="A214" s="5" t="inlineStr">
        <is>
          <t>Year</t>
        </is>
      </c>
      <c r="B214" s="5" t="inlineStr">
        <is>
          <t>Total</t>
        </is>
      </c>
      <c r="C214" s="5" t="inlineStr">
        <is>
          <t>Japan</t>
        </is>
      </c>
      <c r="D214" s="5" t="inlineStr">
        <is>
          <t>China</t>
        </is>
      </c>
      <c r="E214" s="5" t="inlineStr">
        <is>
          <t>U.S.S.R.</t>
        </is>
      </c>
      <c r="F214" s="5" t="inlineStr">
        <is>
          <t>[no heading]</t>
        </is>
      </c>
      <c r="G214" s="5" t="inlineStr">
        <is>
          <t>Others</t>
        </is>
      </c>
      <c r="H214" s="5" t="n"/>
    </row>
    <row r="215">
      <c r="A215" s="9" t="n">
        <v>1934</v>
      </c>
      <c r="B215" s="6" t="n">
        <v>7901</v>
      </c>
      <c r="C215" s="6" t="n">
        <v>7803</v>
      </c>
      <c r="D215" s="9" t="n">
        <v>97</v>
      </c>
      <c r="E215" s="9" t="n">
        <v>0</v>
      </c>
      <c r="F215" t="inlineStr">
        <is>
          <t>—</t>
        </is>
      </c>
      <c r="G215" s="9" t="n">
        <v>0</v>
      </c>
    </row>
    <row r="216">
      <c r="A216" s="9" t="n">
        <v>1935</v>
      </c>
      <c r="B216" s="6" t="n">
        <v>3543</v>
      </c>
      <c r="C216" s="6" t="n">
        <v>3540</v>
      </c>
      <c r="D216" s="9" t="n">
        <v>3</v>
      </c>
      <c r="E216" t="inlineStr">
        <is>
          <t>—</t>
        </is>
      </c>
      <c r="F216" t="inlineStr">
        <is>
          <t>—</t>
        </is>
      </c>
      <c r="G216" s="9" t="n">
        <v>0</v>
      </c>
    </row>
    <row r="217">
      <c r="A217" s="9" t="n">
        <v>1936</v>
      </c>
      <c r="B217" s="6" t="n">
        <v>3437</v>
      </c>
      <c r="C217" s="6" t="n">
        <v>3434</v>
      </c>
      <c r="D217" s="9" t="n">
        <v>3</v>
      </c>
      <c r="E217" t="inlineStr">
        <is>
          <t>—</t>
        </is>
      </c>
      <c r="F217" t="inlineStr">
        <is>
          <t>—</t>
        </is>
      </c>
      <c r="G217" s="9" t="n">
        <v>0</v>
      </c>
    </row>
    <row r="218">
      <c r="A218" s="9" t="n">
        <v>1937</v>
      </c>
      <c r="B218" s="6" t="n">
        <v>1068</v>
      </c>
      <c r="C218" s="6" t="n">
        <v>1055</v>
      </c>
      <c r="D218" s="9" t="n">
        <v>4</v>
      </c>
      <c r="E218" t="inlineStr">
        <is>
          <t>—</t>
        </is>
      </c>
      <c r="F218" t="inlineStr">
        <is>
          <t>—</t>
        </is>
      </c>
      <c r="G218" s="9" t="n">
        <v>8</v>
      </c>
    </row>
    <row r="219">
      <c r="A219" s="9" t="n">
        <v>1938</v>
      </c>
      <c r="B219" s="6" t="n">
        <v>4230</v>
      </c>
      <c r="C219" s="6" t="n">
        <v>4165</v>
      </c>
      <c r="D219" s="9" t="n">
        <v>62</v>
      </c>
      <c r="E219" t="inlineStr">
        <is>
          <t>—</t>
        </is>
      </c>
      <c r="F219" t="inlineStr">
        <is>
          <t>—</t>
        </is>
      </c>
      <c r="G219" s="9" t="n">
        <v>3</v>
      </c>
    </row>
    <row r="220">
      <c r="A220" s="9" t="n">
        <v>1939</v>
      </c>
      <c r="B220" s="6" t="n">
        <v>11764</v>
      </c>
      <c r="C220" s="6" t="n">
        <v>11625</v>
      </c>
      <c r="D220" s="9" t="n">
        <v>84</v>
      </c>
      <c r="E220" t="inlineStr">
        <is>
          <t>—</t>
        </is>
      </c>
      <c r="F220" t="inlineStr">
        <is>
          <t>—</t>
        </is>
      </c>
      <c r="G220" s="9" t="n">
        <v>54</v>
      </c>
    </row>
    <row r="222">
      <c r="A222" s="2" t="inlineStr">
        <is>
          <t>Gasoline, Naphta &amp; Benzine, mineral</t>
        </is>
      </c>
    </row>
    <row r="223">
      <c r="A223" s="5" t="inlineStr">
        <is>
          <t>Year</t>
        </is>
      </c>
      <c r="B223" s="5" t="inlineStr">
        <is>
          <t>Total</t>
        </is>
      </c>
      <c r="C223" s="5" t="inlineStr">
        <is>
          <t>Japan</t>
        </is>
      </c>
      <c r="D223" s="5" t="inlineStr">
        <is>
          <t>Roumania</t>
        </is>
      </c>
      <c r="E223" s="5" t="inlineStr">
        <is>
          <t>D.E.I.</t>
        </is>
      </c>
      <c r="F223" s="5" t="inlineStr">
        <is>
          <t>Brit. Borneo</t>
        </is>
      </c>
      <c r="G223" s="5" t="inlineStr">
        <is>
          <t>U.S.A.</t>
        </is>
      </c>
      <c r="H223" s="5" t="n"/>
    </row>
    <row r="224">
      <c r="A224" s="9" t="n">
        <v>1934</v>
      </c>
      <c r="B224" s="6" t="n">
        <v>9865</v>
      </c>
      <c r="C224" s="9" t="n">
        <v>378</v>
      </c>
      <c r="D224" t="inlineStr">
        <is>
          <t>—</t>
        </is>
      </c>
      <c r="E224" s="6" t="n">
        <v>1593</v>
      </c>
      <c r="F224" s="9" t="n">
        <v>691</v>
      </c>
      <c r="G224" s="6" t="n">
        <v>6728</v>
      </c>
    </row>
    <row r="225">
      <c r="A225" s="9" t="n">
        <v>1935</v>
      </c>
      <c r="B225" s="6" t="n">
        <v>5375</v>
      </c>
      <c r="C225" s="9" t="n">
        <v>765</v>
      </c>
      <c r="D225" t="inlineStr">
        <is>
          <t>—</t>
        </is>
      </c>
      <c r="E225" s="6" t="n">
        <v>1680</v>
      </c>
      <c r="F225" s="9" t="n">
        <v>5</v>
      </c>
      <c r="G225" s="6" t="n">
        <v>2909</v>
      </c>
    </row>
    <row r="226">
      <c r="A226" s="9" t="n">
        <v>1936</v>
      </c>
      <c r="B226" s="6" t="n">
        <v>1970</v>
      </c>
      <c r="C226" s="9" t="n">
        <v>422</v>
      </c>
      <c r="D226" t="inlineStr">
        <is>
          <t>—</t>
        </is>
      </c>
      <c r="E226" s="9" t="n">
        <v>434</v>
      </c>
      <c r="F226" t="inlineStr">
        <is>
          <t>—</t>
        </is>
      </c>
      <c r="G226" s="9" t="n">
        <v>914</v>
      </c>
    </row>
    <row r="227">
      <c r="A227" s="9" t="n">
        <v>1937</v>
      </c>
      <c r="B227" s="6" t="n">
        <v>7145</v>
      </c>
      <c r="C227" s="6" t="n">
        <v>1082</v>
      </c>
      <c r="D227" s="6" t="n">
        <v>2272</v>
      </c>
      <c r="E227" s="9" t="n">
        <v>760</v>
      </c>
      <c r="F227" t="inlineStr">
        <is>
          <t>—</t>
        </is>
      </c>
      <c r="G227" s="6" t="n">
        <v>2923</v>
      </c>
    </row>
    <row r="228">
      <c r="A228" s="9" t="n">
        <v>1938</v>
      </c>
      <c r="B228" t="inlineStr">
        <is>
          <t>(not released)</t>
        </is>
      </c>
      <c r="C228" t="inlineStr"/>
      <c r="D228" t="inlineStr">
        <is>
          <t>—</t>
        </is>
      </c>
      <c r="E228" t="inlineStr">
        <is>
          <t>—</t>
        </is>
      </c>
      <c r="F228" t="inlineStr">
        <is>
          <t>—</t>
        </is>
      </c>
      <c r="G228" t="inlineStr">
        <is>
          <t>—</t>
        </is>
      </c>
    </row>
    <row r="230">
      <c r="A230" s="2" t="inlineStr">
        <is>
          <t>Kerosene Oil</t>
        </is>
      </c>
    </row>
    <row r="231">
      <c r="A231" s="5" t="inlineStr">
        <is>
          <t>Year</t>
        </is>
      </c>
      <c r="B231" s="5" t="inlineStr">
        <is>
          <t>Total</t>
        </is>
      </c>
      <c r="C231" s="5" t="inlineStr">
        <is>
          <t>Japan</t>
        </is>
      </c>
      <c r="D231" s="5" t="inlineStr">
        <is>
          <t>D.E.I.</t>
        </is>
      </c>
      <c r="E231" s="5" t="inlineStr">
        <is>
          <t>Brit. Borneo</t>
        </is>
      </c>
      <c r="F231" s="5" t="inlineStr">
        <is>
          <t>U.S.A.</t>
        </is>
      </c>
      <c r="G231" s="5" t="inlineStr">
        <is>
          <t>Others</t>
        </is>
      </c>
      <c r="H231" s="5" t="n"/>
    </row>
    <row r="232">
      <c r="A232" s="9" t="n">
        <v>1934</v>
      </c>
      <c r="B232" s="6" t="n">
        <v>11621</v>
      </c>
      <c r="C232" s="9" t="n">
        <v>595</v>
      </c>
      <c r="D232" s="6" t="n">
        <v>3798</v>
      </c>
      <c r="E232" s="9" t="n">
        <v>63</v>
      </c>
      <c r="F232" s="6" t="n">
        <v>5881</v>
      </c>
      <c r="G232" s="9" t="n">
        <v>20</v>
      </c>
    </row>
    <row r="233">
      <c r="A233" s="9" t="n">
        <v>1935</v>
      </c>
      <c r="B233" s="6" t="n">
        <v>2228</v>
      </c>
      <c r="C233" s="9" t="n">
        <v>328</v>
      </c>
      <c r="D233" s="9" t="n">
        <v>234</v>
      </c>
      <c r="E233" s="9" t="n">
        <v>1</v>
      </c>
      <c r="F233" s="6" t="n">
        <v>1626</v>
      </c>
      <c r="G233" t="inlineStr">
        <is>
          <t>—</t>
        </is>
      </c>
    </row>
    <row r="234">
      <c r="A234" s="9" t="n">
        <v>1936</v>
      </c>
      <c r="B234" s="6" t="n">
        <v>1740</v>
      </c>
      <c r="C234" s="6" t="n">
        <v>1625</v>
      </c>
      <c r="D234" s="9" t="n">
        <v>21</v>
      </c>
      <c r="E234" t="inlineStr">
        <is>
          <t>—</t>
        </is>
      </c>
      <c r="F234" s="9" t="n">
        <v>95</v>
      </c>
      <c r="G234" t="inlineStr">
        <is>
          <t>—</t>
        </is>
      </c>
    </row>
    <row r="235">
      <c r="A235" s="9" t="n">
        <v>1937</v>
      </c>
      <c r="B235" s="6" t="n">
        <v>6707</v>
      </c>
      <c r="C235" s="6" t="n">
        <v>2252</v>
      </c>
      <c r="D235" s="9" t="n">
        <v>95</v>
      </c>
      <c r="E235" s="9" t="n">
        <v>19</v>
      </c>
      <c r="F235" s="6" t="n">
        <v>3520</v>
      </c>
      <c r="G235" s="9" t="n">
        <v>804</v>
      </c>
    </row>
    <row r="236">
      <c r="A236" s="9" t="n">
        <v>1938</v>
      </c>
      <c r="B236" t="inlineStr">
        <is>
          <t>(not released)</t>
        </is>
      </c>
      <c r="C236" t="inlineStr"/>
      <c r="D236" t="inlineStr">
        <is>
          <t>—</t>
        </is>
      </c>
      <c r="E236" t="inlineStr">
        <is>
          <t>—</t>
        </is>
      </c>
      <c r="F236" t="inlineStr">
        <is>
          <t>—</t>
        </is>
      </c>
      <c r="G236" t="inlineStr">
        <is>
          <t>—</t>
        </is>
      </c>
    </row>
    <row r="238">
      <c r="A238" s="2" t="inlineStr">
        <is>
          <t>Copper</t>
        </is>
      </c>
    </row>
    <row r="239">
      <c r="A239" s="5" t="inlineStr">
        <is>
          <t>Year</t>
        </is>
      </c>
      <c r="B239" s="5" t="inlineStr">
        <is>
          <t>Total</t>
        </is>
      </c>
      <c r="C239" s="5" t="inlineStr">
        <is>
          <t>Japan</t>
        </is>
      </c>
      <c r="D239" s="5" t="inlineStr">
        <is>
          <t>China</t>
        </is>
      </c>
      <c r="E239" s="5" t="inlineStr">
        <is>
          <t>U.S.A.</t>
        </is>
      </c>
      <c r="F239" s="5" t="inlineStr">
        <is>
          <t>[no heading]</t>
        </is>
      </c>
      <c r="G239" s="5" t="inlineStr">
        <is>
          <t>Others</t>
        </is>
      </c>
      <c r="H239" s="5" t="n"/>
    </row>
    <row r="240">
      <c r="A240" s="9" t="n">
        <v>1934</v>
      </c>
      <c r="B240" s="6" t="n">
        <v>4440</v>
      </c>
      <c r="C240" s="6" t="n">
        <v>4185</v>
      </c>
      <c r="D240" s="9" t="n">
        <v>22</v>
      </c>
      <c r="E240" s="9" t="n">
        <v>178</v>
      </c>
      <c r="F240" t="inlineStr">
        <is>
          <t>—</t>
        </is>
      </c>
      <c r="G240" s="9" t="n">
        <v>55</v>
      </c>
    </row>
    <row r="241">
      <c r="A241" s="9" t="n">
        <v>1935</v>
      </c>
      <c r="B241" s="6" t="n">
        <v>4463</v>
      </c>
      <c r="C241" s="6" t="n">
        <v>4275</v>
      </c>
      <c r="D241" s="9" t="n">
        <v>0</v>
      </c>
      <c r="E241" s="9" t="n">
        <v>167</v>
      </c>
      <c r="F241" t="inlineStr">
        <is>
          <t>—</t>
        </is>
      </c>
      <c r="G241" s="9" t="n">
        <v>22</v>
      </c>
    </row>
    <row r="242">
      <c r="A242" s="9" t="n">
        <v>1936</v>
      </c>
      <c r="B242" s="6" t="n">
        <v>2661</v>
      </c>
      <c r="C242" s="6" t="n">
        <v>2538</v>
      </c>
      <c r="D242" s="9" t="n">
        <v>50</v>
      </c>
      <c r="E242" s="9" t="n">
        <v>69</v>
      </c>
      <c r="F242" t="inlineStr">
        <is>
          <t>—</t>
        </is>
      </c>
      <c r="G242" s="9" t="n">
        <v>4</v>
      </c>
    </row>
    <row r="243">
      <c r="A243" s="9" t="n">
        <v>1937</v>
      </c>
      <c r="B243" s="6" t="n">
        <v>6177</v>
      </c>
      <c r="C243" s="6" t="n">
        <v>5281</v>
      </c>
      <c r="D243" s="9" t="n">
        <v>70</v>
      </c>
      <c r="E243" s="9" t="n">
        <v>824</v>
      </c>
      <c r="F243" t="inlineStr">
        <is>
          <t>—</t>
        </is>
      </c>
      <c r="G243" s="9" t="n">
        <v>2</v>
      </c>
    </row>
    <row r="244">
      <c r="A244" s="9" t="n">
        <v>1938</v>
      </c>
      <c r="B244" s="6" t="n">
        <v>9240</v>
      </c>
      <c r="C244" s="6" t="n">
        <v>6303</v>
      </c>
      <c r="D244" s="9" t="n">
        <v>653</v>
      </c>
      <c r="E244" s="6" t="n">
        <v>2228</v>
      </c>
      <c r="F244" t="inlineStr">
        <is>
          <t>—</t>
        </is>
      </c>
      <c r="G244" s="9" t="n">
        <v>56</v>
      </c>
    </row>
    <row r="245">
      <c r="A245" s="9" t="n">
        <v>1939</v>
      </c>
      <c r="B245" s="6" t="n">
        <v>9904</v>
      </c>
      <c r="C245" s="6" t="n">
        <v>6159</v>
      </c>
      <c r="D245" s="9" t="n">
        <v>212</v>
      </c>
      <c r="E245" s="6" t="n">
        <v>3508</v>
      </c>
      <c r="F245" t="inlineStr">
        <is>
          <t>—</t>
        </is>
      </c>
      <c r="G245" s="9" t="n">
        <v>26</v>
      </c>
    </row>
    <row r="247">
      <c r="A247" s="2" t="inlineStr">
        <is>
          <t>Iron &amp; Steel</t>
        </is>
      </c>
    </row>
    <row r="248">
      <c r="A248" s="5" t="inlineStr">
        <is>
          <t>Year</t>
        </is>
      </c>
      <c r="B248" s="5" t="inlineStr">
        <is>
          <t>Total</t>
        </is>
      </c>
      <c r="C248" s="5" t="inlineStr">
        <is>
          <t>Japan</t>
        </is>
      </c>
      <c r="D248" s="5" t="inlineStr">
        <is>
          <t>U.K.</t>
        </is>
      </c>
      <c r="E248" s="5" t="inlineStr">
        <is>
          <t>Germany</t>
        </is>
      </c>
      <c r="F248" s="5" t="inlineStr">
        <is>
          <t>Belgium</t>
        </is>
      </c>
      <c r="G248" s="5" t="inlineStr">
        <is>
          <t>U.S.A.</t>
        </is>
      </c>
      <c r="H248" s="5" t="n"/>
    </row>
    <row r="249">
      <c r="A249" s="9" t="n">
        <v>1934</v>
      </c>
      <c r="B249" s="6" t="n">
        <v>52227</v>
      </c>
      <c r="C249" s="6" t="n">
        <v>48218</v>
      </c>
      <c r="D249" s="6" t="n">
        <v>1045</v>
      </c>
      <c r="E249" s="6" t="n">
        <v>5609</v>
      </c>
      <c r="F249" s="9" t="n">
        <v>494</v>
      </c>
      <c r="G249" s="6" t="n">
        <v>2078</v>
      </c>
    </row>
    <row r="250">
      <c r="A250" s="9" t="n">
        <v>1935</v>
      </c>
      <c r="B250" s="6" t="n">
        <v>51540</v>
      </c>
      <c r="C250" s="6" t="n">
        <v>42545</v>
      </c>
      <c r="D250" s="6" t="n">
        <v>1078</v>
      </c>
      <c r="E250" s="6" t="n">
        <v>5203</v>
      </c>
      <c r="F250" s="6" t="n">
        <v>1237</v>
      </c>
      <c r="G250" s="6" t="n">
        <v>1243</v>
      </c>
    </row>
    <row r="251">
      <c r="A251" s="9" t="n">
        <v>1936</v>
      </c>
      <c r="B251" s="6" t="n">
        <v>39506</v>
      </c>
      <c r="C251" s="6" t="n">
        <v>35801</v>
      </c>
      <c r="D251" s="9" t="n">
        <v>154</v>
      </c>
      <c r="E251" s="6" t="n">
        <v>1558</v>
      </c>
      <c r="F251" s="9" t="n">
        <v>586</v>
      </c>
      <c r="G251" s="6" t="n">
        <v>1001</v>
      </c>
    </row>
    <row r="252">
      <c r="A252" s="9" t="n">
        <v>1937</v>
      </c>
      <c r="B252" s="6" t="n">
        <v>76429</v>
      </c>
      <c r="C252" s="6" t="n">
        <v>55859</v>
      </c>
      <c r="D252" s="9" t="n">
        <v>961</v>
      </c>
      <c r="E252" s="6" t="n">
        <v>2153</v>
      </c>
      <c r="F252" s="6" t="n">
        <v>3329</v>
      </c>
      <c r="G252" s="6" t="n">
        <v>9589</v>
      </c>
    </row>
    <row r="253">
      <c r="A253" s="9" t="n">
        <v>1938</v>
      </c>
      <c r="B253" s="6" t="n">
        <v>122076</v>
      </c>
      <c r="C253" s="6" t="n">
        <v>70465</v>
      </c>
      <c r="D253" t="inlineStr">
        <is>
          <t>—</t>
        </is>
      </c>
      <c r="E253" s="6" t="n">
        <v>4889</v>
      </c>
      <c r="F253" s="6" t="n">
        <v>3741</v>
      </c>
      <c r="G253" s="6" t="n">
        <v>34894</v>
      </c>
    </row>
    <row r="254">
      <c r="A254" s="9" t="n">
        <v>1939</v>
      </c>
      <c r="B254" s="6" t="n">
        <v>104525</v>
      </c>
      <c r="C254" s="6" t="n">
        <v>82460</v>
      </c>
      <c r="D254" t="inlineStr">
        <is>
          <t>—</t>
        </is>
      </c>
      <c r="E254" s="6" t="n">
        <v>7055</v>
      </c>
      <c r="F254" s="9" t="n">
        <v>830</v>
      </c>
      <c r="G254" s="6" t="n">
        <v>12179</v>
      </c>
    </row>
    <row r="256">
      <c r="A256" s="2" t="inlineStr">
        <is>
          <t>All kinds of Machineries</t>
        </is>
      </c>
    </row>
    <row r="257">
      <c r="A257" s="5" t="inlineStr">
        <is>
          <t>Year</t>
        </is>
      </c>
      <c r="B257" s="5" t="inlineStr">
        <is>
          <t>Total</t>
        </is>
      </c>
      <c r="C257" s="5" t="inlineStr">
        <is>
          <t>Japan</t>
        </is>
      </c>
      <c r="D257" s="5" t="inlineStr">
        <is>
          <t>China</t>
        </is>
      </c>
      <c r="E257" s="5" t="inlineStr">
        <is>
          <t>U.K.</t>
        </is>
      </c>
      <c r="F257" s="5" t="inlineStr">
        <is>
          <t>Germany</t>
        </is>
      </c>
      <c r="G257" s="5" t="inlineStr">
        <is>
          <t>U.S.A.</t>
        </is>
      </c>
      <c r="H257" s="5" t="n"/>
    </row>
    <row r="258">
      <c r="A258" s="9" t="n">
        <v>1934</v>
      </c>
      <c r="B258" s="6" t="n">
        <v>70640</v>
      </c>
      <c r="C258" s="6" t="n">
        <v>59835</v>
      </c>
      <c r="D258" s="9" t="n">
        <v>812</v>
      </c>
      <c r="E258" s="6" t="n">
        <v>1951</v>
      </c>
      <c r="F258" s="6" t="n">
        <v>2368</v>
      </c>
      <c r="G258" s="6" t="n">
        <v>4425</v>
      </c>
    </row>
    <row r="259">
      <c r="A259" s="9" t="n">
        <v>1935</v>
      </c>
      <c r="B259" s="6" t="n">
        <v>89738</v>
      </c>
      <c r="C259" s="6" t="n">
        <v>78126</v>
      </c>
      <c r="D259" s="9" t="n">
        <v>852</v>
      </c>
      <c r="E259" s="6" t="n">
        <v>2363</v>
      </c>
      <c r="F259" s="6" t="n">
        <v>3261</v>
      </c>
      <c r="G259" s="6" t="n">
        <v>4319</v>
      </c>
    </row>
    <row r="260">
      <c r="A260" s="9" t="n">
        <v>1936</v>
      </c>
      <c r="B260" s="6" t="n">
        <v>110280</v>
      </c>
      <c r="C260" s="6" t="n">
        <v>95152</v>
      </c>
      <c r="D260" s="9" t="n">
        <v>603</v>
      </c>
      <c r="E260" s="6" t="n">
        <v>2345</v>
      </c>
      <c r="F260" s="6" t="n">
        <v>4874</v>
      </c>
      <c r="G260" s="6" t="n">
        <v>4519</v>
      </c>
    </row>
    <row r="261">
      <c r="A261" s="9" t="n">
        <v>1937</v>
      </c>
      <c r="B261" s="6" t="n">
        <v>158925</v>
      </c>
      <c r="C261" s="6" t="n">
        <v>135785</v>
      </c>
      <c r="D261" s="9" t="n">
        <v>720</v>
      </c>
      <c r="E261" s="6" t="n">
        <v>3666</v>
      </c>
      <c r="F261" s="6" t="n">
        <v>4454</v>
      </c>
      <c r="G261" s="6" t="n">
        <v>11528</v>
      </c>
    </row>
    <row r="262">
      <c r="A262" s="9" t="n">
        <v>1938</v>
      </c>
      <c r="B262" s="6" t="n">
        <v>68838</v>
      </c>
      <c r="C262" s="6" t="n">
        <v>59895</v>
      </c>
      <c r="D262" s="9" t="n">
        <v>174</v>
      </c>
      <c r="E262" s="6" t="n">
        <v>2871</v>
      </c>
      <c r="F262" s="9" t="n">
        <v>499</v>
      </c>
      <c r="G262" s="9" t="n">
        <v>68</v>
      </c>
    </row>
    <row r="263">
      <c r="A263" s="9" t="n">
        <v>1939</v>
      </c>
      <c r="B263" s="6" t="n">
        <v>102606</v>
      </c>
      <c r="C263" s="6" t="n">
        <v>86712</v>
      </c>
      <c r="D263" s="9" t="n">
        <v>472</v>
      </c>
      <c r="E263" s="6" t="n">
        <v>2493</v>
      </c>
      <c r="F263" s="6" t="n">
        <v>1699</v>
      </c>
      <c r="G263" s="9" t="n">
        <v>25</v>
      </c>
    </row>
    <row r="265">
      <c r="A265" s="2" t="inlineStr">
        <is>
          <t>All kinds of Machineries — Of which 1939</t>
        </is>
      </c>
    </row>
    <row r="266">
      <c r="A266" s="5" t="inlineStr">
        <is>
          <t>Item</t>
        </is>
      </c>
      <c r="B266" s="5" t="inlineStr">
        <is>
          <t>Total</t>
        </is>
      </c>
      <c r="C266" s="5" t="inlineStr">
        <is>
          <t>Japan</t>
        </is>
      </c>
      <c r="D266" s="5" t="inlineStr">
        <is>
          <t>China</t>
        </is>
      </c>
      <c r="E266" s="5" t="inlineStr">
        <is>
          <t>U.K.</t>
        </is>
      </c>
      <c r="F266" s="5" t="inlineStr">
        <is>
          <t>Germany</t>
        </is>
      </c>
      <c r="G266" s="5" t="inlineStr">
        <is>
          <t>U.S.A.</t>
        </is>
      </c>
      <c r="H266" s="5" t="n"/>
    </row>
    <row r="267">
      <c r="A267" t="inlineStr">
        <is>
          <t>Meters, gauges, etc.</t>
        </is>
      </c>
      <c r="B267" s="6" t="n">
        <v>7693</v>
      </c>
      <c r="C267" s="6" t="n">
        <v>7290</v>
      </c>
      <c r="D267" s="9" t="n">
        <v>6</v>
      </c>
      <c r="E267" t="inlineStr">
        <is>
          <t>—</t>
        </is>
      </c>
      <c r="F267" s="9" t="n">
        <v>271</v>
      </c>
      <c r="G267" t="inlineStr">
        <is>
          <t>—</t>
        </is>
      </c>
    </row>
    <row r="268">
      <c r="A268" t="inlineStr">
        <is>
          <t>Batteries</t>
        </is>
      </c>
      <c r="B268" s="6" t="n">
        <v>4638</v>
      </c>
      <c r="C268" s="6" t="n">
        <v>4597</v>
      </c>
      <c r="D268" s="9" t="n">
        <v>12</v>
      </c>
      <c r="E268" t="inlineStr">
        <is>
          <t>—</t>
        </is>
      </c>
      <c r="F268" t="inlineStr">
        <is>
          <t>—</t>
        </is>
      </c>
      <c r="G268" s="9" t="n">
        <v>25</v>
      </c>
    </row>
    <row r="269">
      <c r="A269" t="inlineStr">
        <is>
          <t>Optical, Medical and other Scientific Machineries</t>
        </is>
      </c>
      <c r="B269" s="6" t="n">
        <v>8311</v>
      </c>
      <c r="C269" s="6" t="n">
        <v>5621</v>
      </c>
      <c r="D269" s="9" t="n">
        <v>141</v>
      </c>
      <c r="E269" t="inlineStr">
        <is>
          <t>—</t>
        </is>
      </c>
      <c r="F269" t="inlineStr">
        <is>
          <t>—</t>
        </is>
      </c>
      <c r="G269" t="inlineStr">
        <is>
          <t>—</t>
        </is>
      </c>
    </row>
    <row r="270">
      <c r="A270" t="inlineStr">
        <is>
          <t>Boilers, etc.</t>
        </is>
      </c>
      <c r="B270" s="6" t="n">
        <v>11597</v>
      </c>
      <c r="C270" s="6" t="n">
        <v>7293</v>
      </c>
      <c r="D270" s="9" t="n">
        <v>25</v>
      </c>
      <c r="E270" s="6" t="n">
        <v>2493</v>
      </c>
      <c r="F270" s="6" t="n">
        <v>1428</v>
      </c>
      <c r="G270" t="inlineStr">
        <is>
          <t>—</t>
        </is>
      </c>
    </row>
    <row r="271">
      <c r="A271" t="inlineStr">
        <is>
          <t>Magnetos, motors, and other electric machineries</t>
        </is>
      </c>
      <c r="B271" s="6" t="n">
        <v>17270</v>
      </c>
      <c r="C271" s="6" t="n">
        <v>13017</v>
      </c>
      <c r="D271" s="9" t="n">
        <v>10</v>
      </c>
      <c r="E271" t="inlineStr">
        <is>
          <t>—</t>
        </is>
      </c>
      <c r="F271" t="inlineStr">
        <is>
          <t>—</t>
        </is>
      </c>
      <c r="G271" t="inlineStr">
        <is>
          <t>—</t>
        </is>
      </c>
    </row>
    <row r="272">
      <c r="A272" t="inlineStr">
        <is>
          <t>Transformers and converters</t>
        </is>
      </c>
      <c r="B272" s="6" t="n">
        <v>6969</v>
      </c>
      <c r="C272" s="6" t="n">
        <v>6881</v>
      </c>
      <c r="D272" s="9" t="n">
        <v>5</v>
      </c>
      <c r="E272" t="inlineStr">
        <is>
          <t>—</t>
        </is>
      </c>
      <c r="F272" t="inlineStr">
        <is>
          <t>—</t>
        </is>
      </c>
      <c r="G272" t="inlineStr">
        <is>
          <t>—</t>
        </is>
      </c>
    </row>
    <row r="273">
      <c r="A273" t="inlineStr">
        <is>
          <t>Electric communication instruments</t>
        </is>
      </c>
      <c r="B273" s="6" t="n">
        <v>10092</v>
      </c>
      <c r="C273" s="6" t="n">
        <v>9849</v>
      </c>
      <c r="D273" s="9" t="n">
        <v>1</v>
      </c>
      <c r="E273" t="inlineStr">
        <is>
          <t>—</t>
        </is>
      </c>
      <c r="F273" t="inlineStr">
        <is>
          <t>—</t>
        </is>
      </c>
      <c r="G273" t="inlineStr">
        <is>
          <t>—</t>
        </is>
      </c>
    </row>
    <row r="274">
      <c r="A274" t="inlineStr">
        <is>
          <t>Bicycles and parts</t>
        </is>
      </c>
      <c r="B274" s="6" t="n">
        <v>8339</v>
      </c>
      <c r="C274" s="6" t="n">
        <v>8185</v>
      </c>
      <c r="D274" s="9" t="n">
        <v>148</v>
      </c>
      <c r="E274" t="inlineStr">
        <is>
          <t>—</t>
        </is>
      </c>
      <c r="F274" s="9" t="n">
        <v>5</v>
      </c>
      <c r="G274" s="9" t="n">
        <v>0</v>
      </c>
    </row>
    <row r="275">
      <c r="A275" t="inlineStr">
        <is>
          <t>Pumps (including ventilating machines and gas compressors)</t>
        </is>
      </c>
      <c r="B275" s="6" t="n">
        <v>14345</v>
      </c>
      <c r="C275" s="6" t="n">
        <v>12284</v>
      </c>
      <c r="D275" s="9" t="n">
        <v>3</v>
      </c>
      <c r="E275" t="inlineStr">
        <is>
          <t>—</t>
        </is>
      </c>
      <c r="F275" t="inlineStr">
        <is>
          <t>—</t>
        </is>
      </c>
      <c r="G275" t="inlineStr">
        <is>
          <t>—</t>
        </is>
      </c>
    </row>
    <row r="276">
      <c r="A276" t="inlineStr">
        <is>
          <t>Chain, Hoists, Cranes, etc.</t>
        </is>
      </c>
      <c r="B276" s="6" t="n">
        <v>10114</v>
      </c>
      <c r="C276" s="6" t="n">
        <v>8881</v>
      </c>
      <c r="D276" s="9" t="n">
        <v>0</v>
      </c>
      <c r="E276" t="inlineStr">
        <is>
          <t>—</t>
        </is>
      </c>
      <c r="F276" t="inlineStr">
        <is>
          <t>—</t>
        </is>
      </c>
      <c r="G276" t="inlineStr">
        <is>
          <t>—</t>
        </is>
      </c>
    </row>
    <row r="277">
      <c r="A277" t="inlineStr">
        <is>
          <t>Total incl. others</t>
        </is>
      </c>
      <c r="B277" s="6" t="n">
        <v>102606</v>
      </c>
      <c r="C277" s="6" t="n">
        <v>86712</v>
      </c>
      <c r="D277" s="9" t="n">
        <v>472</v>
      </c>
      <c r="E277" s="6" t="n">
        <v>2493</v>
      </c>
      <c r="F277" s="6" t="n">
        <v>1699</v>
      </c>
      <c r="G277" s="9" t="n">
        <v>25</v>
      </c>
    </row>
    <row r="279">
      <c r="A279" s="2" t="inlineStr">
        <is>
          <t>Metalwares</t>
        </is>
      </c>
    </row>
    <row r="280">
      <c r="A280" s="5" t="inlineStr">
        <is>
          <t>Year</t>
        </is>
      </c>
      <c r="B280" s="5" t="inlineStr">
        <is>
          <t>Total</t>
        </is>
      </c>
      <c r="C280" s="5" t="inlineStr">
        <is>
          <t>Japan</t>
        </is>
      </c>
      <c r="D280" s="5" t="inlineStr">
        <is>
          <t>China</t>
        </is>
      </c>
      <c r="E280" s="5" t="inlineStr">
        <is>
          <t>Germany</t>
        </is>
      </c>
      <c r="F280" s="5" t="inlineStr">
        <is>
          <t>[no heading]</t>
        </is>
      </c>
      <c r="G280" s="5" t="inlineStr">
        <is>
          <t>Others</t>
        </is>
      </c>
      <c r="H280" s="5" t="n"/>
    </row>
    <row r="281">
      <c r="A281" s="9" t="n">
        <v>1938</v>
      </c>
      <c r="B281" s="6" t="n">
        <v>47451</v>
      </c>
      <c r="C281" s="6" t="n">
        <v>46093</v>
      </c>
      <c r="D281" s="9" t="n">
        <v>25</v>
      </c>
      <c r="E281" s="9" t="n">
        <v>355</v>
      </c>
      <c r="F281" t="inlineStr">
        <is>
          <t>—</t>
        </is>
      </c>
      <c r="G281" s="9" t="n">
        <v>532</v>
      </c>
    </row>
    <row r="282">
      <c r="A282" s="9" t="n">
        <v>1939</v>
      </c>
      <c r="B282" s="6" t="n">
        <v>80973</v>
      </c>
      <c r="C282" s="6" t="n">
        <v>77879</v>
      </c>
      <c r="D282" s="9" t="n">
        <v>325</v>
      </c>
      <c r="E282" s="9" t="n">
        <v>786</v>
      </c>
      <c r="F282" t="inlineStr">
        <is>
          <t>—</t>
        </is>
      </c>
      <c r="G282" s="6" t="n">
        <v>1983</v>
      </c>
    </row>
    <row r="284">
      <c r="A284" s="2" t="inlineStr">
        <is>
          <t>Metalwares — Of which 1939</t>
        </is>
      </c>
    </row>
    <row r="285">
      <c r="A285" s="5" t="inlineStr">
        <is>
          <t>Item</t>
        </is>
      </c>
      <c r="B285" s="5" t="inlineStr">
        <is>
          <t>Total</t>
        </is>
      </c>
      <c r="C285" s="5" t="inlineStr">
        <is>
          <t>Japan</t>
        </is>
      </c>
      <c r="D285" s="5" t="inlineStr">
        <is>
          <t>China</t>
        </is>
      </c>
      <c r="E285" s="5" t="inlineStr">
        <is>
          <t>Germany</t>
        </is>
      </c>
      <c r="F285" s="5" t="inlineStr">
        <is>
          <t>[no heading]</t>
        </is>
      </c>
      <c r="G285" s="5" t="inlineStr">
        <is>
          <t>Others</t>
        </is>
      </c>
      <c r="H285" s="5" t="n"/>
    </row>
    <row r="286">
      <c r="A286" t="inlineStr">
        <is>
          <t>Nails, etc.</t>
        </is>
      </c>
      <c r="B286" s="6" t="n">
        <v>12804</v>
      </c>
      <c r="C286" s="6" t="n">
        <v>12428</v>
      </c>
      <c r="D286" s="9" t="n">
        <v>286</v>
      </c>
      <c r="E286" t="inlineStr">
        <is>
          <t>—</t>
        </is>
      </c>
      <c r="F286" t="inlineStr">
        <is>
          <t>—</t>
        </is>
      </c>
      <c r="G286" s="9" t="n">
        <v>108</v>
      </c>
    </row>
    <row r="287">
      <c r="A287" t="inlineStr">
        <is>
          <t>Cables</t>
        </is>
      </c>
      <c r="B287" s="6" t="n">
        <v>8479</v>
      </c>
      <c r="C287" s="6" t="n">
        <v>7890</v>
      </c>
      <c r="D287" s="9" t="n">
        <v>1</v>
      </c>
      <c r="E287" s="9" t="n">
        <v>498</v>
      </c>
      <c r="F287" t="inlineStr">
        <is>
          <t>—</t>
        </is>
      </c>
      <c r="G287" s="9" t="n">
        <v>90</v>
      </c>
    </row>
    <row r="288">
      <c r="A288" t="inlineStr">
        <is>
          <t>Insulating Wire</t>
        </is>
      </c>
      <c r="B288" s="6" t="n">
        <v>26728</v>
      </c>
      <c r="C288" s="6" t="n">
        <v>26681</v>
      </c>
      <c r="D288" s="9" t="n">
        <v>33</v>
      </c>
      <c r="E288" t="inlineStr">
        <is>
          <t>—</t>
        </is>
      </c>
      <c r="F288" t="inlineStr">
        <is>
          <t>—</t>
        </is>
      </c>
      <c r="G288" t="inlineStr">
        <is>
          <t>—</t>
        </is>
      </c>
    </row>
    <row r="289">
      <c r="A289" t="inlineStr">
        <is>
          <t>Construction Materials for Bridges, Railways and Buildings</t>
        </is>
      </c>
      <c r="B289" s="6" t="n">
        <v>12859</v>
      </c>
      <c r="C289" s="6" t="n">
        <v>11324</v>
      </c>
      <c r="D289" s="9" t="n">
        <v>5</v>
      </c>
      <c r="E289" t="inlineStr">
        <is>
          <t>—</t>
        </is>
      </c>
      <c r="F289" t="inlineStr">
        <is>
          <t>—</t>
        </is>
      </c>
      <c r="G289" s="6" t="n">
        <v>1530</v>
      </c>
    </row>
    <row r="290">
      <c r="A290" t="inlineStr">
        <is>
          <t>Door Checks, Locks, Hinges and Fittings</t>
        </is>
      </c>
      <c r="B290" s="6" t="n">
        <v>6341</v>
      </c>
      <c r="C290" s="6" t="n">
        <v>6273</v>
      </c>
      <c r="D290" s="9" t="n">
        <v>9</v>
      </c>
      <c r="E290" t="inlineStr">
        <is>
          <t>—</t>
        </is>
      </c>
      <c r="F290" t="inlineStr">
        <is>
          <t>—</t>
        </is>
      </c>
      <c r="G290" s="9" t="n">
        <v>60</v>
      </c>
    </row>
    <row r="291">
      <c r="A291" t="inlineStr">
        <is>
          <t>Tools and Implements</t>
        </is>
      </c>
      <c r="B291" s="6" t="n">
        <v>13762</v>
      </c>
      <c r="C291" s="6" t="n">
        <v>13283</v>
      </c>
      <c r="D291" s="9" t="n">
        <v>9</v>
      </c>
      <c r="E291" s="9" t="n">
        <v>288</v>
      </c>
      <c r="F291" t="inlineStr">
        <is>
          <t>—</t>
        </is>
      </c>
      <c r="G291" s="9" t="n">
        <v>182</v>
      </c>
    </row>
    <row r="292">
      <c r="A292" t="inlineStr">
        <is>
          <t>Total</t>
        </is>
      </c>
      <c r="B292" s="6" t="n">
        <v>80973</v>
      </c>
      <c r="C292" s="6" t="n">
        <v>77879</v>
      </c>
      <c r="D292" s="9" t="n">
        <v>325</v>
      </c>
      <c r="E292" s="9" t="n">
        <v>786</v>
      </c>
      <c r="F292" t="inlineStr">
        <is>
          <t>—</t>
        </is>
      </c>
      <c r="G292" s="6" t="n">
        <v>1983</v>
      </c>
    </row>
    <row r="294">
      <c r="A294" s="2" t="inlineStr">
        <is>
          <t>Toys &amp; Games</t>
        </is>
      </c>
    </row>
    <row r="295">
      <c r="A295" s="5" t="inlineStr">
        <is>
          <t>Year</t>
        </is>
      </c>
      <c r="B295" s="5" t="inlineStr">
        <is>
          <t>Total</t>
        </is>
      </c>
      <c r="C295" s="5" t="inlineStr">
        <is>
          <t>Japan</t>
        </is>
      </c>
      <c r="D295" s="5" t="inlineStr">
        <is>
          <t>China</t>
        </is>
      </c>
      <c r="E295" s="5" t="inlineStr">
        <is>
          <t>Germany</t>
        </is>
      </c>
      <c r="F295" s="5" t="inlineStr">
        <is>
          <t>U.S.A.</t>
        </is>
      </c>
      <c r="G295" s="5" t="inlineStr">
        <is>
          <t>Others</t>
        </is>
      </c>
      <c r="H295" s="5" t="n"/>
    </row>
    <row r="296">
      <c r="A296" s="9" t="n">
        <v>1934</v>
      </c>
      <c r="B296" s="9" t="n">
        <v>909</v>
      </c>
      <c r="C296" s="9" t="n">
        <v>750</v>
      </c>
      <c r="D296" s="9" t="n">
        <v>112</v>
      </c>
      <c r="E296" s="9" t="n">
        <v>12</v>
      </c>
      <c r="F296" s="9" t="n">
        <v>3</v>
      </c>
      <c r="G296" s="9" t="n">
        <v>32</v>
      </c>
    </row>
    <row r="297">
      <c r="A297" s="9" t="n">
        <v>1935</v>
      </c>
      <c r="B297" s="6" t="n">
        <v>1130</v>
      </c>
      <c r="C297" s="9" t="n">
        <v>971</v>
      </c>
      <c r="D297" s="9" t="n">
        <v>91</v>
      </c>
      <c r="E297" s="9" t="n">
        <v>30</v>
      </c>
      <c r="F297" s="9" t="n">
        <v>14</v>
      </c>
      <c r="G297" s="9" t="n">
        <v>24</v>
      </c>
    </row>
    <row r="298">
      <c r="A298" s="9" t="n">
        <v>1936</v>
      </c>
      <c r="B298" s="6" t="n">
        <v>1137</v>
      </c>
      <c r="C298" s="6" t="n">
        <v>1019</v>
      </c>
      <c r="D298" s="9" t="n">
        <v>84</v>
      </c>
      <c r="E298" s="9" t="n">
        <v>12</v>
      </c>
      <c r="F298" s="9" t="n">
        <v>11</v>
      </c>
      <c r="G298" s="9" t="n">
        <v>11</v>
      </c>
    </row>
    <row r="299">
      <c r="A299" s="9" t="n">
        <v>1937</v>
      </c>
      <c r="B299" s="6" t="n">
        <v>1343</v>
      </c>
      <c r="C299" s="6" t="n">
        <v>1165</v>
      </c>
      <c r="D299" s="9" t="n">
        <v>65</v>
      </c>
      <c r="E299" s="9" t="n">
        <v>25</v>
      </c>
      <c r="F299" s="9" t="n">
        <v>73</v>
      </c>
      <c r="G299" s="9" t="n">
        <v>25</v>
      </c>
    </row>
    <row r="300">
      <c r="A300" s="9" t="n">
        <v>1938</v>
      </c>
      <c r="B300" s="6" t="n">
        <v>1490</v>
      </c>
      <c r="C300" s="6" t="n">
        <v>1458</v>
      </c>
      <c r="D300" s="9" t="n">
        <v>25</v>
      </c>
      <c r="E300" t="inlineStr">
        <is>
          <t>—</t>
        </is>
      </c>
      <c r="F300" t="inlineStr">
        <is>
          <t>—</t>
        </is>
      </c>
      <c r="G300" s="9" t="n">
        <v>7</v>
      </c>
    </row>
    <row r="301">
      <c r="A301" s="9" t="n">
        <v>1939</v>
      </c>
      <c r="B301" s="6" t="n">
        <v>1904</v>
      </c>
      <c r="C301" s="6" t="n">
        <v>1892</v>
      </c>
      <c r="D301" s="9" t="n">
        <v>11</v>
      </c>
      <c r="E301" t="inlineStr">
        <is>
          <t>—</t>
        </is>
      </c>
      <c r="F301" t="inlineStr">
        <is>
          <t>—</t>
        </is>
      </c>
      <c r="G301" s="9" t="n">
        <v>0</v>
      </c>
    </row>
    <row r="303">
      <c r="A303" s="2" t="inlineStr">
        <is>
          <t>Transcriber's notes</t>
        </is>
      </c>
    </row>
    <row r="304">
      <c r="A304" t="inlineStr">
        <is>
          <t>One part per commodity block, in printed order; each block has its own set of country columns as printed. Blocks split across a page turn are merged (years before and after the page break).</t>
        </is>
      </c>
    </row>
    <row r="305">
      <c r="A305" t="inlineStr">
        <is>
          <t>Column headings '[no heading]' / '[no heading 1]' / '[no heading 2]': a column of figures (mostly dashes) printed with no country heading; kept as printed.</t>
        </is>
      </c>
    </row>
    <row r="306">
      <c r="A306" t="inlineStr">
        <is>
          <t>Each continuation page is headed by a running unit caption ('(Exports: M¥1,000)' / '(Import: M¥1,000)' / '(Imports: M¥1,000)'), not transcribed as rows.</t>
        </is>
      </c>
    </row>
    <row r="307">
      <c r="A307" t="inlineStr">
        <is>
          <t>Reconciliation: for each year the country columns were added and compared with 'Total'. Where a block has an 'Others' column the parts should equal the Total; where it has none, the Total includes unlisted countries and parts below the Total are expected. Every non-reconciling cell was re-read on an enlarged crop; figures are as printed.</t>
        </is>
      </c>
    </row>
    <row r="308">
      <c r="A308" t="inlineStr">
        <is>
          <t>Table 7 begins on p. 330 below the end of Table 6 and ends on p. 336; p. 336 is headed '(Continued)'. Chapter X ends on p. 336 (p. 337 begins Chapter XI).</t>
        </is>
      </c>
    </row>
    <row r="309">
      <c r="A309" t="inlineStr">
        <is>
          <t>Dyes, Pigments... 1938: Japan clearly printed 19,200, larger than the Total 11,857 (misprint in source, not corrected).</t>
        </is>
      </c>
    </row>
    <row r="310">
      <c r="A310" t="inlineStr">
        <is>
          <t>Rice &amp; Paddy 1935: Brit. India printed 11,994 (parts exceed Total by 9,812; 1,994 would reconcile with 188 left over). 1937: Brit. India and French Indo-China both printed 1,955.</t>
        </is>
      </c>
    </row>
    <row r="311">
      <c r="A311" t="inlineStr">
        <is>
          <t>Raw Cotton 1934 and 1935: Brit. India and U.S.A. printed with identical figures (10,262 / 10,262; 8,046 / 8,046), so parts greatly exceed Total — apparent duplication in source.</t>
        </is>
      </c>
    </row>
    <row r="312">
      <c r="A312" t="inlineStr">
        <is>
          <t>Raw Jute 1937: Brit. India clearly printed 3,696, exceeds Total 2,734 (2,696 would reconcile).</t>
        </is>
      </c>
    </row>
    <row r="313">
      <c r="A313" t="inlineStr">
        <is>
          <t>Paper 1934: Japan clearly printed 952 (parts 3,451 vs Total 12,139).</t>
        </is>
      </c>
    </row>
    <row r="314">
      <c r="A314" t="inlineStr">
        <is>
          <t>Cotton Yarn (imports) 1938 Total: printed '4,771' with a stray mark between 7 and 71 (looks like '4,7.71'); read as 4,771.</t>
        </is>
      </c>
    </row>
    <row r="315">
      <c r="A315" t="inlineStr">
        <is>
          <t>Rayon Piece-goods 1936 Total 15,801 and Japan 14,403 are identical to Woolen Piece-goods 1936 Total/Japan — as printed.</t>
        </is>
      </c>
    </row>
    <row r="316">
      <c r="A316" t="inlineStr">
        <is>
          <t>Gasoline... 1938 and Kerosene Oil 1938: '(not released)' printed once spanning the Total and Japan columns; placed in the Total cell, Japan cell left empty (nothing else printed there); country cells printed as dashes.</t>
        </is>
      </c>
    </row>
    <row r="317">
      <c r="A317" t="inlineStr">
        <is>
          <t>Gasoline, Naphta &amp; Benzine: 1934 on p. 334, 1935-1938 on p. 335. Cigarettes: 1934 on p. 331, 1935-39 on p. 332. Rice &amp; Paddy: 1934-36 on p. 330, 1937-39 on p. 331. Rayon Piece-goods: 1934-35 on p. 333, 1936-39 on p. 334.</t>
        </is>
      </c>
    </row>
    <row r="318">
      <c r="A318" t="inlineStr">
        <is>
          <t>'All kinds of Machineries — Of which 1939': items on p. 335 (4) and p. 336 (6, headed '(Continued)'), ending with 'Total incl. others' 102,606 etc., which equals the 1939 row of the main All kinds of Machineries block.</t>
        </is>
      </c>
    </row>
    <row r="319">
      <c r="A319" t="inlineStr">
        <is>
          <t>'Metalwares — Of which 1939' Total 80,973 / 77,879 / 325 / 786 / — / 1,983 equals the Metalwares 1939 row. Row-wise, Nails, etc. parts 12,822 vs 12,804 (diff -18) and Insulating Wire parts 26,714 vs 26,728 (diff +14) do not reconcile.</t>
        </is>
      </c>
    </row>
    <row r="320">
      <c r="A320" t="inlineStr">
        <is>
          <t>Metalwares printed for 1938 and 1939 only.</t>
        </is>
      </c>
    </row>
    <row r="321">
      <c r="A321" t="inlineStr">
        <is>
          <t>Dyes, Pigments, Paints, Varnishes, etc.: country columns vs Total per year — parts EXCEED printed Total: 1938: parts 20,949 vs Total 11,857 (diff -9,092). Parts fall short of Total (no 'Others' column; remainder = unlisted countries, not reconcilable) in 1934 (+68), 1935 (+35), 1936 (+113), 1937 (+370), 1939 (+16).</t>
        </is>
      </c>
    </row>
    <row r="322">
      <c r="A322" t="inlineStr">
        <is>
          <t>Rice &amp; Paddy: country columns vs Total per year — parts EXCEED printed Total: 1935: parts 21,379 vs Total 11,567 (diff -9,812); 1937: parts 8,926 vs Total 8,754 (diff -172). Parts fall short of Total (no 'Others' column; remainder = unlisted countries, not reconcilable) in 1934 (+42), 1936 (+1,727), 1938 (+2,210), 1939 (+1,345).</t>
        </is>
      </c>
    </row>
    <row r="323">
      <c r="A323" t="inlineStr">
        <is>
          <t>Wheat Flour: country columns vs Total per year — does NOT reconcile: 1934: parts 42,058 vs Total 57,059 (diff +15,001); 1936: parts 27,115 vs Total 27,116 (diff +1); 1938: parts 47,088 vs Total 47,089 (diff +1); 1939: parts 68,301 vs Total 68,300 (diff -1).</t>
        </is>
      </c>
    </row>
    <row r="324">
      <c r="A324" t="inlineStr">
        <is>
          <t>Aquatic Products: country columns vs Total per year — does NOT reconcile: 1939: parts 47,958 vs Total 47,858 (diff -100).</t>
        </is>
      </c>
    </row>
    <row r="325">
      <c r="A325" t="inlineStr">
        <is>
          <t>Sugar: country columns vs Total per year — does NOT reconcile: 1935: parts 12,972 vs Total 12,974 (diff +2); 1937: parts 21,288 vs Total 21,293 (diff +5); 1939: parts 42,397 vs Total 42,396 (diff -1).</t>
        </is>
      </c>
    </row>
    <row r="326">
      <c r="A326" t="inlineStr">
        <is>
          <t>Tea: country columns vs Total per year — does NOT reconcile: 1937: parts 4,170 vs Total 4,120 (diff -50); 1938: parts 6,229 vs Total 6,228 (diff -1); 1939: parts 11,182 vs Total 11,183 (diff +1).</t>
        </is>
      </c>
    </row>
    <row r="327">
      <c r="A327" t="inlineStr">
        <is>
          <t>Wines, Beer, Spirits, Tablewaters: country columns vs Total per year — does NOT reconcile: 1939: parts 9,955 vs Total 9,956 (diff +1).</t>
        </is>
      </c>
    </row>
    <row r="328">
      <c r="A328" t="inlineStr">
        <is>
          <t>Cigarettes: country columns vs Total per year — Parts fall short of Total (no 'Others' column; remainder = unlisted countries, not reconcilable) in 1934 (+40), 1935 (+54), 1936 (+161), 1937 (+500), 1938 (+50).</t>
        </is>
      </c>
    </row>
    <row r="329">
      <c r="A329" t="inlineStr">
        <is>
          <t>Leaf Tobacco: country columns vs Total per year — does NOT reconcile: 1934: parts 8,858 vs Total 8,558 (diff -300); 1935: parts 5,718 vs Total 6,067 (diff +349); 1938: parts 7,738 vs Total 7,739 (diff +1); 1939: parts 8,084 vs Total 8,085 (diff +1).</t>
        </is>
      </c>
    </row>
    <row r="330">
      <c r="A330" t="inlineStr">
        <is>
          <t>Timber &amp; Wood: country columns vs Total per year — parts EXCEED printed Total: 1939: parts 76,152 vs Total 76,151 (diff -1). Parts fall short of Total (no 'Others' column; remainder = unlisted countries, not reconcilable) in 1934 (+322), 1935 (+479), 1936 (+273), 1937 (+1,016), 1938 (+1).</t>
        </is>
      </c>
    </row>
    <row r="331">
      <c r="A331" t="inlineStr">
        <is>
          <t>Raw Cotton: country columns vs Total per year — does NOT reconcile: 1934: parts 21,507 vs Total 12,284 (diff -9,223); 1935: parts 17,250 vs Total 9,407 (diff -7,843); 1937: parts 32,203 vs Total 32,202 (diff -1); 1938: parts 42,665 vs Total 42,664 (diff -1).</t>
        </is>
      </c>
    </row>
    <row r="332">
      <c r="A332" t="inlineStr">
        <is>
          <t>Raw Jute: country columns vs Total per year — does NOT reconcile: 1937: parts 3,734 vs Total 2,734 (diff -1,000).</t>
        </is>
      </c>
    </row>
    <row r="333">
      <c r="A333" t="inlineStr">
        <is>
          <t>Woolen Yarn &amp; Cord: country columns vs Total per year — does NOT reconcile: 1935: parts 2,066 vs Total 2,030 (diff -36); 1937: parts 7,652 vs Total 7,552 (diff -100); 1938: parts 8,353 vs Total 8,352 (diff -1); 1939: parts 5,551 vs Total 5,552 (diff +1).</t>
        </is>
      </c>
    </row>
    <row r="334">
      <c r="A334" t="inlineStr">
        <is>
          <t>Cotton Yarn: country columns vs Total per year — does NOT reconcile: 1934: parts 12,538 vs Total 12,533 (diff -5); 1938: parts 4,770 vs Total 4,771 (diff +1); 1939: parts 4,183 vs Total 4,184 (diff +1).</t>
        </is>
      </c>
    </row>
    <row r="335">
      <c r="A335" t="inlineStr">
        <is>
          <t>Cotton Piece-goods (Grey): country columns vs Total per year — does NOT reconcile: 1934: parts 17,153 vs Total 17,154 (diff +1); 1937: parts 42,772 vs Total 42,771 (diff -1); 1939: parts 3,144 vs Total 3,143 (diff -1).</t>
        </is>
      </c>
    </row>
    <row r="336">
      <c r="A336" t="inlineStr">
        <is>
          <t>Cotton Piece-goods (white or dyed): country columns vs Total per year — does NOT reconcile: 1934: parts 25,541 vs Total 27,511 (diff +1,970); 1935: parts 25,004 vs Total 25,251 (diff +247); 1936: parts 40,397 vs Total 40,769 (diff +372); 1937: parts 44,227 vs Total 44,435 (diff +208); 1939: parts 3,356 vs Total 3,357 (diff +1).</t>
        </is>
      </c>
    </row>
    <row r="337">
      <c r="A337" t="inlineStr">
        <is>
          <t>Cotton Piece-goods (printed): country columns vs Total per year — does NOT reconcile: 1934: parts 10,947 vs Total 10,948 (diff +1); 1935: parts 7,484 vs Total 7,483 (diff -1); 1937: parts 13,935 vs Total 13,934 (diff -1); 1939: parts 1,723 vs Total 1,727 (diff +4).</t>
        </is>
      </c>
    </row>
    <row r="338">
      <c r="A338" t="inlineStr">
        <is>
          <t>Woolen Piece-goods: country columns vs Total per year — parts EXCEED printed Total: 1936: parts 15,849 vs Total 15,801 (diff -48). Parts fall short of Total (no 'Others' column; remainder = unlisted countries, not reconcilable) in 1934 (+74), 1935 (+137), 1937 (+237), 1938 (+278), 1939 (+194).</t>
        </is>
      </c>
    </row>
    <row r="339">
      <c r="A339" t="inlineStr">
        <is>
          <t>Rayon Piece-goods: country columns vs Total per year — does NOT reconcile: 1934: parts 10,823 vs Total 10,824 (diff +1); 1936: parts 15,800 vs Total 15,801 (diff +1).</t>
        </is>
      </c>
    </row>
    <row r="340">
      <c r="A340" t="inlineStr">
        <is>
          <t>Silk Piece-goods: country columns vs Total per year — Parts fall short of Total (no 'Others' column; remainder = unlisted countries, not reconcilable) in 1934 (+17), 1935 (+6), 1936 (+12), 1937 (+58), 1938 (+48), 1939 (+51).</t>
        </is>
      </c>
    </row>
    <row r="341">
      <c r="A341" t="inlineStr">
        <is>
          <t>Gunny Bags: country columns vs Total per year — does NOT reconcile: 1936: parts 14,023 vs Total 14,025 (diff +2); 1938: parts 20,839 vs Total 20,838 (diff -1).</t>
        </is>
      </c>
    </row>
    <row r="342">
      <c r="A342" t="inlineStr">
        <is>
          <t>Footwear: country columns vs Total per year — all years reconcile exactly.</t>
        </is>
      </c>
    </row>
    <row r="343">
      <c r="A343" t="inlineStr">
        <is>
          <t>Paper: country columns vs Total per year — does NOT reconcile: 1934: parts 3,451 vs Total 12,139 (diff +8,688); 1935: parts 12,726 vs Total 12,959 (diff +233); 1936: parts 16,419 vs Total 16,793 (diff +374); 1937: parts 23,683 vs Total 24,865 (diff +1,182); 1938: parts 24,620 vs Total 35,842 (diff +11,222); 1939: parts 49,587 vs Total 49,589 (diff +2).</t>
        </is>
      </c>
    </row>
    <row r="344">
      <c r="A344" t="inlineStr">
        <is>
          <t>Cement: country columns vs Total per year — does NOT reconcile: 1934: parts 7,900 vs Total 7,901 (diff +1); 1937: parts 1,067 vs Total 1,068 (diff +1); 1939: parts 11,763 vs Total 11,764 (diff +1).</t>
        </is>
      </c>
    </row>
    <row r="345">
      <c r="A345" t="inlineStr">
        <is>
          <t>Gasoline, Naphta &amp; Benzine, mineral: country columns vs Total per year — Parts fall short of Total (no 'Others' column; remainder = unlisted countries, not reconcilable) in 1934 (+475), 1935 (+16), 1936 (+200), 1937 (+108).</t>
        </is>
      </c>
    </row>
    <row r="346">
      <c r="A346" t="inlineStr">
        <is>
          <t>Kerosene Oil: country columns vs Total per year — does NOT reconcile: 1934: parts 10,357 vs Total 11,621 (diff +1,264); 1935: parts 2,189 vs Total 2,228 (diff +39); 1936: parts 1,741 vs Total 1,740 (diff -1); 1937: parts 6,690 vs Total 6,707 (diff +17).</t>
        </is>
      </c>
    </row>
    <row r="347">
      <c r="A347" t="inlineStr">
        <is>
          <t>Copper: country columns vs Total per year — does NOT reconcile: 1935: parts 4,464 vs Total 4,463 (diff -1); 1939: parts 9,905 vs Total 9,904 (diff -1).</t>
        </is>
      </c>
    </row>
    <row r="348">
      <c r="A348" t="inlineStr">
        <is>
          <t>Iron &amp; Steel: country columns vs Total per year — parts EXCEED printed Total: 1934: parts 57,444 vs Total 52,227 (diff -5,217). Parts fall short of Total (no 'Others' column; remainder = unlisted countries, not reconcilable) in 1935 (+234), 1936 (+406), 1937 (+4,538), 1938 (+8,087), 1939 (+2,001).</t>
        </is>
      </c>
    </row>
    <row r="349">
      <c r="A349" t="inlineStr">
        <is>
          <t>All kinds of Machineries: country columns vs Total per year — Parts fall short of Total (no 'Others' column; remainder = unlisted countries, not reconcilable) in 1934 (+1,249), 1935 (+817), 1936 (+2,787), 1937 (+2,772), 1938 (+5,331), 1939 (+11,205).</t>
        </is>
      </c>
    </row>
    <row r="350">
      <c r="A350" t="inlineStr">
        <is>
          <t>All kinds of Machineries — Of which 1939: column sums of listed items 99,368, 83,898, 351, 2,493, 1,704, 25 vs printed 'Total incl. others' 102,606, 86,712, 472, 2,493, 1,699, 25 — does NOT reconcile (the incl.-others total also covers items not listed).</t>
        </is>
      </c>
    </row>
    <row r="351">
      <c r="A351" t="inlineStr">
        <is>
          <t>Metalwares: country columns vs Total per year — does NOT reconcile: 1938: parts 47,005 vs Total 47,451 (diff +446).</t>
        </is>
      </c>
    </row>
    <row r="352">
      <c r="A352" t="inlineStr">
        <is>
          <t>Metalwares — Of which 1939: column sums of listed items 80,973, 77,879, 343, 786, 0, 1,970 vs printed 'Total' 80,973, 77,879, 325, 786, —, 1,983 — does NOT reconcile.</t>
        </is>
      </c>
    </row>
    <row r="353">
      <c r="A353" t="inlineStr">
        <is>
          <t>Toys &amp; Games: country columns vs Total per year — does NOT reconcile: 1937: parts 1,353 vs Total 1,343 (diff -10); 1939: parts 1,903 vs Total 1,904 (diff +1).</t>
        </is>
      </c>
    </row>
  </sheetData>
  <hyperlinks>
    <hyperlink xmlns:r="http://schemas.openxmlformats.org/officeDocument/2006/relationships" ref="A4" r:id="rId1"/>
  </hyperlink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Military Educational Organs</t>
        </is>
      </c>
    </row>
    <row r="2">
      <c r="A2" t="inlineStr">
        <is>
          <t>Peace Preservation · printed pp. 338</t>
        </is>
      </c>
    </row>
    <row r="3">
      <c r="A3" t="inlineStr">
        <is>
          <t>(1940)</t>
        </is>
      </c>
    </row>
    <row r="4">
      <c r="A4" s="3" t="inlineStr">
        <is>
          <t>← Contents</t>
        </is>
      </c>
    </row>
    <row r="6">
      <c r="A6" s="5" t="inlineStr">
        <is>
          <t>Organ</t>
        </is>
      </c>
      <c r="B6" s="5" t="inlineStr">
        <is>
          <t>Established</t>
        </is>
      </c>
      <c r="C6" s="5" t="inlineStr">
        <is>
          <t>Location</t>
        </is>
      </c>
    </row>
    <row r="7">
      <c r="A7" t="inlineStr">
        <is>
          <t>Gendamerie Training Institute</t>
        </is>
      </c>
      <c r="B7" t="inlineStr">
        <is>
          <t>July, 1936</t>
        </is>
      </c>
      <c r="C7" t="inlineStr">
        <is>
          <t>Hsinging</t>
        </is>
      </c>
    </row>
    <row r="8">
      <c r="A8" t="inlineStr">
        <is>
          <t>Military Academy</t>
        </is>
      </c>
      <c r="B8" t="inlineStr">
        <is>
          <t>April, 1939</t>
        </is>
      </c>
      <c r="C8" t="inlineStr">
        <is>
          <t>Hsinking</t>
        </is>
      </c>
    </row>
    <row r="9">
      <c r="A9" t="inlineStr">
        <is>
          <t>Military Hsingan School</t>
        </is>
      </c>
      <c r="B9" t="inlineStr">
        <is>
          <t>July, 1934</t>
        </is>
      </c>
      <c r="C9" t="inlineStr">
        <is>
          <t>Wangyehmiao</t>
        </is>
      </c>
    </row>
    <row r="10">
      <c r="A10" t="inlineStr">
        <is>
          <t>Military Veterinary School</t>
        </is>
      </c>
      <c r="B10" t="inlineStr">
        <is>
          <t>May, 1935</t>
        </is>
      </c>
      <c r="C10" t="inlineStr">
        <is>
          <t>Harbin</t>
        </is>
      </c>
    </row>
    <row r="11">
      <c r="A11" t="inlineStr">
        <is>
          <t>Military Ordnance School</t>
        </is>
      </c>
      <c r="B11" t="inlineStr">
        <is>
          <t>March, 1938</t>
        </is>
      </c>
      <c r="C11" t="inlineStr">
        <is>
          <t>Hsinking</t>
        </is>
      </c>
    </row>
    <row r="12">
      <c r="A12" t="inlineStr">
        <is>
          <t>Military Aviation School</t>
        </is>
      </c>
      <c r="B12" t="inlineStr">
        <is>
          <t>April, 1938</t>
        </is>
      </c>
      <c r="C12" t="inlineStr">
        <is>
          <t>Mukden</t>
        </is>
      </c>
    </row>
    <row r="14">
      <c r="A14" s="2" t="inlineStr">
        <is>
          <t>Transcriber's notes</t>
        </is>
      </c>
    </row>
    <row r="15">
      <c r="A15" t="inlineStr">
        <is>
          <t>'Gendamerie' and 'Hsinging' transcribed as printed (sic).</t>
        </is>
      </c>
    </row>
  </sheetData>
  <hyperlinks>
    <hyperlink xmlns:r="http://schemas.openxmlformats.org/officeDocument/2006/relationships" ref="A4" r:id="rId1"/>
  </hyperlink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Location of Army Headquarters</t>
        </is>
      </c>
    </row>
    <row r="2">
      <c r="A2" t="inlineStr">
        <is>
          <t>Peace Preservation · printed pp. 338</t>
        </is>
      </c>
    </row>
    <row r="3">
      <c r="A3" s="3" t="inlineStr">
        <is>
          <t>← Contents</t>
        </is>
      </c>
    </row>
    <row r="5">
      <c r="A5" s="5" t="inlineStr">
        <is>
          <t>Headquarters</t>
        </is>
      </c>
      <c r="B5" s="5" t="inlineStr">
        <is>
          <t>Location</t>
        </is>
      </c>
    </row>
    <row r="6">
      <c r="A6" t="inlineStr">
        <is>
          <t>The First Army Headquarters</t>
        </is>
      </c>
      <c r="B6" t="inlineStr">
        <is>
          <t>Mukden</t>
        </is>
      </c>
    </row>
    <row r="7">
      <c r="A7" t="inlineStr">
        <is>
          <t>The Second „ „</t>
        </is>
      </c>
      <c r="B7" t="inlineStr">
        <is>
          <t>Kirin</t>
        </is>
      </c>
    </row>
    <row r="8">
      <c r="A8" t="inlineStr">
        <is>
          <t>The Third „ „</t>
        </is>
      </c>
      <c r="B8" t="inlineStr">
        <is>
          <t>Tsitsihar</t>
        </is>
      </c>
    </row>
    <row r="9">
      <c r="A9" t="inlineStr">
        <is>
          <t>The Fourth „ „</t>
        </is>
      </c>
      <c r="B9" t="inlineStr">
        <is>
          <t>Harbin</t>
        </is>
      </c>
    </row>
    <row r="10">
      <c r="A10" t="inlineStr">
        <is>
          <t>The Fifth „ „</t>
        </is>
      </c>
      <c r="B10" t="inlineStr">
        <is>
          <t>Jehol</t>
        </is>
      </c>
    </row>
    <row r="11">
      <c r="A11" t="inlineStr">
        <is>
          <t>The Sixth „ „</t>
        </is>
      </c>
      <c r="B11" t="inlineStr">
        <is>
          <t>Mutankiang</t>
        </is>
      </c>
    </row>
    <row r="12">
      <c r="A12" t="inlineStr">
        <is>
          <t>The Seventh „ „</t>
        </is>
      </c>
      <c r="B12" t="inlineStr">
        <is>
          <t>Chiamussu</t>
        </is>
      </c>
    </row>
    <row r="13">
      <c r="A13" t="inlineStr">
        <is>
          <t>The Eighth „ „</t>
        </is>
      </c>
      <c r="B13" t="inlineStr">
        <is>
          <t>Tunghua</t>
        </is>
      </c>
    </row>
    <row r="14">
      <c r="A14" t="inlineStr">
        <is>
          <t>The Ninth „ „</t>
        </is>
      </c>
      <c r="B14" t="inlineStr">
        <is>
          <t>Tungliang</t>
        </is>
      </c>
    </row>
    <row r="15">
      <c r="A15" t="inlineStr">
        <is>
          <t>The Tenth „ „</t>
        </is>
      </c>
      <c r="B15" t="inlineStr">
        <is>
          <t>Hailar</t>
        </is>
      </c>
    </row>
    <row r="16">
      <c r="A16" t="inlineStr">
        <is>
          <t>The River Defense Headquarters</t>
        </is>
      </c>
      <c r="B16" t="inlineStr">
        <is>
          <t>Harbin</t>
        </is>
      </c>
    </row>
    <row r="18">
      <c r="A18" s="2" t="inlineStr">
        <is>
          <t>Transcriber's notes</t>
        </is>
      </c>
    </row>
    <row r="19">
      <c r="A19" t="inlineStr">
        <is>
          <t>Ditto marks („ „ = 'Army Headquarters') kept as printed.</t>
        </is>
      </c>
    </row>
  </sheetData>
  <hyperlinks>
    <hyperlink xmlns:r="http://schemas.openxmlformats.org/officeDocument/2006/relationships" ref="A3" r:id="rId1"/>
  </hyperlink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B4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Results of Bandit Suppression</t>
        </is>
      </c>
    </row>
    <row r="2">
      <c r="A2" t="inlineStr">
        <is>
          <t>Peace Preservation · printed pp. 340</t>
        </is>
      </c>
    </row>
    <row r="3">
      <c r="A3" t="inlineStr">
        <is>
          <t>(1940)</t>
        </is>
      </c>
    </row>
    <row r="4">
      <c r="A4" s="3" t="inlineStr">
        <is>
          <t>← Contents</t>
        </is>
      </c>
    </row>
    <row r="6">
      <c r="A6" s="2" t="inlineStr">
        <is>
          <t>(A) By National Army</t>
        </is>
      </c>
    </row>
    <row r="7">
      <c r="A7" s="5" t="inlineStr">
        <is>
          <t>Item</t>
        </is>
      </c>
      <c r="B7" s="5" t="inlineStr">
        <is>
          <t>Number</t>
        </is>
      </c>
    </row>
    <row r="8">
      <c r="A8" t="inlineStr">
        <is>
          <t>No. of Engagement</t>
        </is>
      </c>
      <c r="B8" s="9" t="n">
        <v>302</v>
      </c>
    </row>
    <row r="9">
      <c r="A9" t="inlineStr">
        <is>
          <t>Bandits Involved</t>
        </is>
      </c>
      <c r="B9" s="6" t="n">
        <v>21714</v>
      </c>
    </row>
    <row r="10">
      <c r="A10" t="inlineStr">
        <is>
          <t>Enemy's Loss:</t>
        </is>
      </c>
      <c r="B10" t="inlineStr"/>
    </row>
    <row r="11">
      <c r="A11" t="inlineStr">
        <is>
          <t>Killed</t>
        </is>
      </c>
      <c r="B11" s="6" t="n">
        <v>1416</v>
      </c>
    </row>
    <row r="12">
      <c r="A12" t="inlineStr">
        <is>
          <t>Wounded</t>
        </is>
      </c>
      <c r="B12" s="9" t="n">
        <v>368</v>
      </c>
    </row>
    <row r="13">
      <c r="A13" t="inlineStr">
        <is>
          <t>Captured or Surrendered</t>
        </is>
      </c>
      <c r="B13" s="9" t="n">
        <v>148</v>
      </c>
    </row>
    <row r="14">
      <c r="A14" t="inlineStr">
        <is>
          <t>Enemy's Arms Seized:</t>
        </is>
      </c>
      <c r="B14" t="inlineStr"/>
    </row>
    <row r="15">
      <c r="A15" t="inlineStr">
        <is>
          <t>Pistols</t>
        </is>
      </c>
      <c r="B15" s="9" t="n">
        <v>123</v>
      </c>
    </row>
    <row r="16">
      <c r="A16" t="inlineStr">
        <is>
          <t>Rifle Bullets</t>
        </is>
      </c>
      <c r="B16" s="6" t="n">
        <v>15781</v>
      </c>
    </row>
    <row r="17">
      <c r="A17" t="inlineStr">
        <is>
          <t>Pistol Bullets</t>
        </is>
      </c>
      <c r="B17" s="6" t="n">
        <v>1021</v>
      </c>
    </row>
    <row r="18">
      <c r="A18" t="inlineStr">
        <is>
          <t>Rifles</t>
        </is>
      </c>
      <c r="B18" s="6" t="n">
        <v>1316</v>
      </c>
    </row>
    <row r="19">
      <c r="A19" t="inlineStr">
        <is>
          <t>Light Machine Gun</t>
        </is>
      </c>
      <c r="B19" s="9" t="n">
        <v>1</v>
      </c>
    </row>
    <row r="20">
      <c r="A20" t="inlineStr">
        <is>
          <t>Automatic Rifle</t>
        </is>
      </c>
      <c r="B20" s="9" t="n">
        <v>1</v>
      </c>
    </row>
    <row r="21">
      <c r="A21" t="inlineStr">
        <is>
          <t>Cannon</t>
        </is>
      </c>
      <c r="B21" s="9" t="n">
        <v>1</v>
      </c>
    </row>
    <row r="22">
      <c r="A22" t="inlineStr">
        <is>
          <t>Trench Mortar</t>
        </is>
      </c>
      <c r="B22" s="9" t="n">
        <v>1</v>
      </c>
    </row>
    <row r="23">
      <c r="A23" t="inlineStr">
        <is>
          <t>Hand Grenade</t>
        </is>
      </c>
      <c r="B23" s="9" t="n">
        <v>427</v>
      </c>
    </row>
    <row r="24">
      <c r="A24" t="inlineStr">
        <is>
          <t>Horses</t>
        </is>
      </c>
      <c r="B24" s="9" t="n">
        <v>156</v>
      </c>
    </row>
    <row r="25">
      <c r="A25" t="inlineStr">
        <is>
          <t>Wireless Apparatus</t>
        </is>
      </c>
      <c r="B25" s="9" t="n">
        <v>5</v>
      </c>
    </row>
    <row r="26">
      <c r="A26" t="inlineStr">
        <is>
          <t>Shelters demolished</t>
        </is>
      </c>
      <c r="B26" s="9" t="n">
        <v>190</v>
      </c>
    </row>
    <row r="27">
      <c r="A27" t="inlineStr">
        <is>
          <t>Army's Loss:</t>
        </is>
      </c>
      <c r="B27" t="inlineStr"/>
    </row>
    <row r="28">
      <c r="A28" t="inlineStr">
        <is>
          <t>Officers killed</t>
        </is>
      </c>
      <c r="B28" s="9" t="n">
        <v>6</v>
      </c>
    </row>
    <row r="29">
      <c r="A29" t="inlineStr">
        <is>
          <t>Soldiers killed</t>
        </is>
      </c>
      <c r="B29" s="9" t="n">
        <v>46</v>
      </c>
    </row>
    <row r="30">
      <c r="A30" t="inlineStr">
        <is>
          <t>Officers wounded</t>
        </is>
      </c>
      <c r="B30" s="9" t="n">
        <v>7</v>
      </c>
    </row>
    <row r="31">
      <c r="A31" t="inlineStr">
        <is>
          <t>Soldiers wounded</t>
        </is>
      </c>
      <c r="B31" s="9" t="n">
        <v>156</v>
      </c>
    </row>
    <row r="33">
      <c r="A33" s="2" t="inlineStr">
        <is>
          <t>(B) By Police Organ</t>
        </is>
      </c>
    </row>
    <row r="34">
      <c r="A34" s="5" t="inlineStr">
        <is>
          <t>Item</t>
        </is>
      </c>
      <c r="B34" s="5" t="inlineStr">
        <is>
          <t>Number</t>
        </is>
      </c>
    </row>
    <row r="35">
      <c r="A35" t="inlineStr">
        <is>
          <t>Bandit Chiefs killed</t>
        </is>
      </c>
      <c r="B35" s="9" t="n">
        <v>27</v>
      </c>
    </row>
    <row r="36">
      <c r="A36" t="inlineStr">
        <is>
          <t>„ „ captured</t>
        </is>
      </c>
      <c r="B36" s="9" t="n">
        <v>4</v>
      </c>
    </row>
    <row r="37">
      <c r="A37" t="inlineStr">
        <is>
          <t>„ „ surrendered</t>
        </is>
      </c>
      <c r="B37" s="9" t="n">
        <v>2</v>
      </c>
    </row>
    <row r="38">
      <c r="A38" t="inlineStr">
        <is>
          <t>Bandits captured</t>
        </is>
      </c>
      <c r="B38" s="9" t="n">
        <v>457</v>
      </c>
    </row>
    <row r="39">
      <c r="A39" t="inlineStr">
        <is>
          <t>„ surrounded</t>
        </is>
      </c>
      <c r="B39" s="9" t="n">
        <v>980</v>
      </c>
    </row>
    <row r="40">
      <c r="A40" t="inlineStr">
        <is>
          <t>Light Machineguns captured</t>
        </is>
      </c>
      <c r="B40" s="9" t="n">
        <v>29</v>
      </c>
    </row>
    <row r="41">
      <c r="A41" t="inlineStr">
        <is>
          <t>Rifles captured</t>
        </is>
      </c>
      <c r="B41" s="6" t="n">
        <v>2700</v>
      </c>
    </row>
    <row r="42">
      <c r="A42" t="inlineStr">
        <is>
          <t>Pistols captured</t>
        </is>
      </c>
      <c r="B42" s="9" t="n">
        <v>218</v>
      </c>
    </row>
    <row r="44">
      <c r="A44" s="2" t="inlineStr">
        <is>
          <t>Transcriber's notes</t>
        </is>
      </c>
    </row>
    <row r="45">
      <c r="A45" t="inlineStr">
        <is>
          <t>Printed in two blocks side by side; part (A) continues at top of right block (Horses ... Soldiers wounded). Items under 'Enemy's Loss:', 'Enemy's Arms Seized:', 'Army's Loss:' are indented sub-items in the original. 'Horses', 'Wireless Apparatus', 'Shelters demolished' are indented as continuation of 'Enemy's Arms Seized:'.</t>
        </is>
      </c>
    </row>
    <row r="46">
      <c r="A46" t="inlineStr">
        <is>
          <t>Ditto marks kept as printed. No totals printed.</t>
        </is>
      </c>
    </row>
  </sheetData>
  <hyperlinks>
    <hyperlink xmlns:r="http://schemas.openxmlformats.org/officeDocument/2006/relationships" ref="A4" r:id="rId1"/>
  </hyperlink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Term of Posts</t>
        </is>
      </c>
    </row>
    <row r="2">
      <c r="A2" t="inlineStr">
        <is>
          <t>Peace Preservation · printed pp. 342</t>
        </is>
      </c>
    </row>
    <row r="3">
      <c r="A3" s="3" t="inlineStr">
        <is>
          <t>← Contents</t>
        </is>
      </c>
    </row>
    <row r="5">
      <c r="A5" s="2" t="inlineStr">
        <is>
          <t>(A) Officers</t>
        </is>
      </c>
    </row>
    <row r="6">
      <c r="A6" s="5" t="inlineStr">
        <is>
          <t>Ranks</t>
        </is>
      </c>
      <c r="B6" s="5" t="inlineStr">
        <is>
          <t>Period</t>
        </is>
      </c>
    </row>
    <row r="7">
      <c r="A7" t="inlineStr">
        <is>
          <t>Lieut.-General</t>
        </is>
      </c>
      <c r="B7" t="inlineStr">
        <is>
          <t>3 years</t>
        </is>
      </c>
    </row>
    <row r="8">
      <c r="A8" t="inlineStr">
        <is>
          <t>Major-General</t>
        </is>
      </c>
      <c r="B8" t="inlineStr">
        <is>
          <t>3 „</t>
        </is>
      </c>
    </row>
    <row r="9">
      <c r="A9" t="inlineStr">
        <is>
          <t>Colonel</t>
        </is>
      </c>
      <c r="B9" t="inlineStr">
        <is>
          <t>3 „</t>
        </is>
      </c>
    </row>
    <row r="10">
      <c r="A10" t="inlineStr">
        <is>
          <t>Lieut.-Colonel</t>
        </is>
      </c>
      <c r="B10" t="inlineStr">
        <is>
          <t>2 „</t>
        </is>
      </c>
    </row>
    <row r="11">
      <c r="A11" t="inlineStr">
        <is>
          <t>Major</t>
        </is>
      </c>
      <c r="B11" t="inlineStr">
        <is>
          <t>2 „</t>
        </is>
      </c>
    </row>
    <row r="12">
      <c r="A12" t="inlineStr">
        <is>
          <t>Captain</t>
        </is>
      </c>
      <c r="B12" t="inlineStr">
        <is>
          <t>3 „</t>
        </is>
      </c>
    </row>
    <row r="13">
      <c r="A13" t="inlineStr">
        <is>
          <t>Lieutenant</t>
        </is>
      </c>
      <c r="B13" t="inlineStr">
        <is>
          <t>2 years</t>
        </is>
      </c>
    </row>
    <row r="14">
      <c r="A14" t="inlineStr">
        <is>
          <t>Sub-Lieutenant</t>
        </is>
      </c>
      <c r="B14" t="inlineStr">
        <is>
          <t>1 „</t>
        </is>
      </c>
    </row>
    <row r="16">
      <c r="A16" s="2" t="inlineStr">
        <is>
          <t>(B) Non-commissioned Officers</t>
        </is>
      </c>
    </row>
    <row r="17">
      <c r="A17" s="5" t="inlineStr">
        <is>
          <t>Ranks</t>
        </is>
      </c>
      <c r="B17" s="5" t="inlineStr">
        <is>
          <t>Period</t>
        </is>
      </c>
    </row>
    <row r="18">
      <c r="A18" t="inlineStr">
        <is>
          <t>Sergeant-major</t>
        </is>
      </c>
      <c r="B18" t="inlineStr">
        <is>
          <t>3 years</t>
        </is>
      </c>
    </row>
    <row r="19">
      <c r="A19" t="inlineStr">
        <is>
          <t>Sergeant</t>
        </is>
      </c>
      <c r="B19" t="inlineStr">
        <is>
          <t>2 „</t>
        </is>
      </c>
    </row>
    <row r="20">
      <c r="A20" t="inlineStr">
        <is>
          <t>Corporal</t>
        </is>
      </c>
      <c r="B20" t="inlineStr">
        <is>
          <t>1 „</t>
        </is>
      </c>
    </row>
    <row r="22">
      <c r="A22" s="2" t="inlineStr">
        <is>
          <t>Transcriber's notes</t>
        </is>
      </c>
    </row>
    <row r="23">
      <c r="A23" t="inlineStr">
        <is>
          <t>Part (A) continues at the top of the right block under a repeated 'Ranks:' / 'Period' header (Lieutenant, Sub-Lieutenant). Ditto marks kept as printed.</t>
        </is>
      </c>
    </row>
  </sheetData>
  <hyperlinks>
    <hyperlink xmlns:r="http://schemas.openxmlformats.org/officeDocument/2006/relationships" ref="A3" r:id="rId1"/>
  </hyperlink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Number of Police Stations and Officers</t>
        </is>
      </c>
    </row>
    <row r="2">
      <c r="A2" t="inlineStr">
        <is>
          <t>Peace Preservation · printed pp. 343</t>
        </is>
      </c>
    </row>
    <row r="3">
      <c r="A3" t="inlineStr">
        <is>
          <t>(Sept., 1937)</t>
        </is>
      </c>
    </row>
    <row r="4">
      <c r="A4" s="3" t="inlineStr">
        <is>
          <t>← Contents</t>
        </is>
      </c>
    </row>
    <row r="6">
      <c r="A6" s="5" t="inlineStr">
        <is>
          <t>Hsien</t>
        </is>
      </c>
      <c r="B6" s="5" t="inlineStr">
        <is>
          <t>Police Station</t>
        </is>
      </c>
      <c r="C6" s="5" t="inlineStr">
        <is>
          <t>Branch Office</t>
        </is>
      </c>
      <c r="D6" s="5" t="inlineStr">
        <is>
          <t>Officers — Japanese</t>
        </is>
      </c>
      <c r="E6" s="5" t="inlineStr">
        <is>
          <t>Officers — Manchoukuoan</t>
        </is>
      </c>
      <c r="F6" s="5" t="inlineStr">
        <is>
          <t>Officers — Total</t>
        </is>
      </c>
    </row>
    <row r="7">
      <c r="A7" t="inlineStr">
        <is>
          <t>Kirin</t>
        </is>
      </c>
      <c r="B7" s="9" t="n">
        <v>111</v>
      </c>
      <c r="C7" s="9" t="n">
        <v>341</v>
      </c>
      <c r="D7" s="9" t="n">
        <v>480</v>
      </c>
      <c r="E7" s="6" t="n">
        <v>12196</v>
      </c>
      <c r="F7" s="6" t="n">
        <v>12676</v>
      </c>
    </row>
    <row r="8">
      <c r="A8" t="inlineStr">
        <is>
          <t>Lungkiang</t>
        </is>
      </c>
      <c r="B8" s="9" t="n">
        <v>132</v>
      </c>
      <c r="C8" s="9" t="n">
        <v>342</v>
      </c>
      <c r="D8" s="9" t="n">
        <v>241</v>
      </c>
      <c r="E8" s="6" t="n">
        <v>7275</v>
      </c>
      <c r="F8" s="6" t="n">
        <v>7516</v>
      </c>
    </row>
    <row r="9">
      <c r="A9" t="inlineStr">
        <is>
          <t>Heio</t>
        </is>
      </c>
      <c r="B9" s="9" t="n">
        <v>17</v>
      </c>
      <c r="C9" s="9" t="n">
        <v>45</v>
      </c>
      <c r="D9" s="9" t="n">
        <v>165</v>
      </c>
      <c r="E9" s="9" t="n">
        <v>708</v>
      </c>
      <c r="F9" s="9" t="n">
        <v>873</v>
      </c>
    </row>
    <row r="10">
      <c r="A10" t="inlineStr">
        <is>
          <t>Sankiang</t>
        </is>
      </c>
      <c r="B10" s="9" t="n">
        <v>80</v>
      </c>
      <c r="C10" s="9" t="n">
        <v>93</v>
      </c>
      <c r="D10" s="9" t="n">
        <v>285</v>
      </c>
      <c r="E10" s="6" t="n">
        <v>6091</v>
      </c>
      <c r="F10" s="6" t="n">
        <v>6376</v>
      </c>
    </row>
    <row r="11">
      <c r="A11" t="inlineStr">
        <is>
          <t>Pinkiang</t>
        </is>
      </c>
      <c r="B11" s="9" t="n">
        <v>122</v>
      </c>
      <c r="C11" s="9" t="n">
        <v>375</v>
      </c>
      <c r="D11" s="9" t="n">
        <v>385</v>
      </c>
      <c r="E11" s="6" t="n">
        <v>12505</v>
      </c>
      <c r="F11" s="6" t="n">
        <v>12890</v>
      </c>
    </row>
    <row r="12">
      <c r="A12" t="inlineStr">
        <is>
          <t>Chientao</t>
        </is>
      </c>
      <c r="B12" s="9" t="n">
        <v>33</v>
      </c>
      <c r="C12" s="9" t="n">
        <v>176</v>
      </c>
      <c r="D12" s="9" t="n">
        <v>232</v>
      </c>
      <c r="E12" s="6" t="n">
        <v>2622</v>
      </c>
      <c r="F12" s="6" t="n">
        <v>2854</v>
      </c>
    </row>
    <row r="13">
      <c r="A13" t="inlineStr">
        <is>
          <t>Antung</t>
        </is>
      </c>
      <c r="B13" s="9" t="n">
        <v>49</v>
      </c>
      <c r="C13" s="9" t="n">
        <v>154</v>
      </c>
      <c r="D13" s="9" t="n">
        <v>139</v>
      </c>
      <c r="E13" s="6" t="n">
        <v>4298</v>
      </c>
      <c r="F13" s="6" t="n">
        <v>4437</v>
      </c>
    </row>
    <row r="14">
      <c r="A14" t="inlineStr">
        <is>
          <t>Fengtien</t>
        </is>
      </c>
      <c r="B14" s="9" t="n">
        <v>193</v>
      </c>
      <c r="C14" s="6" t="n">
        <v>1135</v>
      </c>
      <c r="D14" s="9" t="n">
        <v>564</v>
      </c>
      <c r="E14" s="6" t="n">
        <v>17180</v>
      </c>
      <c r="F14" s="6" t="n">
        <v>17744</v>
      </c>
    </row>
    <row r="15">
      <c r="A15" t="inlineStr">
        <is>
          <t>Chinchow</t>
        </is>
      </c>
      <c r="B15" s="9" t="n">
        <v>94</v>
      </c>
      <c r="C15" s="9" t="n">
        <v>341</v>
      </c>
      <c r="D15" s="9" t="n">
        <v>277</v>
      </c>
      <c r="E15" s="6" t="n">
        <v>6475</v>
      </c>
      <c r="F15" s="6" t="n">
        <v>6752</v>
      </c>
    </row>
    <row r="16">
      <c r="A16" t="inlineStr">
        <is>
          <t>Jehol</t>
        </is>
      </c>
      <c r="B16" s="9" t="n">
        <v>114</v>
      </c>
      <c r="C16" s="9" t="n">
        <v>291</v>
      </c>
      <c r="D16" s="9" t="n">
        <v>381</v>
      </c>
      <c r="E16" s="6" t="n">
        <v>5357</v>
      </c>
      <c r="F16" s="6" t="n">
        <v>5738</v>
      </c>
    </row>
    <row r="17">
      <c r="A17" t="inlineStr">
        <is>
          <t>Mutankiang</t>
        </is>
      </c>
      <c r="B17" s="9" t="n">
        <v>41</v>
      </c>
      <c r="C17" s="9" t="n">
        <v>45</v>
      </c>
      <c r="D17" s="9" t="n">
        <v>299</v>
      </c>
      <c r="E17" s="6" t="n">
        <v>7286</v>
      </c>
      <c r="F17" s="6" t="n">
        <v>7585</v>
      </c>
    </row>
    <row r="18">
      <c r="A18" t="inlineStr">
        <is>
          <t>Tunghua</t>
        </is>
      </c>
      <c r="B18" s="9" t="n">
        <v>57</v>
      </c>
      <c r="C18" s="9" t="n">
        <v>160</v>
      </c>
      <c r="D18" s="9" t="n">
        <v>283</v>
      </c>
      <c r="E18" s="6" t="n">
        <v>5409</v>
      </c>
      <c r="F18" s="6" t="n">
        <v>5692</v>
      </c>
    </row>
    <row r="19">
      <c r="A19" t="inlineStr">
        <is>
          <t>Hsingan, East</t>
        </is>
      </c>
      <c r="B19" s="9" t="n">
        <v>5</v>
      </c>
      <c r="C19" t="inlineStr">
        <is>
          <t>—</t>
        </is>
      </c>
      <c r="D19" s="9" t="n">
        <v>30</v>
      </c>
      <c r="E19" s="9" t="n">
        <v>197</v>
      </c>
      <c r="F19" s="9" t="n">
        <v>227</v>
      </c>
    </row>
    <row r="20">
      <c r="A20" t="inlineStr">
        <is>
          <t>„ West</t>
        </is>
      </c>
      <c r="B20" s="9" t="n">
        <v>24</v>
      </c>
      <c r="C20" t="inlineStr">
        <is>
          <t>—</t>
        </is>
      </c>
      <c r="D20" s="9" t="n">
        <v>37</v>
      </c>
      <c r="E20" s="6" t="n">
        <v>1305</v>
      </c>
      <c r="F20" s="6" t="n">
        <v>1342</v>
      </c>
    </row>
    <row r="21">
      <c r="A21" t="inlineStr">
        <is>
          <t>„ South</t>
        </is>
      </c>
      <c r="B21" s="9" t="n">
        <v>36</v>
      </c>
      <c r="C21" t="inlineStr">
        <is>
          <t>—</t>
        </is>
      </c>
      <c r="D21" s="9" t="n">
        <v>56</v>
      </c>
      <c r="E21" s="6" t="n">
        <v>1845</v>
      </c>
      <c r="F21" s="6" t="n">
        <v>1901</v>
      </c>
    </row>
    <row r="22">
      <c r="A22" t="inlineStr">
        <is>
          <t>„ North</t>
        </is>
      </c>
      <c r="B22" s="9" t="n">
        <v>14</v>
      </c>
      <c r="C22" t="inlineStr">
        <is>
          <t>—</t>
        </is>
      </c>
      <c r="D22" s="9" t="n">
        <v>62</v>
      </c>
      <c r="E22" s="9" t="n">
        <v>241</v>
      </c>
      <c r="F22" s="9" t="n">
        <v>303</v>
      </c>
    </row>
    <row r="23">
      <c r="A23" t="inlineStr">
        <is>
          <t>Total</t>
        </is>
      </c>
      <c r="B23" s="6" t="n">
        <v>1122</v>
      </c>
      <c r="C23" s="6" t="n">
        <v>3493</v>
      </c>
      <c r="D23" s="6" t="n">
        <v>3916</v>
      </c>
      <c r="E23" s="6" t="n">
        <v>90990</v>
      </c>
      <c r="F23" s="6" t="n">
        <v>94906</v>
      </c>
    </row>
    <row r="25">
      <c r="A25" s="2" t="inlineStr">
        <is>
          <t>Transcriber's notes</t>
        </is>
      </c>
    </row>
    <row r="26">
      <c r="A26" t="inlineStr">
        <is>
          <t>Column 'Police Station' total 1,122: parts sum to 1,122 — reconciles</t>
        </is>
      </c>
    </row>
    <row r="27">
      <c r="A27" t="inlineStr">
        <is>
          <t>Column 'Branch Office' total 3,493: parts sum to 3,498 — does NOT reconcile (diff -5)</t>
        </is>
      </c>
    </row>
    <row r="28">
      <c r="A28" t="inlineStr">
        <is>
          <t>Column 'Officers — Japanese' total 3,916: parts sum to 3,916 — reconciles</t>
        </is>
      </c>
    </row>
    <row r="29">
      <c r="A29" t="inlineStr">
        <is>
          <t>Column 'Officers — Manchoukuoan' total 90,990: parts sum to 90,990 — reconciles</t>
        </is>
      </c>
    </row>
    <row r="30">
      <c r="A30" t="inlineStr">
        <is>
          <t>Column 'Officers — Total' total 94,906: parts sum to 94,906 — reconciles</t>
        </is>
      </c>
    </row>
    <row r="31">
      <c r="A31" t="inlineStr">
        <is>
          <t>Row totals (Officers — Japanese+Officers — Manchoukuoan=Officers — Total): all reconcile</t>
        </is>
      </c>
    </row>
    <row r="32">
      <c r="A32" t="inlineStr">
        <is>
          <t>'Heio' as printed (i.e. Heiho).</t>
        </is>
      </c>
    </row>
  </sheetData>
  <hyperlinks>
    <hyperlink xmlns:r="http://schemas.openxmlformats.org/officeDocument/2006/relationships" ref="A4" r:id="rId1"/>
  </hyperlink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Water Police Bureaus</t>
        </is>
      </c>
    </row>
    <row r="2">
      <c r="A2" t="inlineStr">
        <is>
          <t>Peace Preservation · printed pp. 344</t>
        </is>
      </c>
    </row>
    <row r="3">
      <c r="A3" s="3" t="inlineStr">
        <is>
          <t>← Contents</t>
        </is>
      </c>
    </row>
    <row r="5">
      <c r="A5" s="5" t="inlineStr">
        <is>
          <t>Province</t>
        </is>
      </c>
      <c r="B5" s="5" t="inlineStr">
        <is>
          <t>Water Police Bureau</t>
        </is>
      </c>
    </row>
    <row r="6">
      <c r="A6" t="inlineStr">
        <is>
          <t>Fengtien Province</t>
        </is>
      </c>
      <c r="B6" t="inlineStr">
        <is>
          <t>Yalu &amp; Han Rivers Water Police Bureau</t>
        </is>
      </c>
    </row>
    <row r="7">
      <c r="A7" t="inlineStr">
        <is>
          <t>Fengtien Province</t>
        </is>
      </c>
      <c r="B7" t="inlineStr">
        <is>
          <t>Liaoho Water Police Bureau</t>
        </is>
      </c>
    </row>
    <row r="8">
      <c r="A8" t="inlineStr">
        <is>
          <t>Kirin Province</t>
        </is>
      </c>
      <c r="B8" t="inlineStr">
        <is>
          <t>Sungari Upper Water Police Bureau</t>
        </is>
      </c>
    </row>
    <row r="9">
      <c r="A9" t="inlineStr">
        <is>
          <t>Kirin Province</t>
        </is>
      </c>
      <c r="B9" t="inlineStr">
        <is>
          <t>Sungari Lower Water Police Bureau</t>
        </is>
      </c>
    </row>
    <row r="11">
      <c r="A11" s="2" t="inlineStr">
        <is>
          <t>Transcriber's notes</t>
        </is>
      </c>
    </row>
    <row r="12">
      <c r="A12" t="inlineStr">
        <is>
          <t>Unnumbered list; each province brackets two bureaus — province name repeated on each row.</t>
        </is>
      </c>
    </row>
    <row r="13">
      <c r="A13" t="inlineStr">
        <is>
          <t>Top of page 344 ('Fengtien' first letter damaged in photo but legible from context).</t>
        </is>
      </c>
    </row>
  </sheetData>
  <hyperlinks>
    <hyperlink xmlns:r="http://schemas.openxmlformats.org/officeDocument/2006/relationships" ref="A3" r:id="rId1"/>
  </hyperlink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[Recognition of Manchoukuo by the Powers]</t>
        </is>
      </c>
    </row>
    <row r="2">
      <c r="A2" t="inlineStr">
        <is>
          <t>Diplomacy · printed pp. 364</t>
        </is>
      </c>
    </row>
    <row r="3">
      <c r="A3" t="inlineStr">
        <is>
          <t>Section heading: Recognition of Manchoukuo by the Powers. 'De jure recognition of Manchoukuo has been extended by 11 States, and the Holy See, the names of the countries and the date of recognition being as follows:'</t>
        </is>
      </c>
    </row>
    <row r="4">
      <c r="A4" s="3" t="inlineStr">
        <is>
          <t>← Contents</t>
        </is>
      </c>
    </row>
    <row r="6">
      <c r="A6" s="5" t="inlineStr">
        <is>
          <t>Country</t>
        </is>
      </c>
      <c r="B6" s="5" t="inlineStr">
        <is>
          <t>Date of recognition</t>
        </is>
      </c>
    </row>
    <row r="7">
      <c r="A7" t="inlineStr">
        <is>
          <t>Japan</t>
        </is>
      </c>
      <c r="B7" t="inlineStr">
        <is>
          <t>September 15, 1932</t>
        </is>
      </c>
    </row>
    <row r="8">
      <c r="A8" t="inlineStr">
        <is>
          <t>The Holy See</t>
        </is>
      </c>
      <c r="B8" t="inlineStr">
        <is>
          <t>February 20, 1934</t>
        </is>
      </c>
    </row>
    <row r="9">
      <c r="A9" t="inlineStr">
        <is>
          <t>El Salvador</t>
        </is>
      </c>
      <c r="B9" t="inlineStr">
        <is>
          <t>March 3, 1934</t>
        </is>
      </c>
    </row>
    <row r="10">
      <c r="A10" t="inlineStr">
        <is>
          <t>Italy</t>
        </is>
      </c>
      <c r="B10" t="inlineStr">
        <is>
          <t>November 29, 1937</t>
        </is>
      </c>
    </row>
    <row r="11">
      <c r="A11" t="inlineStr">
        <is>
          <t>Spain</t>
        </is>
      </c>
      <c r="B11" t="inlineStr">
        <is>
          <t>December 2, 1937</t>
        </is>
      </c>
    </row>
    <row r="12">
      <c r="A12" t="inlineStr">
        <is>
          <t>Germany</t>
        </is>
      </c>
      <c r="B12" t="inlineStr">
        <is>
          <t>July 18, 1938</t>
        </is>
      </c>
    </row>
    <row r="13">
      <c r="A13" t="inlineStr">
        <is>
          <t>Hungary</t>
        </is>
      </c>
      <c r="B13" t="inlineStr">
        <is>
          <t>January 9, 1939</t>
        </is>
      </c>
    </row>
    <row r="14">
      <c r="A14" t="inlineStr">
        <is>
          <t>Slovakia</t>
        </is>
      </c>
      <c r="B14" t="inlineStr">
        <is>
          <t>June 2, 1939</t>
        </is>
      </c>
    </row>
    <row r="15">
      <c r="A15" t="inlineStr">
        <is>
          <t>China</t>
        </is>
      </c>
      <c r="B15" t="inlineStr">
        <is>
          <t>November 30, 1940</t>
        </is>
      </c>
    </row>
    <row r="16">
      <c r="A16" t="inlineStr">
        <is>
          <t>Roumania</t>
        </is>
      </c>
      <c r="B16" t="inlineStr">
        <is>
          <t>December 1, 1940</t>
        </is>
      </c>
    </row>
    <row r="17">
      <c r="A17" t="inlineStr">
        <is>
          <t>Bulgaria</t>
        </is>
      </c>
      <c r="B17" t="inlineStr">
        <is>
          <t>May 14, 1941</t>
        </is>
      </c>
    </row>
    <row r="18">
      <c r="A18" t="inlineStr">
        <is>
          <t>Finland</t>
        </is>
      </c>
      <c r="B18" t="inlineStr">
        <is>
          <t>July 19, 1941</t>
        </is>
      </c>
    </row>
    <row r="20">
      <c r="A20" s="2" t="inlineStr">
        <is>
          <t>Transcriber's notes</t>
        </is>
      </c>
    </row>
    <row r="21">
      <c r="A21" t="inlineStr">
        <is>
          <t>12 entries = 11 States + the Holy See, consistent with the lead-in text.</t>
        </is>
      </c>
    </row>
    <row r="22">
      <c r="A22" t="inlineStr">
        <is>
          <t>Following prose (not in list): Thailand recognized by Manchoukuo on August 1, 1941 and recognition extended to Croatia the following day.</t>
        </is>
      </c>
    </row>
  </sheetData>
  <hyperlinks>
    <hyperlink xmlns:r="http://schemas.openxmlformats.org/officeDocument/2006/relationships" ref="A4" r:id="rId1"/>
  </hyperlink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[Manchoukuo-German trade accounts under the trade agreements]</t>
        </is>
      </c>
    </row>
    <row r="2">
      <c r="A2" t="inlineStr">
        <is>
          <t>Diplomacy · printed pp. 369</t>
        </is>
      </c>
    </row>
    <row r="3">
      <c r="A3" t="inlineStr">
        <is>
          <t>(In 1,000 yuan)</t>
        </is>
      </c>
    </row>
    <row r="4">
      <c r="A4" s="3" t="inlineStr">
        <is>
          <t>← Contents</t>
        </is>
      </c>
    </row>
    <row r="6">
      <c r="A6" s="5" t="inlineStr">
        <is>
          <t>Year</t>
        </is>
      </c>
      <c r="B6" s="5" t="inlineStr">
        <is>
          <t>German payments</t>
        </is>
      </c>
      <c r="C6" s="5" t="inlineStr">
        <is>
          <t>Manchoukuo payments</t>
        </is>
      </c>
    </row>
    <row r="7">
      <c r="A7" t="inlineStr">
        <is>
          <t>First Year</t>
        </is>
      </c>
      <c r="B7" s="6" t="n">
        <v>63000</v>
      </c>
      <c r="C7" s="6" t="n">
        <v>13000</v>
      </c>
    </row>
    <row r="8">
      <c r="A8" t="inlineStr">
        <is>
          <t>Second Year</t>
        </is>
      </c>
      <c r="B8" s="6" t="n">
        <v>79000</v>
      </c>
      <c r="C8" s="6" t="n">
        <v>37000</v>
      </c>
    </row>
    <row r="9">
      <c r="A9" t="inlineStr">
        <is>
          <t>Third Year</t>
        </is>
      </c>
      <c r="B9" s="6" t="n">
        <v>139000</v>
      </c>
      <c r="C9" s="6" t="n">
        <v>86000</v>
      </c>
    </row>
    <row r="11">
      <c r="A11" s="2" t="inlineStr">
        <is>
          <t>Transcriber's notes</t>
        </is>
      </c>
    </row>
    <row r="12">
      <c r="A12" t="inlineStr">
        <is>
          <t>Small in-text table within the Department of Finance and Commerce statement of May 31, 1939 ('With certain additions and subtractions, trade accounts between the two countries worked out as follows:'). No totals printed.</t>
        </is>
      </c>
    </row>
  </sheetData>
  <hyperlinks>
    <hyperlink xmlns:r="http://schemas.openxmlformats.org/officeDocument/2006/relationships" ref="A4" r:id="rId1"/>
  </hyperlink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Diplomatic and Others Foreign Representatives in Manchoukuo</t>
        </is>
      </c>
    </row>
    <row r="2">
      <c r="A2" t="inlineStr">
        <is>
          <t>Diplomacy · printed pp. 372, 373</t>
        </is>
      </c>
    </row>
    <row r="3">
      <c r="A3" t="inlineStr">
        <is>
          <t>(November, 1941)</t>
        </is>
      </c>
    </row>
    <row r="4">
      <c r="A4" s="3" t="inlineStr">
        <is>
          <t>← Contents</t>
        </is>
      </c>
    </row>
    <row r="6">
      <c r="A6" s="2" t="inlineStr">
        <is>
          <t>Foreign representatives in Manchoukuo</t>
        </is>
      </c>
    </row>
    <row r="7">
      <c r="A7" s="5" t="inlineStr">
        <is>
          <t>Mission</t>
        </is>
      </c>
      <c r="B7" s="5" t="inlineStr">
        <is>
          <t>Post and name</t>
        </is>
      </c>
    </row>
    <row r="8">
      <c r="A8" t="inlineStr">
        <is>
          <t>Japanese Embassy</t>
        </is>
      </c>
      <c r="B8" t="inlineStr">
        <is>
          <t>Ambassador, General Yoshijiro Umezu</t>
        </is>
      </c>
    </row>
    <row r="9">
      <c r="A9" t="inlineStr">
        <is>
          <t>Japanese Embassy</t>
        </is>
      </c>
      <c r="B9" t="inlineStr">
        <is>
          <t>Counsellor, Yoshiyuki Hanawa</t>
        </is>
      </c>
    </row>
    <row r="10">
      <c r="A10" t="inlineStr">
        <is>
          <t>Japanese Embassy</t>
        </is>
      </c>
      <c r="B10" t="inlineStr">
        <is>
          <t>Naval Attache, Rear-Admiral Matsunaga</t>
        </is>
      </c>
    </row>
    <row r="11">
      <c r="A11" t="inlineStr">
        <is>
          <t>Japanese Embassy</t>
        </is>
      </c>
      <c r="B11" t="inlineStr">
        <is>
          <t>Military Attache, H.E. Major-General Hikosaburo Hata</t>
        </is>
      </c>
    </row>
    <row r="12">
      <c r="A12" t="inlineStr">
        <is>
          <t>Japanese Embassy</t>
        </is>
      </c>
      <c r="B12" t="inlineStr">
        <is>
          <t>1st Secretary, Masaomi Yoshitomi</t>
        </is>
      </c>
    </row>
    <row r="13">
      <c r="A13" t="inlineStr">
        <is>
          <t>Japanese Embassy</t>
        </is>
      </c>
      <c r="B13" t="inlineStr">
        <is>
          <t>Assistant Naval Attache, Commander Teketsugu Yamada</t>
        </is>
      </c>
    </row>
    <row r="14">
      <c r="A14" t="inlineStr">
        <is>
          <t>Japanese Embassy</t>
        </is>
      </c>
      <c r="B14" t="inlineStr">
        <is>
          <t>Assistant Military Attache, Major Hayao Nishihara</t>
        </is>
      </c>
    </row>
    <row r="15">
      <c r="A15" t="inlineStr">
        <is>
          <t>Chinese Embassy</t>
        </is>
      </c>
      <c r="B15" t="inlineStr">
        <is>
          <t>Ambassador, Lien Yu</t>
        </is>
      </c>
    </row>
    <row r="16">
      <c r="A16" t="inlineStr">
        <is>
          <t>Chinese Embassy</t>
        </is>
      </c>
      <c r="B16" t="inlineStr">
        <is>
          <t>Counsellor, M. C. Tso</t>
        </is>
      </c>
    </row>
    <row r="17">
      <c r="A17" t="inlineStr">
        <is>
          <t>Chinese Embassy</t>
        </is>
      </c>
      <c r="B17" t="inlineStr">
        <is>
          <t>First Secretary, Lei Yu-hsi</t>
        </is>
      </c>
    </row>
    <row r="18">
      <c r="A18" t="inlineStr">
        <is>
          <t>Chinese Embassy</t>
        </is>
      </c>
      <c r="B18" t="inlineStr">
        <is>
          <t>Second Secretary, Chiang Chih-sun</t>
        </is>
      </c>
    </row>
    <row r="19">
      <c r="A19" t="inlineStr">
        <is>
          <t>German Legation</t>
        </is>
      </c>
      <c r="B19" t="inlineStr">
        <is>
          <t>Envoy Extraordinary and Minister Plenipotentiary Dr. Wilhelm Wagner</t>
        </is>
      </c>
    </row>
    <row r="20">
      <c r="A20" t="inlineStr">
        <is>
          <t>German Legation</t>
        </is>
      </c>
      <c r="B20" t="inlineStr">
        <is>
          <t>Counsellor, Dr. George Kuhlborn</t>
        </is>
      </c>
    </row>
    <row r="21">
      <c r="A21" t="inlineStr">
        <is>
          <t>German Legation</t>
        </is>
      </c>
      <c r="B21" t="inlineStr">
        <is>
          <t>Air Attache, Colonel Hans-Wolfgang von Gronau</t>
        </is>
      </c>
    </row>
    <row r="22">
      <c r="A22" t="inlineStr">
        <is>
          <t>German Legation</t>
        </is>
      </c>
      <c r="B22" t="inlineStr">
        <is>
          <t>Military Attache, Colonel Alfred Kretschmer</t>
        </is>
      </c>
    </row>
    <row r="23">
      <c r="A23" t="inlineStr">
        <is>
          <t>German Legation</t>
        </is>
      </c>
      <c r="B23" t="inlineStr">
        <is>
          <t>Assistant Air Attache, Engineer-Lieutenant-Colonel Wilhelm Nehmiz</t>
        </is>
      </c>
    </row>
    <row r="24">
      <c r="A24" t="inlineStr">
        <is>
          <t>German Legation</t>
        </is>
      </c>
      <c r="B24" t="inlineStr">
        <is>
          <t>Assistant Military Attache, Major Fritz-Julius von Petersdorff</t>
        </is>
      </c>
    </row>
    <row r="25">
      <c r="A25" t="inlineStr">
        <is>
          <t>Italian Legation</t>
        </is>
      </c>
      <c r="B25" t="inlineStr">
        <is>
          <t>Envoy Extraordinary and Minister Plenipotentiary, Com. Luigi Neyrone</t>
        </is>
      </c>
    </row>
    <row r="26">
      <c r="A26" t="inlineStr">
        <is>
          <t>Italian Legation</t>
        </is>
      </c>
      <c r="B26" t="inlineStr">
        <is>
          <t>Military Attache, Lieutenant-Colonel Guido Bertoni</t>
        </is>
      </c>
    </row>
    <row r="27">
      <c r="A27" t="inlineStr">
        <is>
          <t>Italian Legation</t>
        </is>
      </c>
      <c r="B27" t="inlineStr">
        <is>
          <t>Commercial Counsellor, Romolo Angelone</t>
        </is>
      </c>
    </row>
    <row r="28">
      <c r="A28" t="inlineStr">
        <is>
          <t>Italian Legation</t>
        </is>
      </c>
      <c r="B28" t="inlineStr">
        <is>
          <t>Press Attache, Mirko Ardemagni</t>
        </is>
      </c>
    </row>
    <row r="29">
      <c r="A29" t="inlineStr">
        <is>
          <t>The Holy See Representative</t>
        </is>
      </c>
      <c r="B29" t="inlineStr">
        <is>
          <t>Representatives of The Holy See to Manchoukuo, Monsignor Augustin Gaspais</t>
        </is>
      </c>
    </row>
    <row r="30">
      <c r="A30" t="inlineStr">
        <is>
          <t>The Holy See Representative</t>
        </is>
      </c>
      <c r="B30" t="inlineStr">
        <is>
          <t>Counsellor, Reverend Father Eugene Cledomir Joly</t>
        </is>
      </c>
    </row>
    <row r="31">
      <c r="A31" t="inlineStr">
        <is>
          <t>Mongolian Federated Autonomous Government</t>
        </is>
      </c>
      <c r="B31" t="inlineStr">
        <is>
          <t>Representative, En-Ho-Pu-Lin</t>
        </is>
      </c>
    </row>
    <row r="32">
      <c r="A32" t="inlineStr">
        <is>
          <t>Mongolian Federated Autonomous Government</t>
        </is>
      </c>
      <c r="B32" t="inlineStr">
        <is>
          <t>Counsellor, Kensuke Kishikawa</t>
        </is>
      </c>
    </row>
    <row r="33">
      <c r="A33" t="inlineStr">
        <is>
          <t>Roumanian Legation</t>
        </is>
      </c>
      <c r="B33" t="inlineStr">
        <is>
          <t>Minister, General Georges Bagolesco</t>
        </is>
      </c>
    </row>
    <row r="34">
      <c r="A34" t="inlineStr">
        <is>
          <t>Roumanian Legation</t>
        </is>
      </c>
      <c r="B34" t="inlineStr">
        <is>
          <t>Military and Air Attache, Col. Nicholas Radulesco</t>
        </is>
      </c>
    </row>
    <row r="35">
      <c r="A35" t="inlineStr">
        <is>
          <t>Hungarian Legation</t>
        </is>
      </c>
      <c r="B35" t="inlineStr">
        <is>
          <t>Minister, Nicolas de Vegh</t>
        </is>
      </c>
    </row>
    <row r="36">
      <c r="A36" t="inlineStr">
        <is>
          <t>Finnish Legation</t>
        </is>
      </c>
      <c r="B36" t="inlineStr">
        <is>
          <t>Minister, C. G. Idman</t>
        </is>
      </c>
    </row>
    <row r="38">
      <c r="A38" s="2" t="inlineStr">
        <is>
          <t>Manchoukuoan Embassies &amp; Legations Abroad</t>
        </is>
      </c>
    </row>
    <row r="39">
      <c r="A39" s="5" t="inlineStr">
        <is>
          <t>Post</t>
        </is>
      </c>
      <c r="B39" s="5" t="inlineStr">
        <is>
          <t>Envoy</t>
        </is>
      </c>
    </row>
    <row r="40">
      <c r="A40" t="inlineStr">
        <is>
          <t>Tokyo</t>
        </is>
      </c>
      <c r="B40" t="inlineStr">
        <is>
          <t>Ambassador Li Shao-keng</t>
        </is>
      </c>
    </row>
    <row r="41">
      <c r="A41" t="inlineStr">
        <is>
          <t>Nanking</t>
        </is>
      </c>
      <c r="B41" t="inlineStr">
        <is>
          <t>Ambassador Lu Yun-huang</t>
        </is>
      </c>
    </row>
    <row r="42">
      <c r="A42" t="inlineStr">
        <is>
          <t>Berlin</t>
        </is>
      </c>
      <c r="B42" t="inlineStr">
        <is>
          <t>Minister Lu I-wen</t>
        </is>
      </c>
    </row>
    <row r="43">
      <c r="A43" t="inlineStr">
        <is>
          <t>Rome</t>
        </is>
      </c>
      <c r="B43" t="inlineStr">
        <is>
          <t>Lo Cheng-peng</t>
        </is>
      </c>
    </row>
    <row r="44">
      <c r="A44" t="inlineStr">
        <is>
          <t>Madrid</t>
        </is>
      </c>
      <c r="B44" t="inlineStr">
        <is>
          <t>Lo Cheng-peng</t>
        </is>
      </c>
    </row>
    <row r="46">
      <c r="A46" s="2" t="inlineStr">
        <is>
          <t>Transcriber's notes</t>
        </is>
      </c>
    </row>
    <row r="47">
      <c r="A47" t="inlineStr">
        <is>
          <t>Printed as a directory list (mission heading followed by indented 'Post, Name' lines), running from the foot of p. 372 to p. 373; transcribed one line per row with the mission heading repeated. 'Post and name' kept verbatim as printed.</t>
        </is>
      </c>
    </row>
    <row r="48">
      <c r="A48" t="inlineStr">
        <is>
          <t>Title wording 'Diplomatic and Others Foreign Representatives' as printed (sic). 'Teketsugu', 'Cledomir' as printed.</t>
        </is>
      </c>
    </row>
  </sheetData>
  <hyperlinks>
    <hyperlink xmlns:r="http://schemas.openxmlformats.org/officeDocument/2006/relationships" ref="A4" r:id="rId1"/>
  </hyperlink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Localities of Consulate</t>
        </is>
      </c>
    </row>
    <row r="2">
      <c r="A2" t="inlineStr">
        <is>
          <t>Diplomacy · printed pp. 373</t>
        </is>
      </c>
    </row>
    <row r="3">
      <c r="A3" t="inlineStr">
        <is>
          <t>(* Consulate-General: † Honorary Consulate: including countries not recognized by Manchoukuo)</t>
        </is>
      </c>
    </row>
    <row r="4">
      <c r="A4" s="3" t="inlineStr">
        <is>
          <t>← Contents</t>
        </is>
      </c>
    </row>
    <row r="6">
      <c r="A6" s="5" t="inlineStr">
        <is>
          <t>Country</t>
        </is>
      </c>
      <c r="B6" s="5" t="inlineStr">
        <is>
          <t>Localities</t>
        </is>
      </c>
    </row>
    <row r="7">
      <c r="A7" t="inlineStr">
        <is>
          <t>Japan</t>
        </is>
      </c>
      <c r="B7" t="inlineStr">
        <is>
          <t>*Hsinking, *Harbin, Manchouli, Mutankiang</t>
        </is>
      </c>
    </row>
    <row r="8">
      <c r="A8" t="inlineStr">
        <is>
          <t>England</t>
        </is>
      </c>
      <c r="B8" t="inlineStr">
        <is>
          <t>*Mukden, *Harbin, Dairen</t>
        </is>
      </c>
    </row>
    <row r="9">
      <c r="A9" t="inlineStr">
        <is>
          <t>U.S.A.</t>
        </is>
      </c>
      <c r="B9" t="inlineStr">
        <is>
          <t>*Mukden, *Harbin, Dairen</t>
        </is>
      </c>
    </row>
    <row r="10">
      <c r="A10" t="inlineStr">
        <is>
          <t>France</t>
        </is>
      </c>
      <c r="B10" t="inlineStr">
        <is>
          <t>Mukden, Harbin, †Dairen</t>
        </is>
      </c>
    </row>
    <row r="11">
      <c r="A11" t="inlineStr">
        <is>
          <t>Germany</t>
        </is>
      </c>
      <c r="B11" t="inlineStr">
        <is>
          <t>*Harbin, Mukden, Manchouli, *Dairen</t>
        </is>
      </c>
    </row>
    <row r="12">
      <c r="A12" t="inlineStr">
        <is>
          <t>U.S.S.R.</t>
        </is>
      </c>
      <c r="B12" t="inlineStr">
        <is>
          <t>*Harbin, Manchouli, Dairen</t>
        </is>
      </c>
    </row>
    <row r="13">
      <c r="A13" t="inlineStr">
        <is>
          <t>Italy</t>
        </is>
      </c>
      <c r="B13" t="inlineStr">
        <is>
          <t>Harbin, †Dairen</t>
        </is>
      </c>
    </row>
    <row r="14">
      <c r="A14" t="inlineStr">
        <is>
          <t>Holland</t>
        </is>
      </c>
      <c r="B14" t="inlineStr">
        <is>
          <t>Harbin, Yingkow, †Dairen</t>
        </is>
      </c>
    </row>
    <row r="15">
      <c r="A15" t="inlineStr">
        <is>
          <t>Latovia</t>
        </is>
      </c>
      <c r="B15" t="inlineStr">
        <is>
          <t>†Harbin</t>
        </is>
      </c>
    </row>
    <row r="16">
      <c r="A16" t="inlineStr">
        <is>
          <t>Estonia</t>
        </is>
      </c>
      <c r="B16" t="inlineStr">
        <is>
          <t>†Harbin, †Dairen</t>
        </is>
      </c>
    </row>
    <row r="17">
      <c r="A17" t="inlineStr">
        <is>
          <t>Belgium</t>
        </is>
      </c>
      <c r="B17" t="inlineStr">
        <is>
          <t>†Harbin</t>
        </is>
      </c>
    </row>
    <row r="18">
      <c r="A18" t="inlineStr">
        <is>
          <t>Denmark</t>
        </is>
      </c>
      <c r="B18" t="inlineStr">
        <is>
          <t>†Harbin, †Dairen</t>
        </is>
      </c>
    </row>
    <row r="19">
      <c r="A19" t="inlineStr">
        <is>
          <t>Norway</t>
        </is>
      </c>
      <c r="B19" t="inlineStr">
        <is>
          <t>Yingkow, †Dairen</t>
        </is>
      </c>
    </row>
    <row r="20">
      <c r="A20" t="inlineStr">
        <is>
          <t>Sweden</t>
        </is>
      </c>
      <c r="B20" t="inlineStr">
        <is>
          <t>†Dairen</t>
        </is>
      </c>
    </row>
    <row r="21">
      <c r="A21" t="inlineStr">
        <is>
          <t>Finland</t>
        </is>
      </c>
      <c r="B21" t="inlineStr">
        <is>
          <t>†Dairen</t>
        </is>
      </c>
    </row>
    <row r="22">
      <c r="A22" t="inlineStr">
        <is>
          <t>Salvador</t>
        </is>
      </c>
      <c r="B22" t="inlineStr">
        <is>
          <t>*Hsinking</t>
        </is>
      </c>
    </row>
    <row r="23">
      <c r="A23" t="inlineStr">
        <is>
          <t>Switzerland</t>
        </is>
      </c>
      <c r="B23" t="inlineStr">
        <is>
          <t>†Dairen</t>
        </is>
      </c>
    </row>
    <row r="25">
      <c r="A25" s="2" t="inlineStr">
        <is>
          <t>Transcriber's notes</t>
        </is>
      </c>
    </row>
    <row r="26">
      <c r="A26" t="inlineStr">
        <is>
          <t>Printed in two side-by-side blocks; merged left block then right block.</t>
        </is>
      </c>
    </row>
    <row r="27">
      <c r="A27" t="inlineStr">
        <is>
          <t>Words hyphenated across lines in the original (Man-chouli, Dai-ren) joined.</t>
        </is>
      </c>
    </row>
    <row r="28">
      <c r="A28" t="inlineStr">
        <is>
          <t>'Latovia' as printed (sic).</t>
        </is>
      </c>
    </row>
  </sheetData>
  <hyperlinks>
    <hyperlink xmlns:r="http://schemas.openxmlformats.org/officeDocument/2006/relationships" ref="A4" r:id="rId1"/>
  </hyperlink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Number of Judicial Organs</t>
        </is>
      </c>
    </row>
    <row r="2">
      <c r="A2" t="inlineStr">
        <is>
          <t>Judicature · printed pp. 377</t>
        </is>
      </c>
    </row>
    <row r="3">
      <c r="A3" t="inlineStr">
        <is>
          <t>(September, 1940)</t>
        </is>
      </c>
    </row>
    <row r="4">
      <c r="A4" s="3" t="inlineStr">
        <is>
          <t>← Contents</t>
        </is>
      </c>
    </row>
    <row r="6">
      <c r="A6" s="5" t="inlineStr">
        <is>
          <t>Organ</t>
        </is>
      </c>
      <c r="B6" s="5" t="inlineStr">
        <is>
          <t>Hsinking</t>
        </is>
      </c>
      <c r="C6" s="5" t="inlineStr">
        <is>
          <t>Mukden</t>
        </is>
      </c>
      <c r="D6" s="5" t="inlineStr">
        <is>
          <t>Harbin</t>
        </is>
      </c>
      <c r="E6" s="5" t="inlineStr">
        <is>
          <t>Mutankiang</t>
        </is>
      </c>
      <c r="F6" s="5" t="inlineStr">
        <is>
          <t>Chinchow</t>
        </is>
      </c>
      <c r="G6" s="5" t="inlineStr">
        <is>
          <t>Tsitsihar</t>
        </is>
      </c>
      <c r="H6" s="5" t="inlineStr">
        <is>
          <t>Total</t>
        </is>
      </c>
    </row>
    <row r="7">
      <c r="A7" t="inlineStr">
        <is>
          <t>High Court</t>
        </is>
      </c>
      <c r="B7" s="9" t="n">
        <v>1</v>
      </c>
      <c r="C7" s="9" t="n">
        <v>1</v>
      </c>
      <c r="D7" s="9" t="n">
        <v>1</v>
      </c>
      <c r="E7" s="9" t="n">
        <v>1</v>
      </c>
      <c r="F7" s="9" t="n">
        <v>1</v>
      </c>
      <c r="G7" s="9" t="n">
        <v>1</v>
      </c>
      <c r="H7" s="9" t="n">
        <v>6</v>
      </c>
    </row>
    <row r="8">
      <c r="A8" t="inlineStr">
        <is>
          <t>„ „ Branch</t>
        </is>
      </c>
      <c r="B8" s="9" t="n">
        <v>2</v>
      </c>
      <c r="C8" s="9" t="n">
        <v>2</v>
      </c>
      <c r="D8" s="9" t="n">
        <v>1</v>
      </c>
      <c r="E8" s="9" t="n">
        <v>2</v>
      </c>
      <c r="F8" s="9" t="n">
        <v>1</v>
      </c>
      <c r="G8" s="9" t="n">
        <v>2</v>
      </c>
      <c r="H8" s="9" t="n">
        <v>10</v>
      </c>
    </row>
    <row r="9">
      <c r="A9" t="inlineStr">
        <is>
          <t>Local Court</t>
        </is>
      </c>
      <c r="B9" s="9" t="n">
        <v>6</v>
      </c>
      <c r="C9" s="9" t="n">
        <v>8</v>
      </c>
      <c r="D9" s="9" t="n">
        <v>4</v>
      </c>
      <c r="E9" s="9" t="n">
        <v>3</v>
      </c>
      <c r="F9" s="9" t="n">
        <v>4</v>
      </c>
      <c r="G9" s="9" t="n">
        <v>4</v>
      </c>
      <c r="H9" s="9" t="n">
        <v>29</v>
      </c>
    </row>
    <row r="10">
      <c r="A10" t="inlineStr">
        <is>
          <t>„ „ Branch</t>
        </is>
      </c>
      <c r="B10" s="9" t="n">
        <v>21</v>
      </c>
      <c r="C10" s="9" t="n">
        <v>19</v>
      </c>
      <c r="D10" s="9" t="n">
        <v>18</v>
      </c>
      <c r="E10" s="9" t="n">
        <v>8</v>
      </c>
      <c r="F10" s="9" t="n">
        <v>15</v>
      </c>
      <c r="G10" s="9" t="n">
        <v>5</v>
      </c>
      <c r="H10" s="9" t="n">
        <v>86</v>
      </c>
    </row>
    <row r="11">
      <c r="A11" t="inlineStr">
        <is>
          <t>District Court</t>
        </is>
      </c>
      <c r="B11" s="9" t="n">
        <v>27</v>
      </c>
      <c r="C11" s="9" t="n">
        <v>29</v>
      </c>
      <c r="D11" s="9" t="n">
        <v>25</v>
      </c>
      <c r="E11" s="9" t="n">
        <v>14</v>
      </c>
      <c r="F11" s="9" t="n">
        <v>22</v>
      </c>
      <c r="G11" s="9" t="n">
        <v>14</v>
      </c>
      <c r="H11" s="9" t="n">
        <v>131</v>
      </c>
    </row>
    <row r="12">
      <c r="A12" t="inlineStr">
        <is>
          <t>„ „ Branch</t>
        </is>
      </c>
      <c r="B12" s="9" t="n">
        <v>4</v>
      </c>
      <c r="C12" s="9" t="n">
        <v>3</v>
      </c>
      <c r="D12" s="9" t="n">
        <v>4</v>
      </c>
      <c r="E12" s="9" t="n">
        <v>6</v>
      </c>
      <c r="F12" s="9" t="n">
        <v>3</v>
      </c>
      <c r="G12" s="9" t="n">
        <v>5</v>
      </c>
      <c r="H12" s="9" t="n">
        <v>25</v>
      </c>
    </row>
    <row r="13">
      <c r="A13" t="inlineStr">
        <is>
          <t>High Procurators Office</t>
        </is>
      </c>
      <c r="B13" s="9" t="n">
        <v>1</v>
      </c>
      <c r="C13" s="9" t="n">
        <v>1</v>
      </c>
      <c r="D13" s="9" t="n">
        <v>1</v>
      </c>
      <c r="E13" s="9" t="n">
        <v>1</v>
      </c>
      <c r="F13" s="9" t="n">
        <v>1</v>
      </c>
      <c r="G13" s="9" t="n">
        <v>1</v>
      </c>
      <c r="H13" s="9" t="n">
        <v>6</v>
      </c>
    </row>
    <row r="14">
      <c r="A14" t="inlineStr">
        <is>
          <t>„ „ Branch</t>
        </is>
      </c>
      <c r="B14" s="9" t="n">
        <v>2</v>
      </c>
      <c r="C14" s="9" t="n">
        <v>2</v>
      </c>
      <c r="D14" s="9" t="n">
        <v>1</v>
      </c>
      <c r="E14" s="9" t="n">
        <v>2</v>
      </c>
      <c r="F14" s="9" t="n">
        <v>1</v>
      </c>
      <c r="G14" s="9" t="n">
        <v>2</v>
      </c>
      <c r="H14" s="9" t="n">
        <v>10</v>
      </c>
    </row>
    <row r="15">
      <c r="A15" t="inlineStr">
        <is>
          <t>Local Procurators Office</t>
        </is>
      </c>
      <c r="B15" s="9" t="n">
        <v>6</v>
      </c>
      <c r="C15" s="9" t="n">
        <v>8</v>
      </c>
      <c r="D15" s="9" t="n">
        <v>4</v>
      </c>
      <c r="E15" s="9" t="n">
        <v>3</v>
      </c>
      <c r="F15" s="9" t="n">
        <v>4</v>
      </c>
      <c r="G15" s="9" t="n">
        <v>4</v>
      </c>
      <c r="H15" s="9" t="n">
        <v>29</v>
      </c>
    </row>
    <row r="16">
      <c r="A16" t="inlineStr">
        <is>
          <t>„ „ Branch</t>
        </is>
      </c>
      <c r="B16" s="9" t="n">
        <v>21</v>
      </c>
      <c r="C16" s="9" t="n">
        <v>19</v>
      </c>
      <c r="D16" s="9" t="n">
        <v>18</v>
      </c>
      <c r="E16" s="9" t="n">
        <v>8</v>
      </c>
      <c r="F16" s="9" t="n">
        <v>15</v>
      </c>
      <c r="G16" s="9" t="n">
        <v>5</v>
      </c>
      <c r="H16" s="9" t="n">
        <v>86</v>
      </c>
    </row>
    <row r="17">
      <c r="A17" t="inlineStr">
        <is>
          <t>District Procurators Office</t>
        </is>
      </c>
      <c r="B17" s="9" t="n">
        <v>27</v>
      </c>
      <c r="C17" s="9" t="n">
        <v>29</v>
      </c>
      <c r="D17" s="9" t="n">
        <v>25</v>
      </c>
      <c r="E17" s="9" t="n">
        <v>14</v>
      </c>
      <c r="F17" s="9" t="n">
        <v>22</v>
      </c>
      <c r="G17" s="9" t="n">
        <v>14</v>
      </c>
      <c r="H17" s="9" t="n">
        <v>131</v>
      </c>
    </row>
    <row r="18">
      <c r="A18" t="inlineStr">
        <is>
          <t>„ „ Branch</t>
        </is>
      </c>
      <c r="B18" s="9" t="n">
        <v>4</v>
      </c>
      <c r="C18" s="9" t="n">
        <v>3</v>
      </c>
      <c r="D18" s="9" t="n">
        <v>4</v>
      </c>
      <c r="E18" s="9" t="n">
        <v>6</v>
      </c>
      <c r="F18" s="9" t="n">
        <v>3</v>
      </c>
      <c r="G18" s="9" t="n">
        <v>5</v>
      </c>
      <c r="H18" s="9" t="n">
        <v>25</v>
      </c>
    </row>
    <row r="20">
      <c r="A20" s="2" t="inlineStr">
        <is>
          <t>Footnotes</t>
        </is>
      </c>
    </row>
    <row r="21">
      <c r="A21" t="inlineStr">
        <is>
          <t>Note: The Supreme Court is located in Hsinking.</t>
        </is>
      </c>
    </row>
    <row r="23">
      <c r="A23" s="2" t="inlineStr">
        <is>
          <t>Transcriber's notes</t>
        </is>
      </c>
    </row>
    <row r="24">
      <c r="A24" t="inlineStr">
        <is>
          <t>Row totals (Hsinking+Mukden+Harbin+Mutankiang+Chinchow+Tsitsihar=Total): all reconcile</t>
        </is>
      </c>
    </row>
    <row r="25">
      <c r="A25" t="inlineStr">
        <is>
          <t>Row 'District Court', col 'Mukden': second digit imperfectly printed (looks like '29' with a broken 9); read as 29, which agrees with the row total 131 and the parallel District Procurators Office row.</t>
        </is>
      </c>
    </row>
    <row r="26">
      <c r="A26" t="inlineStr">
        <is>
          <t>Columns are presumably High Court districts (headed by city names as printed). No column totals printed.</t>
        </is>
      </c>
    </row>
  </sheetData>
  <hyperlinks>
    <hyperlink xmlns:r="http://schemas.openxmlformats.org/officeDocument/2006/relationships" ref="A4" r:id="rId1"/>
  </hyperlink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Crimes and Arrests Classified</t>
        </is>
      </c>
    </row>
    <row r="2">
      <c r="A2" t="inlineStr">
        <is>
          <t>Judicature · printed pp. 378, 379</t>
        </is>
      </c>
    </row>
    <row r="3">
      <c r="A3" s="3" t="inlineStr">
        <is>
          <t>← Contents</t>
        </is>
      </c>
    </row>
    <row r="5">
      <c r="A5" s="5" t="inlineStr">
        <is>
          <t>Crimes</t>
        </is>
      </c>
      <c r="B5" s="5" t="inlineStr">
        <is>
          <t>No. of Cases</t>
        </is>
      </c>
      <c r="C5" s="5" t="inlineStr">
        <is>
          <t>Arrests — Cases</t>
        </is>
      </c>
      <c r="D5" s="5" t="inlineStr">
        <is>
          <t>Arrests — Criminals</t>
        </is>
      </c>
    </row>
    <row r="6">
      <c r="A6" t="inlineStr">
        <is>
          <t>Rebellion</t>
        </is>
      </c>
      <c r="B6" s="9" t="n">
        <v>5</v>
      </c>
      <c r="C6" s="9" t="n">
        <v>5</v>
      </c>
      <c r="D6" s="9" t="n">
        <v>10</v>
      </c>
    </row>
    <row r="7">
      <c r="A7" t="inlineStr">
        <is>
          <t>Foreign Troubles</t>
        </is>
      </c>
      <c r="B7" s="9" t="n">
        <v>2</v>
      </c>
      <c r="C7" s="9" t="n">
        <v>2</v>
      </c>
      <c r="D7" s="9" t="n">
        <v>3</v>
      </c>
    </row>
    <row r="8">
      <c r="A8" t="inlineStr">
        <is>
          <t>Disturbance of Diplomatic Relations</t>
        </is>
      </c>
      <c r="B8" t="inlineStr">
        <is>
          <t>—</t>
        </is>
      </c>
      <c r="C8" t="inlineStr">
        <is>
          <t>—</t>
        </is>
      </c>
      <c r="D8" t="inlineStr">
        <is>
          <t>—</t>
        </is>
      </c>
    </row>
    <row r="9">
      <c r="A9" t="inlineStr">
        <is>
          <t>Disgrace of Official Honour</t>
        </is>
      </c>
      <c r="B9" s="9" t="n">
        <v>199</v>
      </c>
      <c r="C9" s="9" t="n">
        <v>191</v>
      </c>
      <c r="D9" s="9" t="n">
        <v>288</v>
      </c>
    </row>
    <row r="10">
      <c r="A10" t="inlineStr">
        <is>
          <t>Disgrace of Official duties</t>
        </is>
      </c>
      <c r="B10" s="9" t="n">
        <v>117</v>
      </c>
      <c r="C10" s="9" t="n">
        <v>108</v>
      </c>
      <c r="D10" s="9" t="n">
        <v>163</v>
      </c>
    </row>
    <row r="11">
      <c r="A11" t="inlineStr">
        <is>
          <t>Disturbance of Election</t>
        </is>
      </c>
      <c r="B11" s="9" t="n">
        <v>3</v>
      </c>
      <c r="C11" s="9" t="n">
        <v>3</v>
      </c>
      <c r="D11" s="9" t="n">
        <v>4</v>
      </c>
    </row>
    <row r="12">
      <c r="A12" t="inlineStr">
        <is>
          <t>Disturbance of Public Peace</t>
        </is>
      </c>
      <c r="B12" s="9" t="n">
        <v>306</v>
      </c>
      <c r="C12" s="9" t="n">
        <v>295</v>
      </c>
      <c r="D12" s="9" t="n">
        <v>472</v>
      </c>
    </row>
    <row r="13">
      <c r="A13" t="inlineStr">
        <is>
          <t>Escape</t>
        </is>
      </c>
      <c r="B13" s="9" t="n">
        <v>93</v>
      </c>
      <c r="C13" s="9" t="n">
        <v>81</v>
      </c>
      <c r="D13" s="9" t="n">
        <v>121</v>
      </c>
    </row>
    <row r="14">
      <c r="A14" t="inlineStr">
        <is>
          <t>Criminals concealed</t>
        </is>
      </c>
      <c r="B14" s="9" t="n">
        <v>149</v>
      </c>
      <c r="C14" s="9" t="n">
        <v>147</v>
      </c>
      <c r="D14" s="9" t="n">
        <v>210</v>
      </c>
    </row>
    <row r="15">
      <c r="A15" t="inlineStr">
        <is>
          <t>Perjury and Calumny</t>
        </is>
      </c>
      <c r="B15" s="9" t="n">
        <v>270</v>
      </c>
      <c r="C15" s="9" t="n">
        <v>272</v>
      </c>
      <c r="D15" s="9" t="n">
        <v>381</v>
      </c>
    </row>
    <row r="16">
      <c r="A16" t="inlineStr">
        <is>
          <t>Public Danger</t>
        </is>
      </c>
      <c r="B16" s="9" t="n">
        <v>565</v>
      </c>
      <c r="C16" s="9" t="n">
        <v>473</v>
      </c>
      <c r="D16" s="9" t="n">
        <v>602</v>
      </c>
    </row>
    <row r="17">
      <c r="A17" t="inlineStr">
        <is>
          <t>Forgery of coins</t>
        </is>
      </c>
      <c r="B17" s="9" t="n">
        <v>156</v>
      </c>
      <c r="C17" s="9" t="n">
        <v>153</v>
      </c>
      <c r="D17" s="9" t="n">
        <v>257</v>
      </c>
    </row>
    <row r="18">
      <c r="A18" t="inlineStr">
        <is>
          <t>Forgery of measure instruments</t>
        </is>
      </c>
      <c r="B18" s="9" t="n">
        <v>5</v>
      </c>
      <c r="C18" s="9" t="n">
        <v>5</v>
      </c>
      <c r="D18" s="9" t="n">
        <v>7</v>
      </c>
    </row>
    <row r="19">
      <c r="A19" t="inlineStr">
        <is>
          <t>Forgery of documents and securities</t>
        </is>
      </c>
      <c r="B19" s="9" t="n">
        <v>85</v>
      </c>
      <c r="C19" s="9" t="n">
        <v>85</v>
      </c>
      <c r="D19" s="9" t="n">
        <v>130</v>
      </c>
    </row>
    <row r="20">
      <c r="A20" t="inlineStr">
        <is>
          <t>Corruption of Public Morals</t>
        </is>
      </c>
      <c r="B20" s="9" t="n">
        <v>222</v>
      </c>
      <c r="C20" s="9" t="n">
        <v>313</v>
      </c>
      <c r="D20" s="9" t="n">
        <v>525</v>
      </c>
    </row>
    <row r="21">
      <c r="A21" t="inlineStr">
        <is>
          <t>Disturbance of Marriage and Home</t>
        </is>
      </c>
      <c r="B21" s="9" t="n">
        <v>934</v>
      </c>
      <c r="C21" s="9" t="n">
        <v>885</v>
      </c>
      <c r="D21" s="6" t="n">
        <v>1678</v>
      </c>
    </row>
    <row r="22">
      <c r="A22" t="inlineStr">
        <is>
          <t>Profanity of Rites, Defilement of Tombs and corps</t>
        </is>
      </c>
      <c r="B22" s="9" t="n">
        <v>99</v>
      </c>
      <c r="C22" s="9" t="n">
        <v>87</v>
      </c>
      <c r="D22" s="9" t="n">
        <v>176</v>
      </c>
    </row>
    <row r="23">
      <c r="A23" t="inlineStr">
        <is>
          <t>Obstruction of business</t>
        </is>
      </c>
      <c r="B23" s="9" t="n">
        <v>10</v>
      </c>
      <c r="C23" s="9" t="n">
        <v>10</v>
      </c>
      <c r="D23" s="9" t="n">
        <v>18</v>
      </c>
    </row>
    <row r="24">
      <c r="A24" t="inlineStr">
        <is>
          <t>Opium-smoking</t>
        </is>
      </c>
      <c r="B24" s="6" t="n">
        <v>2110</v>
      </c>
      <c r="C24" s="6" t="n">
        <v>2071</v>
      </c>
      <c r="D24" s="6" t="n">
        <v>2791</v>
      </c>
    </row>
    <row r="25">
      <c r="A25" t="inlineStr">
        <is>
          <t>Gambling</t>
        </is>
      </c>
      <c r="B25" s="6" t="n">
        <v>2470</v>
      </c>
      <c r="C25" s="6" t="n">
        <v>2401</v>
      </c>
      <c r="D25" s="10" t="n">
        <v>11.164</v>
      </c>
    </row>
    <row r="26">
      <c r="A26" t="inlineStr">
        <is>
          <t>Murder</t>
        </is>
      </c>
      <c r="B26" s="9" t="n">
        <v>951</v>
      </c>
      <c r="C26" s="9" t="n">
        <v>757</v>
      </c>
      <c r="D26" s="6" t="n">
        <v>11217</v>
      </c>
    </row>
    <row r="27">
      <c r="A27" t="inlineStr">
        <is>
          <t>Battery and assault</t>
        </is>
      </c>
      <c r="B27" s="6" t="n">
        <v>1474</v>
      </c>
      <c r="C27" s="6" t="n">
        <v>1398</v>
      </c>
      <c r="D27" s="6" t="n">
        <v>2146</v>
      </c>
    </row>
    <row r="28">
      <c r="A28" t="inlineStr">
        <is>
          <t>Abortion</t>
        </is>
      </c>
      <c r="B28" s="9" t="n">
        <v>11</v>
      </c>
      <c r="C28" s="9" t="n">
        <v>11</v>
      </c>
      <c r="D28" s="9" t="n">
        <v>15</v>
      </c>
    </row>
    <row r="29">
      <c r="A29" t="inlineStr">
        <is>
          <t>Desertion</t>
        </is>
      </c>
      <c r="B29" s="9" t="n">
        <v>24</v>
      </c>
      <c r="C29" s="9" t="n">
        <v>22</v>
      </c>
      <c r="D29" s="9" t="n">
        <v>37</v>
      </c>
    </row>
    <row r="30">
      <c r="A30" t="inlineStr">
        <is>
          <t>Disturbance of Freedom</t>
        </is>
      </c>
      <c r="B30" s="9" t="n">
        <v>158</v>
      </c>
      <c r="C30" s="9" t="n">
        <v>160</v>
      </c>
      <c r="D30" s="9" t="n">
        <v>250</v>
      </c>
    </row>
    <row r="31">
      <c r="A31" t="inlineStr">
        <is>
          <t>Defamation of Honour and Trust</t>
        </is>
      </c>
      <c r="B31" s="9" t="n">
        <v>53</v>
      </c>
      <c r="C31" s="9" t="n">
        <v>51</v>
      </c>
      <c r="D31" s="9" t="n">
        <v>68</v>
      </c>
    </row>
    <row r="32">
      <c r="A32" t="inlineStr">
        <is>
          <t>Disturbance of Civil Secret</t>
        </is>
      </c>
      <c r="B32" s="9" t="n">
        <v>12</v>
      </c>
      <c r="C32" s="9" t="n">
        <v>11</v>
      </c>
      <c r="D32" s="9" t="n">
        <v>14</v>
      </c>
    </row>
    <row r="33">
      <c r="A33" t="inlineStr">
        <is>
          <t>Larceny</t>
        </is>
      </c>
      <c r="B33" s="6" t="n">
        <v>8584</v>
      </c>
      <c r="C33" s="6" t="n">
        <v>7165</v>
      </c>
      <c r="D33" s="6" t="n">
        <v>9317</v>
      </c>
    </row>
    <row r="34">
      <c r="A34" t="inlineStr">
        <is>
          <t>Burglary and Pirating</t>
        </is>
      </c>
      <c r="B34" s="6" t="n">
        <v>11635</v>
      </c>
      <c r="C34" s="6" t="n">
        <v>4874</v>
      </c>
      <c r="D34" s="6" t="n">
        <v>8423</v>
      </c>
    </row>
    <row r="35">
      <c r="A35" t="inlineStr">
        <is>
          <t>Trespassing</t>
        </is>
      </c>
      <c r="B35" s="9" t="n">
        <v>371</v>
      </c>
      <c r="C35" s="9" t="n">
        <v>351</v>
      </c>
      <c r="D35" s="9" t="n">
        <v>534</v>
      </c>
    </row>
    <row r="36">
      <c r="A36" t="inlineStr">
        <is>
          <t>Fraud</t>
        </is>
      </c>
      <c r="B36" s="6" t="n">
        <v>1275</v>
      </c>
      <c r="C36" s="6" t="n">
        <v>1256</v>
      </c>
      <c r="D36" s="6" t="n">
        <v>1787</v>
      </c>
    </row>
    <row r="37">
      <c r="A37" t="inlineStr">
        <is>
          <t>Black-mailing</t>
        </is>
      </c>
      <c r="B37" s="9" t="n">
        <v>171</v>
      </c>
      <c r="C37" s="9" t="n">
        <v>159</v>
      </c>
      <c r="D37" s="9" t="n">
        <v>247</v>
      </c>
    </row>
    <row r="38">
      <c r="A38" t="inlineStr">
        <is>
          <t>Stolen goods concealed</t>
        </is>
      </c>
      <c r="B38" s="9" t="n">
        <v>552</v>
      </c>
      <c r="C38" s="9" t="n">
        <v>528</v>
      </c>
      <c r="D38" s="9" t="n">
        <v>808</v>
      </c>
    </row>
    <row r="39">
      <c r="A39" t="inlineStr">
        <is>
          <t>Damage</t>
        </is>
      </c>
      <c r="B39" s="9" t="n">
        <v>31</v>
      </c>
      <c r="C39" s="9" t="n">
        <v>29</v>
      </c>
      <c r="D39" s="9" t="n">
        <v>38</v>
      </c>
    </row>
    <row r="40">
      <c r="A40" t="inlineStr">
        <is>
          <t>Total</t>
        </is>
      </c>
      <c r="B40" s="6" t="n">
        <v>33202</v>
      </c>
      <c r="C40" s="6" t="n">
        <v>24359</v>
      </c>
      <c r="D40" s="6" t="n">
        <v>43901</v>
      </c>
    </row>
    <row r="41">
      <c r="A41" t="inlineStr">
        <is>
          <t>Violation of Temporary Insurgents Suppression Law</t>
        </is>
      </c>
      <c r="B41" s="9" t="n">
        <v>218</v>
      </c>
      <c r="C41" s="9" t="n">
        <v>106</v>
      </c>
      <c r="D41" s="9" t="n">
        <v>187</v>
      </c>
    </row>
    <row r="42">
      <c r="A42" t="inlineStr">
        <is>
          <t>Violation of Robber and Bandit Suppression Law</t>
        </is>
      </c>
      <c r="B42" s="6" t="n">
        <v>10150</v>
      </c>
      <c r="C42" s="6" t="n">
        <v>3963</v>
      </c>
      <c r="D42" s="6" t="n">
        <v>5843</v>
      </c>
    </row>
    <row r="43">
      <c r="A43" t="inlineStr">
        <is>
          <t>Violation of Opium Law</t>
        </is>
      </c>
      <c r="B43" s="6" t="n">
        <v>2401</v>
      </c>
      <c r="C43" s="6" t="n">
        <v>2397</v>
      </c>
      <c r="D43" s="6" t="n">
        <v>3484</v>
      </c>
    </row>
    <row r="44">
      <c r="A44" t="inlineStr">
        <is>
          <t>Violation of Others</t>
        </is>
      </c>
      <c r="B44" s="9" t="n">
        <v>159</v>
      </c>
      <c r="C44" s="9" t="n">
        <v>159</v>
      </c>
      <c r="D44" s="9" t="n">
        <v>184</v>
      </c>
    </row>
    <row r="45">
      <c r="A45" t="inlineStr">
        <is>
          <t>Total</t>
        </is>
      </c>
      <c r="B45" s="6" t="n">
        <v>12928</v>
      </c>
      <c r="C45" s="6" t="n">
        <v>6625</v>
      </c>
      <c r="D45" s="6" t="n">
        <v>9698</v>
      </c>
    </row>
    <row r="46">
      <c r="A46" t="inlineStr">
        <is>
          <t>Violation of Police Regulations</t>
        </is>
      </c>
      <c r="B46" s="6" t="n">
        <v>12425</v>
      </c>
      <c r="C46" s="6" t="n">
        <v>12294</v>
      </c>
      <c r="D46" s="6" t="n">
        <v>20445</v>
      </c>
    </row>
    <row r="47">
      <c r="A47" t="inlineStr">
        <is>
          <t>Violation of Fire-arms Controlling Regulations</t>
        </is>
      </c>
      <c r="B47" s="6" t="n">
        <v>1536</v>
      </c>
      <c r="C47" s="6" t="n">
        <v>1536</v>
      </c>
      <c r="D47" s="6" t="n">
        <v>2562</v>
      </c>
    </row>
    <row r="48">
      <c r="A48" t="inlineStr">
        <is>
          <t>Violation of "Pao-Chia" (Civil Guards) Regulations</t>
        </is>
      </c>
      <c r="B48" s="9" t="n">
        <v>50</v>
      </c>
      <c r="C48" s="9" t="n">
        <v>50</v>
      </c>
      <c r="D48" s="9" t="n">
        <v>442</v>
      </c>
    </row>
    <row r="49">
      <c r="A49" t="inlineStr">
        <is>
          <t>Violation of Others</t>
        </is>
      </c>
      <c r="B49" s="9" t="n">
        <v>582</v>
      </c>
      <c r="C49" s="9" t="n">
        <v>578</v>
      </c>
      <c r="D49" s="9" t="n">
        <v>949</v>
      </c>
    </row>
    <row r="50">
      <c r="A50" t="inlineStr">
        <is>
          <t>Total</t>
        </is>
      </c>
      <c r="B50" s="6" t="n">
        <v>14593</v>
      </c>
      <c r="C50" s="6" t="n">
        <v>14458</v>
      </c>
      <c r="D50" s="6" t="n">
        <v>24398</v>
      </c>
    </row>
    <row r="51">
      <c r="A51" t="inlineStr">
        <is>
          <t>GRAND TOTAL</t>
        </is>
      </c>
      <c r="B51" s="6" t="n">
        <v>60723</v>
      </c>
      <c r="C51" s="6" t="n">
        <v>45442</v>
      </c>
      <c r="D51" s="6" t="n">
        <v>77997</v>
      </c>
    </row>
    <row r="53">
      <c r="A53" s="2" t="inlineStr">
        <is>
          <t>Transcriber's notes</t>
        </is>
      </c>
    </row>
    <row r="54">
      <c r="A54" t="inlineStr">
        <is>
          <t>first group (Rebellion...Damage): Column 'No. of Cases' total 33,202: parts sum to 33,102 — does NOT reconcile (diff 100) Cells re-read (e.g. 'Corruption of Public Morals' cases printed 222 while arrests-cases are 313; 322 would reconcile) — discrepancy is in the source.</t>
        </is>
      </c>
    </row>
    <row r="55">
      <c r="A55" t="inlineStr">
        <is>
          <t>first group (Rebellion...Damage): Column 'Arrests — Cases' total 24,359: parts sum to 24,359 — reconciles</t>
        </is>
      </c>
    </row>
    <row r="56">
      <c r="A56" t="inlineStr">
        <is>
          <t>first group (Rebellion...Damage): Column 'Arrests — Criminals' total 43,901: parts (reading Gambling '11.164' as 11,164) sum to 53,901 — does NOT reconcile (diff -10,000). If Murder criminals were 1,217 instead of printed 11,217 the parts would sum to 43,901, so the Murder figure is probably a misprint; left as printed.</t>
        </is>
      </c>
    </row>
    <row r="57">
      <c r="A57" t="inlineStr">
        <is>
          <t>second group (Violation of Temporary Insurgents Suppression Law...Violation of Others): Column 'No. of Cases' total 12,928: parts sum to 12,928 — reconciles</t>
        </is>
      </c>
    </row>
    <row r="58">
      <c r="A58" t="inlineStr">
        <is>
          <t>second group (Violation of Temporary Insurgents Suppression Law...Violation of Others): Column 'Arrests — Cases' total 6,625: parts sum to 6,625 — reconciles</t>
        </is>
      </c>
    </row>
    <row r="59">
      <c r="A59" t="inlineStr">
        <is>
          <t>second group (Violation of Temporary Insurgents Suppression Law...Violation of Others): Column 'Arrests — Criminals' total 9,698: parts sum to 9,698 — reconciles</t>
        </is>
      </c>
    </row>
    <row r="60">
      <c r="A60" t="inlineStr">
        <is>
          <t>third group (Violation of Police Regulations...Violation of Others): Column 'No. of Cases' total 14,593: parts sum to 14,593 — reconciles</t>
        </is>
      </c>
    </row>
    <row r="61">
      <c r="A61" t="inlineStr">
        <is>
          <t>third group (Violation of Police Regulations...Violation of Others): Column 'Arrests — Cases' total 14,458: parts sum to 14,458 — reconciles</t>
        </is>
      </c>
    </row>
    <row r="62">
      <c r="A62" t="inlineStr">
        <is>
          <t>third group (Violation of Police Regulations...Violation of Others): Column 'Arrests — Criminals' total 24,398: parts sum to 24,398 — reconciles</t>
        </is>
      </c>
    </row>
    <row r="63">
      <c r="A63" t="inlineStr">
        <is>
          <t>GRAND TOTAL: Column 'No. of Cases' total 60,723: parts sum to 60,723 — reconciles</t>
        </is>
      </c>
    </row>
    <row r="64">
      <c r="A64" t="inlineStr">
        <is>
          <t>GRAND TOTAL: Column 'Arrests — Cases' total 45,442: parts sum to 45,442 — reconciles</t>
        </is>
      </c>
    </row>
    <row r="65">
      <c r="A65" t="inlineStr">
        <is>
          <t>GRAND TOTAL: Column 'Arrests — Criminals' total 77,997: parts sum to 77,997 — reconciles</t>
        </is>
      </c>
    </row>
    <row r="66">
      <c r="A66" t="inlineStr">
        <is>
          <t>Row 'Gambling', col 'Arrests — Criminals' printed '11.164' (with a period) — kept as printed; the parts check treats it as 11.164.</t>
        </is>
      </c>
    </row>
    <row r="67">
      <c r="A67" t="inlineStr">
        <is>
          <t>Row 'Murder', col 'Arrests — Criminals' clearly printed 11,217 (implausibly high vs 757 cases, but transcribed as printed).</t>
        </is>
      </c>
    </row>
    <row r="68">
      <c r="A68" t="inlineStr">
        <is>
          <t>Table runs from p. 378 to p. 379; p. 379 part headed '(Continued)' with repeated column heads. On p. 379 the stub labels are printed about half a line above their figures; matched in order (Fraud=1,275 etc.).</t>
        </is>
      </c>
    </row>
    <row r="69">
      <c r="A69" t="inlineStr">
        <is>
          <t>'Tombs and corps' as printed (sic). Rows 'Corruption of Public Morals' and 'Perjury and Calumny' have Arrest cases &gt; No. of cases as printed.</t>
        </is>
      </c>
    </row>
    <row r="70">
      <c r="A70" t="inlineStr">
        <is>
          <t>Two different rows are both labelled 'Violation of Others' (in the special-laws group and in the regulations group), as printed.</t>
        </is>
      </c>
    </row>
  </sheetData>
  <hyperlinks>
    <hyperlink xmlns:r="http://schemas.openxmlformats.org/officeDocument/2006/relationships" ref="A3" r:id="rId1"/>
  </hyperlink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Number of Judicial Officers Despatched to Japan for Study</t>
        </is>
      </c>
    </row>
    <row r="2">
      <c r="A2" t="inlineStr">
        <is>
          <t>Judicature · printed pp. 384</t>
        </is>
      </c>
    </row>
    <row r="3">
      <c r="A3" s="3" t="inlineStr">
        <is>
          <t>← Contents</t>
        </is>
      </c>
    </row>
    <row r="5">
      <c r="A5" s="5" t="inlineStr">
        <is>
          <t>Year</t>
        </is>
      </c>
      <c r="B5" s="5" t="inlineStr">
        <is>
          <t>Judicial Officers — Judges</t>
        </is>
      </c>
      <c r="C5" s="5" t="inlineStr">
        <is>
          <t>Judicial Officers — Procurators</t>
        </is>
      </c>
      <c r="D5" s="5" t="inlineStr">
        <is>
          <t>Judicial Officers — Other Officers</t>
        </is>
      </c>
      <c r="E5" s="5" t="inlineStr">
        <is>
          <t>Judicial Officers — Total</t>
        </is>
      </c>
      <c r="F5" s="5" t="inlineStr">
        <is>
          <t>Prison Officers — Chief wardens</t>
        </is>
      </c>
      <c r="G5" s="5" t="inlineStr">
        <is>
          <t>Prison Officers — Other Officers</t>
        </is>
      </c>
      <c r="H5" s="5" t="inlineStr">
        <is>
          <t>Prison Officers — Total</t>
        </is>
      </c>
      <c r="I5" s="5" t="inlineStr">
        <is>
          <t>Grand Total</t>
        </is>
      </c>
    </row>
    <row r="6">
      <c r="A6" s="9" t="n">
        <v>1934</v>
      </c>
      <c r="B6" s="9" t="n">
        <v>6</v>
      </c>
      <c r="C6" s="9" t="n">
        <v>5</v>
      </c>
      <c r="D6" t="inlineStr">
        <is>
          <t>—</t>
        </is>
      </c>
      <c r="E6" s="9" t="n">
        <v>11</v>
      </c>
      <c r="F6" s="9" t="n">
        <v>6</v>
      </c>
      <c r="G6" s="9" t="n">
        <v>1</v>
      </c>
      <c r="H6" s="9" t="n">
        <v>7</v>
      </c>
      <c r="I6" s="9" t="n">
        <v>18</v>
      </c>
    </row>
    <row r="7">
      <c r="A7" s="9" t="n">
        <v>1935</v>
      </c>
      <c r="B7" s="9" t="n">
        <v>8</v>
      </c>
      <c r="C7" s="9" t="n">
        <v>4</v>
      </c>
      <c r="D7" s="9" t="n">
        <v>1</v>
      </c>
      <c r="E7" s="9" t="n">
        <v>13</v>
      </c>
      <c r="F7" s="9" t="n">
        <v>8</v>
      </c>
      <c r="G7" s="9" t="n">
        <v>2</v>
      </c>
      <c r="H7" s="9" t="n">
        <v>10</v>
      </c>
      <c r="I7" s="9" t="n">
        <v>23</v>
      </c>
    </row>
    <row r="8">
      <c r="A8" s="9" t="n">
        <v>1936</v>
      </c>
      <c r="B8" s="9" t="n">
        <v>7</v>
      </c>
      <c r="C8" s="9" t="n">
        <v>5</v>
      </c>
      <c r="D8" s="9" t="n">
        <v>1</v>
      </c>
      <c r="E8" s="9" t="n">
        <v>13</v>
      </c>
      <c r="F8" s="9" t="n">
        <v>9</v>
      </c>
      <c r="G8" s="9" t="n">
        <v>3</v>
      </c>
      <c r="H8" s="9" t="n">
        <v>12</v>
      </c>
      <c r="I8" s="9" t="n">
        <v>25</v>
      </c>
    </row>
    <row r="9">
      <c r="A9" s="9" t="n">
        <v>1937</v>
      </c>
      <c r="B9" s="9" t="n">
        <v>8</v>
      </c>
      <c r="C9" s="9" t="n">
        <v>4</v>
      </c>
      <c r="D9" s="9" t="n">
        <v>1</v>
      </c>
      <c r="E9" s="9" t="n">
        <v>13</v>
      </c>
      <c r="F9" s="9" t="n">
        <v>10</v>
      </c>
      <c r="G9" s="9" t="n">
        <v>1</v>
      </c>
      <c r="H9" s="9" t="n">
        <v>11</v>
      </c>
      <c r="I9" s="9" t="n">
        <v>24</v>
      </c>
    </row>
    <row r="10">
      <c r="A10" s="9" t="n">
        <v>1938</v>
      </c>
      <c r="B10" s="9" t="n">
        <v>9</v>
      </c>
      <c r="C10" s="9" t="n">
        <v>5</v>
      </c>
      <c r="D10" t="inlineStr">
        <is>
          <t>—</t>
        </is>
      </c>
      <c r="E10" s="9" t="n">
        <v>14</v>
      </c>
      <c r="F10" s="9" t="n">
        <v>13</v>
      </c>
      <c r="G10" t="inlineStr">
        <is>
          <t>—</t>
        </is>
      </c>
      <c r="H10" s="9" t="n">
        <v>13</v>
      </c>
      <c r="I10" s="9" t="n">
        <v>27</v>
      </c>
    </row>
    <row r="11">
      <c r="A11" s="9" t="n">
        <v>1939</v>
      </c>
      <c r="B11" s="9" t="n">
        <v>7</v>
      </c>
      <c r="C11" s="9" t="n">
        <v>5</v>
      </c>
      <c r="D11" t="inlineStr">
        <is>
          <t>—</t>
        </is>
      </c>
      <c r="E11" s="9" t="n">
        <v>12</v>
      </c>
      <c r="F11" s="9" t="n">
        <v>10</v>
      </c>
      <c r="G11" s="9" t="n">
        <v>1</v>
      </c>
      <c r="H11" s="9" t="n">
        <v>11</v>
      </c>
      <c r="I11" s="9" t="n">
        <v>23</v>
      </c>
    </row>
    <row r="12">
      <c r="A12" t="inlineStr">
        <is>
          <t>Total</t>
        </is>
      </c>
      <c r="B12" s="9" t="n">
        <v>45</v>
      </c>
      <c r="C12" s="9" t="n">
        <v>28</v>
      </c>
      <c r="D12" s="9" t="n">
        <v>3</v>
      </c>
      <c r="E12" s="9" t="n">
        <v>76</v>
      </c>
      <c r="F12" s="9" t="n">
        <v>56</v>
      </c>
      <c r="G12" s="9" t="n">
        <v>8</v>
      </c>
      <c r="H12" s="9" t="n">
        <v>64</v>
      </c>
      <c r="I12" s="9" t="n">
        <v>140</v>
      </c>
    </row>
    <row r="14">
      <c r="A14" s="2" t="inlineStr">
        <is>
          <t>Transcriber's notes</t>
        </is>
      </c>
    </row>
    <row r="15">
      <c r="A15" t="inlineStr">
        <is>
          <t>Column 'Judicial Officers — Judges' total 45: parts sum to 45 — reconciles</t>
        </is>
      </c>
    </row>
    <row r="16">
      <c r="A16" t="inlineStr">
        <is>
          <t>Column 'Judicial Officers — Procurators' total 28: parts sum to 28 — reconciles</t>
        </is>
      </c>
    </row>
    <row r="17">
      <c r="A17" t="inlineStr">
        <is>
          <t>Column 'Judicial Officers — Other Officers' total 3: parts sum to 3 — reconciles</t>
        </is>
      </c>
    </row>
    <row r="18">
      <c r="A18" t="inlineStr">
        <is>
          <t>Column 'Judicial Officers — Total' total 76: parts sum to 76 — reconciles</t>
        </is>
      </c>
    </row>
    <row r="19">
      <c r="A19" t="inlineStr">
        <is>
          <t>Column 'Prison Officers — Chief wardens' total 56: parts sum to 56 — reconciles</t>
        </is>
      </c>
    </row>
    <row r="20">
      <c r="A20" t="inlineStr">
        <is>
          <t>Column 'Prison Officers — Other Officers' total 8: parts sum to 8 — reconciles</t>
        </is>
      </c>
    </row>
    <row r="21">
      <c r="A21" t="inlineStr">
        <is>
          <t>Column 'Prison Officers — Total' total 64: parts sum to 64 — reconciles</t>
        </is>
      </c>
    </row>
    <row r="22">
      <c r="A22" t="inlineStr">
        <is>
          <t>Column 'Grand Total' total 140: parts sum to 140 — reconciles</t>
        </is>
      </c>
    </row>
    <row r="23">
      <c r="A23" t="inlineStr">
        <is>
          <t>Row totals (Judicial Officers — Judges+Judicial Officers — Procurators+Judicial Officers — Other Officers=Judicial Officers — Total): all reconcile</t>
        </is>
      </c>
    </row>
    <row r="24">
      <c r="A24" t="inlineStr">
        <is>
          <t>Row totals (Prison Officers — Chief wardens+Prison Officers — Other Officers=Prison Officers — Total): all reconcile</t>
        </is>
      </c>
    </row>
    <row r="25">
      <c r="A25" t="inlineStr">
        <is>
          <t>Row totals (Judicial Officers — Total+Prison Officers — Total=Grand Total): all reconcile</t>
        </is>
      </c>
    </row>
    <row r="26">
      <c r="A26" t="inlineStr">
        <is>
          <t>Prison Officers columns are printed slightly staggered (photo skew); rows matched by year.</t>
        </is>
      </c>
    </row>
  </sheetData>
  <hyperlinks>
    <hyperlink xmlns:r="http://schemas.openxmlformats.org/officeDocument/2006/relationships" ref="A3" r:id="rId1"/>
  </hyperlink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Prison Inmates Classified by Races &amp; Crimes</t>
        </is>
      </c>
    </row>
    <row r="2">
      <c r="A2" t="inlineStr">
        <is>
          <t>Judicature · printed pp. 387, 388</t>
        </is>
      </c>
    </row>
    <row r="3">
      <c r="A3" t="inlineStr">
        <is>
          <t>(1938)</t>
        </is>
      </c>
    </row>
    <row r="4">
      <c r="A4" s="3" t="inlineStr">
        <is>
          <t>← Contents</t>
        </is>
      </c>
    </row>
    <row r="6">
      <c r="A6" s="2" t="inlineStr">
        <is>
          <t>(A) Criminal Law</t>
        </is>
      </c>
    </row>
    <row r="7">
      <c r="A7" s="5" t="inlineStr">
        <is>
          <t>Crime</t>
        </is>
      </c>
      <c r="B7" s="5" t="inlineStr">
        <is>
          <t>Manchoukuoan — Male</t>
        </is>
      </c>
      <c r="C7" s="5" t="inlineStr">
        <is>
          <t>Manchoukuoan — Female</t>
        </is>
      </c>
      <c r="D7" s="5" t="inlineStr">
        <is>
          <t>Japanese — Male</t>
        </is>
      </c>
      <c r="E7" s="5" t="inlineStr">
        <is>
          <t>Japanese — Female</t>
        </is>
      </c>
      <c r="F7" s="5" t="inlineStr">
        <is>
          <t>Chosenese — Male</t>
        </is>
      </c>
      <c r="G7" s="5" t="inlineStr">
        <is>
          <t>Chosenese — Female</t>
        </is>
      </c>
      <c r="H7" s="5" t="inlineStr">
        <is>
          <t>Total incl. Others</t>
        </is>
      </c>
    </row>
    <row r="8">
      <c r="A8" t="inlineStr">
        <is>
          <t>Bribery</t>
        </is>
      </c>
      <c r="B8" s="9" t="n">
        <v>276</v>
      </c>
      <c r="C8" s="9" t="n">
        <v>1</v>
      </c>
      <c r="D8" s="9" t="n">
        <v>1</v>
      </c>
      <c r="E8" s="9" t="n">
        <v>0</v>
      </c>
      <c r="F8" s="9" t="n">
        <v>1</v>
      </c>
      <c r="G8" s="9" t="n">
        <v>0</v>
      </c>
      <c r="H8" s="9" t="n">
        <v>280</v>
      </c>
    </row>
    <row r="9">
      <c r="A9" t="inlineStr">
        <is>
          <t>Disturbance of Public Duty</t>
        </is>
      </c>
      <c r="B9" s="9" t="n">
        <v>44</v>
      </c>
      <c r="C9" s="9" t="n">
        <v>0</v>
      </c>
      <c r="D9" s="9" t="n">
        <v>2</v>
      </c>
      <c r="E9" s="9" t="n">
        <v>0</v>
      </c>
      <c r="F9" s="9" t="n">
        <v>1</v>
      </c>
      <c r="G9" s="9" t="n">
        <v>0</v>
      </c>
      <c r="H9" s="9" t="n">
        <v>47</v>
      </c>
    </row>
    <row r="10">
      <c r="A10" t="inlineStr">
        <is>
          <t>Escape &amp; Concealment</t>
        </is>
      </c>
      <c r="B10" s="9" t="n">
        <v>37</v>
      </c>
      <c r="C10" s="9" t="n">
        <v>3</v>
      </c>
      <c r="D10" s="9" t="n">
        <v>0</v>
      </c>
      <c r="E10" s="9" t="n">
        <v>0</v>
      </c>
      <c r="F10" s="9" t="n">
        <v>0</v>
      </c>
      <c r="G10" s="9" t="n">
        <v>0</v>
      </c>
      <c r="H10" s="9" t="n">
        <v>40</v>
      </c>
    </row>
    <row r="11">
      <c r="A11" t="inlineStr">
        <is>
          <t>Perjury</t>
        </is>
      </c>
      <c r="B11" s="9" t="n">
        <v>19</v>
      </c>
      <c r="C11" s="9" t="n">
        <v>0</v>
      </c>
      <c r="D11" s="9" t="n">
        <v>0</v>
      </c>
      <c r="E11" s="9" t="n">
        <v>0</v>
      </c>
      <c r="F11" s="9" t="n">
        <v>0</v>
      </c>
      <c r="G11" s="9" t="n">
        <v>0</v>
      </c>
      <c r="H11" s="9" t="n">
        <v>20</v>
      </c>
    </row>
    <row r="12">
      <c r="A12" t="inlineStr">
        <is>
          <t>Defamation</t>
        </is>
      </c>
      <c r="B12" s="9" t="n">
        <v>395</v>
      </c>
      <c r="C12" s="9" t="n">
        <v>17</v>
      </c>
      <c r="D12" s="9" t="n">
        <v>0</v>
      </c>
      <c r="E12" s="9" t="n">
        <v>0</v>
      </c>
      <c r="F12" s="9" t="n">
        <v>0</v>
      </c>
      <c r="G12" s="9" t="n">
        <v>0</v>
      </c>
      <c r="H12" s="9" t="n">
        <v>413</v>
      </c>
    </row>
    <row r="13">
      <c r="A13" t="inlineStr">
        <is>
          <t>Public Danger</t>
        </is>
      </c>
      <c r="B13" s="9" t="n">
        <v>13</v>
      </c>
      <c r="C13" s="9" t="n">
        <v>0</v>
      </c>
      <c r="D13" s="9" t="n">
        <v>0</v>
      </c>
      <c r="E13" s="9" t="n">
        <v>0</v>
      </c>
      <c r="F13" s="9" t="n">
        <v>0</v>
      </c>
      <c r="G13" s="9" t="n">
        <v>0</v>
      </c>
      <c r="H13" s="9" t="n">
        <v>13</v>
      </c>
    </row>
    <row r="14">
      <c r="A14" t="inlineStr">
        <is>
          <t>Arson</t>
        </is>
      </c>
      <c r="B14" s="9" t="n">
        <v>20</v>
      </c>
      <c r="C14" s="9" t="n">
        <v>3</v>
      </c>
      <c r="D14" s="9" t="n">
        <v>0</v>
      </c>
      <c r="E14" s="9" t="n">
        <v>0</v>
      </c>
      <c r="F14" s="9" t="n">
        <v>2</v>
      </c>
      <c r="G14" s="9" t="n">
        <v>0</v>
      </c>
      <c r="H14" s="9" t="n">
        <v>25</v>
      </c>
    </row>
    <row r="15">
      <c r="A15" t="inlineStr">
        <is>
          <t>Disturbance of Traffic</t>
        </is>
      </c>
      <c r="B15" s="9" t="n">
        <v>4</v>
      </c>
      <c r="C15" s="9" t="n">
        <v>0</v>
      </c>
      <c r="D15" s="9" t="n">
        <v>0</v>
      </c>
      <c r="E15" s="9" t="n">
        <v>0</v>
      </c>
      <c r="F15" s="9" t="n">
        <v>1</v>
      </c>
      <c r="G15" s="9" t="n">
        <v>0</v>
      </c>
      <c r="H15" s="9" t="n">
        <v>5</v>
      </c>
    </row>
    <row r="16">
      <c r="A16" t="inlineStr">
        <is>
          <t>Forgery of Coins</t>
        </is>
      </c>
      <c r="B16" s="9" t="n">
        <v>80</v>
      </c>
      <c r="C16" s="9" t="n">
        <v>2</v>
      </c>
      <c r="D16" s="9" t="n">
        <v>0</v>
      </c>
      <c r="E16" s="9" t="n">
        <v>0</v>
      </c>
      <c r="F16" s="9" t="n">
        <v>5</v>
      </c>
      <c r="G16" s="9" t="n">
        <v>0</v>
      </c>
      <c r="H16" s="9" t="n">
        <v>87</v>
      </c>
    </row>
    <row r="17">
      <c r="A17" t="inlineStr">
        <is>
          <t>Forgery of Securities</t>
        </is>
      </c>
      <c r="B17" s="9" t="n">
        <v>5</v>
      </c>
      <c r="C17" s="9" t="n">
        <v>0</v>
      </c>
      <c r="D17" s="9" t="n">
        <v>1</v>
      </c>
      <c r="E17" s="9" t="n">
        <v>0</v>
      </c>
      <c r="F17" s="9" t="n">
        <v>1</v>
      </c>
      <c r="G17" s="9" t="n">
        <v>0</v>
      </c>
      <c r="H17" s="9" t="n">
        <v>8</v>
      </c>
    </row>
    <row r="18">
      <c r="A18" t="inlineStr">
        <is>
          <t>Forgery of Documents</t>
        </is>
      </c>
      <c r="B18" s="9" t="n">
        <v>125</v>
      </c>
      <c r="C18" s="9" t="n">
        <v>0</v>
      </c>
      <c r="D18" s="9" t="n">
        <v>1</v>
      </c>
      <c r="E18" s="9" t="n">
        <v>0</v>
      </c>
      <c r="F18" s="9" t="n">
        <v>0</v>
      </c>
      <c r="G18" s="9" t="n">
        <v>0</v>
      </c>
      <c r="H18" s="9" t="n">
        <v>129</v>
      </c>
    </row>
    <row r="19">
      <c r="A19" t="inlineStr">
        <is>
          <t>Profanity of Rites, defilement of Tombs &amp; Crops</t>
        </is>
      </c>
      <c r="B19" s="9" t="n">
        <v>76</v>
      </c>
      <c r="C19" s="9" t="n">
        <v>1</v>
      </c>
      <c r="D19" s="9" t="n">
        <v>0</v>
      </c>
      <c r="E19" s="9" t="n">
        <v>0</v>
      </c>
      <c r="F19" s="9" t="n">
        <v>0</v>
      </c>
      <c r="G19" s="9" t="n">
        <v>0</v>
      </c>
      <c r="H19" s="9" t="n">
        <v>79</v>
      </c>
    </row>
    <row r="20">
      <c r="A20" t="inlineStr">
        <is>
          <t>Public Moral</t>
        </is>
      </c>
      <c r="B20" s="9" t="n">
        <v>19</v>
      </c>
      <c r="C20" s="9" t="n">
        <v>10</v>
      </c>
      <c r="D20" s="9" t="n">
        <v>0</v>
      </c>
      <c r="E20" s="9" t="n">
        <v>0</v>
      </c>
      <c r="F20" s="9" t="n">
        <v>0</v>
      </c>
      <c r="G20" s="9" t="n">
        <v>0</v>
      </c>
      <c r="H20" s="9" t="n">
        <v>29</v>
      </c>
    </row>
    <row r="21">
      <c r="A21" t="inlineStr">
        <is>
          <t>Gambling</t>
        </is>
      </c>
      <c r="B21" s="9" t="n">
        <v>205</v>
      </c>
      <c r="C21" s="9" t="n">
        <v>20</v>
      </c>
      <c r="D21" s="9" t="n">
        <v>0</v>
      </c>
      <c r="E21" s="9" t="n">
        <v>0</v>
      </c>
      <c r="F21" s="9" t="n">
        <v>15</v>
      </c>
      <c r="G21" s="9" t="n">
        <v>0</v>
      </c>
      <c r="H21" s="9" t="n">
        <v>240</v>
      </c>
    </row>
    <row r="22">
      <c r="A22" t="inlineStr">
        <is>
          <t>Murder</t>
        </is>
      </c>
      <c r="B22" s="9" t="n">
        <v>581</v>
      </c>
      <c r="C22" s="9" t="n">
        <v>54</v>
      </c>
      <c r="D22" s="9" t="n">
        <v>0</v>
      </c>
      <c r="E22" s="9" t="n">
        <v>1</v>
      </c>
      <c r="F22" s="9" t="n">
        <v>3</v>
      </c>
      <c r="G22" s="9" t="n">
        <v>8</v>
      </c>
      <c r="H22" s="9" t="n">
        <v>732</v>
      </c>
    </row>
    <row r="23">
      <c r="A23" t="inlineStr">
        <is>
          <t>Battery &amp; Assault</t>
        </is>
      </c>
      <c r="B23" s="9" t="n">
        <v>311</v>
      </c>
      <c r="C23" s="9" t="n">
        <v>15</v>
      </c>
      <c r="D23" s="9" t="n">
        <v>8</v>
      </c>
      <c r="E23" s="9" t="n">
        <v>2</v>
      </c>
      <c r="F23" s="9" t="n">
        <v>19</v>
      </c>
      <c r="G23" s="9" t="n">
        <v>1</v>
      </c>
      <c r="H23" s="9" t="n">
        <v>379</v>
      </c>
    </row>
    <row r="24">
      <c r="A24" t="inlineStr">
        <is>
          <t>Abortion</t>
        </is>
      </c>
      <c r="B24" s="9" t="n">
        <v>3</v>
      </c>
      <c r="C24" s="9" t="n">
        <v>1</v>
      </c>
      <c r="D24" s="9" t="n">
        <v>0</v>
      </c>
      <c r="E24" s="9" t="n">
        <v>0</v>
      </c>
      <c r="F24" s="9" t="n">
        <v>0</v>
      </c>
      <c r="G24" s="9" t="n">
        <v>0</v>
      </c>
      <c r="H24" s="9" t="n">
        <v>4</v>
      </c>
    </row>
    <row r="25">
      <c r="A25" t="inlineStr">
        <is>
          <t>Disturbance of Freedom</t>
        </is>
      </c>
      <c r="B25" s="9" t="n">
        <v>29</v>
      </c>
      <c r="C25" s="9" t="n">
        <v>1</v>
      </c>
      <c r="D25" s="9" t="n">
        <v>0</v>
      </c>
      <c r="E25" s="9" t="n">
        <v>0</v>
      </c>
      <c r="F25" s="9" t="n">
        <v>1</v>
      </c>
      <c r="G25" s="9" t="n">
        <v>0</v>
      </c>
      <c r="H25" s="9" t="n">
        <v>33</v>
      </c>
    </row>
    <row r="26">
      <c r="A26" t="inlineStr">
        <is>
          <t>Kidnapping</t>
        </is>
      </c>
      <c r="B26" s="9" t="n">
        <v>122</v>
      </c>
      <c r="C26" s="9" t="n">
        <v>12</v>
      </c>
      <c r="D26" s="9" t="n">
        <v>0</v>
      </c>
      <c r="E26" s="9" t="n">
        <v>1</v>
      </c>
      <c r="F26" s="9" t="n">
        <v>0</v>
      </c>
      <c r="G26" s="9" t="n">
        <v>2</v>
      </c>
      <c r="H26" s="9" t="n">
        <v>141</v>
      </c>
    </row>
    <row r="27">
      <c r="A27" t="inlineStr">
        <is>
          <t>Adultery</t>
        </is>
      </c>
      <c r="B27" s="9" t="n">
        <v>183</v>
      </c>
      <c r="C27" s="9" t="n">
        <v>40</v>
      </c>
      <c r="D27" s="9" t="n">
        <v>0</v>
      </c>
      <c r="E27" s="9" t="n">
        <v>1</v>
      </c>
      <c r="F27" s="9" t="n">
        <v>0</v>
      </c>
      <c r="G27" s="9" t="n">
        <v>2</v>
      </c>
      <c r="H27" s="9" t="n">
        <v>243</v>
      </c>
    </row>
    <row r="28">
      <c r="A28" t="inlineStr">
        <is>
          <t>Blackmail</t>
        </is>
      </c>
      <c r="B28" s="9" t="n">
        <v>37</v>
      </c>
      <c r="C28" s="9" t="n">
        <v>1</v>
      </c>
      <c r="D28" s="9" t="n">
        <v>0</v>
      </c>
      <c r="E28" s="9" t="n">
        <v>0</v>
      </c>
      <c r="F28" s="9" t="n">
        <v>0</v>
      </c>
      <c r="G28" s="9" t="n">
        <v>0</v>
      </c>
      <c r="H28" s="9" t="n">
        <v>43</v>
      </c>
    </row>
    <row r="29">
      <c r="A29" t="inlineStr">
        <is>
          <t>Larceny</t>
        </is>
      </c>
      <c r="B29" s="6" t="n">
        <v>4826</v>
      </c>
      <c r="C29" s="9" t="n">
        <v>32</v>
      </c>
      <c r="D29" s="9" t="n">
        <v>130</v>
      </c>
      <c r="E29" s="9" t="n">
        <v>0</v>
      </c>
      <c r="F29" s="9" t="n">
        <v>320</v>
      </c>
      <c r="G29" s="9" t="n">
        <v>0</v>
      </c>
      <c r="H29" s="6" t="n">
        <v>5555</v>
      </c>
    </row>
    <row r="30">
      <c r="A30" t="inlineStr">
        <is>
          <t>Burglary</t>
        </is>
      </c>
      <c r="B30" s="6" t="n">
        <v>1238</v>
      </c>
      <c r="C30" s="9" t="n">
        <v>3</v>
      </c>
      <c r="D30" s="9" t="n">
        <v>2</v>
      </c>
      <c r="E30" s="9" t="n">
        <v>0</v>
      </c>
      <c r="F30" s="9" t="n">
        <v>5</v>
      </c>
      <c r="G30" s="9" t="n">
        <v>0</v>
      </c>
      <c r="H30" s="6" t="n">
        <v>1267</v>
      </c>
    </row>
    <row r="31">
      <c r="A31" t="inlineStr">
        <is>
          <t>Fraud &amp; Threat</t>
        </is>
      </c>
      <c r="B31" s="6" t="n">
        <v>1262</v>
      </c>
      <c r="C31" s="9" t="n">
        <v>14</v>
      </c>
      <c r="D31" s="9" t="n">
        <v>26</v>
      </c>
      <c r="E31" s="9" t="n">
        <v>0</v>
      </c>
      <c r="F31" s="9" t="n">
        <v>26</v>
      </c>
      <c r="G31" s="9" t="n">
        <v>0</v>
      </c>
      <c r="H31" s="6" t="n">
        <v>1426</v>
      </c>
    </row>
    <row r="32">
      <c r="A32" t="inlineStr">
        <is>
          <t>Breach of Trust</t>
        </is>
      </c>
      <c r="B32" s="9" t="n">
        <v>308</v>
      </c>
      <c r="C32" s="9" t="n">
        <v>3</v>
      </c>
      <c r="D32" s="9" t="n">
        <v>29</v>
      </c>
      <c r="E32" s="9" t="n">
        <v>0</v>
      </c>
      <c r="F32" s="9" t="n">
        <v>9</v>
      </c>
      <c r="G32" s="9" t="n">
        <v>0</v>
      </c>
      <c r="H32" s="9" t="n">
        <v>356</v>
      </c>
    </row>
    <row r="33">
      <c r="A33" t="inlineStr">
        <is>
          <t>Stolen Goods Concealed</t>
        </is>
      </c>
      <c r="B33" s="9" t="n">
        <v>266</v>
      </c>
      <c r="C33" s="9" t="n">
        <v>7</v>
      </c>
      <c r="D33" s="9" t="n">
        <v>3</v>
      </c>
      <c r="E33" s="9" t="n">
        <v>0</v>
      </c>
      <c r="F33" s="9" t="n">
        <v>12</v>
      </c>
      <c r="G33" s="9" t="n">
        <v>0</v>
      </c>
      <c r="H33" s="9" t="n">
        <v>303</v>
      </c>
    </row>
    <row r="34">
      <c r="A34" t="inlineStr">
        <is>
          <t>Total Incl. Others</t>
        </is>
      </c>
      <c r="B34" s="6" t="n">
        <v>10949</v>
      </c>
      <c r="C34" s="9" t="n">
        <v>242</v>
      </c>
      <c r="D34" s="9" t="n">
        <v>197</v>
      </c>
      <c r="E34" s="9" t="n">
        <v>5</v>
      </c>
      <c r="F34" s="9" t="n">
        <v>417</v>
      </c>
      <c r="G34" s="9" t="n">
        <v>13</v>
      </c>
      <c r="H34" s="6" t="n">
        <v>12448</v>
      </c>
    </row>
    <row r="36">
      <c r="A36" s="2" t="inlineStr">
        <is>
          <t>(B) Special Law</t>
        </is>
      </c>
    </row>
    <row r="37">
      <c r="A37" s="5" t="inlineStr">
        <is>
          <t>Crime</t>
        </is>
      </c>
      <c r="B37" s="5" t="inlineStr">
        <is>
          <t>Manchoukuoan — Male</t>
        </is>
      </c>
      <c r="C37" s="5" t="inlineStr">
        <is>
          <t>Manchoukuoan — Female</t>
        </is>
      </c>
      <c r="D37" s="5" t="inlineStr">
        <is>
          <t>Japanese — Male</t>
        </is>
      </c>
      <c r="E37" s="5" t="inlineStr">
        <is>
          <t>Japanese — Female</t>
        </is>
      </c>
      <c r="F37" s="5" t="inlineStr">
        <is>
          <t>Chosenese — Male</t>
        </is>
      </c>
      <c r="G37" s="5" t="inlineStr">
        <is>
          <t>Chosenese — Female</t>
        </is>
      </c>
      <c r="H37" s="5" t="inlineStr">
        <is>
          <t>Total incl. Others</t>
        </is>
      </c>
    </row>
    <row r="38">
      <c r="A38" t="inlineStr">
        <is>
          <t>Revolution</t>
        </is>
      </c>
      <c r="B38" s="9" t="n">
        <v>176</v>
      </c>
      <c r="C38" s="9" t="n">
        <v>5</v>
      </c>
      <c r="D38" s="9" t="n">
        <v>0</v>
      </c>
      <c r="E38" s="9" t="n">
        <v>0</v>
      </c>
      <c r="F38" s="9" t="n">
        <v>0</v>
      </c>
      <c r="G38" s="9" t="n">
        <v>0</v>
      </c>
      <c r="H38" s="9" t="n">
        <v>189</v>
      </c>
    </row>
    <row r="39">
      <c r="A39" t="inlineStr">
        <is>
          <t>Bandit</t>
        </is>
      </c>
      <c r="B39" s="6" t="n">
        <v>1687</v>
      </c>
      <c r="C39" s="9" t="n">
        <v>5</v>
      </c>
      <c r="D39" s="9" t="n">
        <v>0</v>
      </c>
      <c r="E39" s="9" t="n">
        <v>0</v>
      </c>
      <c r="F39" s="9" t="n">
        <v>10</v>
      </c>
      <c r="G39" s="9" t="n">
        <v>0</v>
      </c>
      <c r="H39" s="6" t="n">
        <v>1766</v>
      </c>
    </row>
    <row r="40">
      <c r="A40" t="inlineStr">
        <is>
          <t>Opium Law</t>
        </is>
      </c>
      <c r="B40" s="9" t="n">
        <v>456</v>
      </c>
      <c r="C40" s="9" t="n">
        <v>40</v>
      </c>
      <c r="D40" s="9" t="n">
        <v>7</v>
      </c>
      <c r="E40" s="9" t="n">
        <v>0</v>
      </c>
      <c r="F40" s="9" t="n">
        <v>156</v>
      </c>
      <c r="G40" s="9" t="n">
        <v>15</v>
      </c>
      <c r="H40" s="9" t="n">
        <v>656</v>
      </c>
    </row>
    <row r="41">
      <c r="A41" t="inlineStr">
        <is>
          <t>Arm &amp; Ammunition Law</t>
        </is>
      </c>
      <c r="B41" s="9" t="n">
        <v>116</v>
      </c>
      <c r="C41" s="9" t="n">
        <v>1</v>
      </c>
      <c r="D41" s="9" t="n">
        <v>0</v>
      </c>
      <c r="E41" s="9" t="n">
        <v>0</v>
      </c>
      <c r="F41" s="9" t="n">
        <v>0</v>
      </c>
      <c r="G41" s="9" t="n">
        <v>0</v>
      </c>
      <c r="H41" s="9" t="n">
        <v>117</v>
      </c>
    </row>
    <row r="42">
      <c r="A42" t="inlineStr">
        <is>
          <t>Publication Law</t>
        </is>
      </c>
      <c r="B42" s="9" t="n">
        <v>69</v>
      </c>
      <c r="C42" s="9" t="n">
        <v>2</v>
      </c>
      <c r="D42" s="9" t="n">
        <v>0</v>
      </c>
      <c r="E42" s="9" t="n">
        <v>0</v>
      </c>
      <c r="F42" s="9" t="n">
        <v>0</v>
      </c>
      <c r="G42" s="9" t="n">
        <v>0</v>
      </c>
      <c r="H42" s="9" t="n">
        <v>71</v>
      </c>
    </row>
    <row r="43">
      <c r="A43" t="inlineStr">
        <is>
          <t>Military Law</t>
        </is>
      </c>
      <c r="B43" s="9" t="n">
        <v>196</v>
      </c>
      <c r="C43" s="9" t="n">
        <v>0</v>
      </c>
      <c r="D43" s="9" t="n">
        <v>0</v>
      </c>
      <c r="E43" s="9" t="n">
        <v>0</v>
      </c>
      <c r="F43" s="9" t="n">
        <v>0</v>
      </c>
      <c r="G43" s="9" t="n">
        <v>0</v>
      </c>
      <c r="H43" s="9" t="n">
        <v>198</v>
      </c>
    </row>
    <row r="44">
      <c r="A44" t="inlineStr">
        <is>
          <t>Others</t>
        </is>
      </c>
      <c r="B44" s="9" t="n">
        <v>239</v>
      </c>
      <c r="C44" s="9" t="n">
        <v>32</v>
      </c>
      <c r="D44" s="9" t="n">
        <v>10</v>
      </c>
      <c r="E44" s="9" t="n">
        <v>0</v>
      </c>
      <c r="F44" s="9" t="n">
        <v>41</v>
      </c>
      <c r="G44" s="9" t="n">
        <v>1</v>
      </c>
      <c r="H44" s="9" t="n">
        <v>331</v>
      </c>
    </row>
    <row r="45">
      <c r="A45" t="inlineStr">
        <is>
          <t>Total</t>
        </is>
      </c>
      <c r="B45" s="6" t="n">
        <v>2939</v>
      </c>
      <c r="C45" s="9" t="n">
        <v>85</v>
      </c>
      <c r="D45" s="9" t="n">
        <v>17</v>
      </c>
      <c r="E45" s="9" t="n">
        <v>0</v>
      </c>
      <c r="F45" s="9" t="n">
        <v>207</v>
      </c>
      <c r="G45" s="9" t="n">
        <v>16</v>
      </c>
      <c r="H45" s="6" t="n">
        <v>3378</v>
      </c>
    </row>
    <row r="46">
      <c r="A46" t="inlineStr">
        <is>
          <t>Grand Total</t>
        </is>
      </c>
      <c r="B46" s="6" t="n">
        <v>13888</v>
      </c>
      <c r="C46" s="9" t="n">
        <v>327</v>
      </c>
      <c r="D46" s="9" t="n">
        <v>214</v>
      </c>
      <c r="E46" s="9" t="n">
        <v>5</v>
      </c>
      <c r="F46" s="9" t="n">
        <v>624</v>
      </c>
      <c r="G46" s="9" t="n">
        <v>29</v>
      </c>
      <c r="H46" s="6" t="n">
        <v>15826</v>
      </c>
    </row>
    <row r="48">
      <c r="A48" s="2" t="inlineStr">
        <is>
          <t>Transcriber's notes</t>
        </is>
      </c>
    </row>
    <row r="49">
      <c r="A49" t="inlineStr">
        <is>
          <t>(A) lists only selected crimes and its total is 'Total Incl. Others', so the listed rows are not expected to add to it: (A) Column 'Manchoukuoan — Male' total 10,949: parts sum to 10,484 — does NOT reconcile (diff 465); (A) Column 'Manchoukuoan — Female' total 242: parts sum to 240 — does NOT reconcile (diff 2); (A) Column 'Japanese — Male' total 197: parts sum to 203 — does NOT reconcile (diff -6); (A) Column 'Japanese — Female' total 5: parts sum to 5 — reconciles; (A) Column 'Chosenese — Male' total 417: parts sum to 421 — does NOT reconcile (diff -4); (A) Column 'Chosenese — Female' total 13: parts sum to 13 — reconciles; (A) Column 'Total incl. Others' total 12,448: parts sum to 11,897 — does NOT reconcile (diff 551)</t>
        </is>
      </c>
    </row>
    <row r="50">
      <c r="A50" t="inlineStr">
        <is>
          <t>(B) Special Law totals: (B) Column 'Manchoukuoan — Male' total 2,939: parts sum to 2,939 — reconciles; (B) Column 'Manchoukuoan — Female' total 85: parts sum to 85 — reconciles; (B) Column 'Japanese — Male' total 17: parts sum to 17 — reconciles; (B) Column 'Japanese — Female' total 0: parts sum to 0 — reconciles; (B) Column 'Chosenese — Male' total 207: parts sum to 207 — reconciles; (B) Column 'Chosenese — Female' total 16: parts sum to 16 — reconciles; (B) Column 'Total incl. Others' total 3,378: parts sum to 3,328 — does NOT reconcile (diff 50)</t>
        </is>
      </c>
    </row>
    <row r="51">
      <c r="A51" t="inlineStr">
        <is>
          <t>Grand Total = (A) total + (B) total: Column 'Manchoukuoan — Male' total 13,888: parts sum to 13,888 — reconciles</t>
        </is>
      </c>
    </row>
    <row r="52">
      <c r="A52" t="inlineStr">
        <is>
          <t>Grand Total = (A) total + (B) total: Column 'Manchoukuoan — Female' total 327: parts sum to 327 — reconciles</t>
        </is>
      </c>
    </row>
    <row r="53">
      <c r="A53" t="inlineStr">
        <is>
          <t>Grand Total = (A) total + (B) total: Column 'Japanese — Male' total 214: parts sum to 214 — reconciles</t>
        </is>
      </c>
    </row>
    <row r="54">
      <c r="A54" t="inlineStr">
        <is>
          <t>Grand Total = (A) total + (B) total: Column 'Japanese — Female' total 5: parts sum to 5 — reconciles</t>
        </is>
      </c>
    </row>
    <row r="55">
      <c r="A55" t="inlineStr">
        <is>
          <t>Grand Total = (A) total + (B) total: Column 'Chosenese — Male' total 624: parts sum to 624 — reconciles</t>
        </is>
      </c>
    </row>
    <row r="56">
      <c r="A56" t="inlineStr">
        <is>
          <t>Grand Total = (A) total + (B) total: Column 'Chosenese — Female' total 29: parts sum to 29 — reconciles</t>
        </is>
      </c>
    </row>
    <row r="57">
      <c r="A57" t="inlineStr">
        <is>
          <t>Grand Total = (A) total + (B) total: Column 'Total incl. Others' total 15,826: parts sum to 15,826 — reconciles</t>
        </is>
      </c>
    </row>
    <row r="58">
      <c r="A58" t="inlineStr">
        <is>
          <t>Table runs from p. 387 (Bribery...Abortion) to p. 388 (Disturbance of Freedom...Grand Total) with repeated column heads, no '(Continued)' label.</t>
        </is>
      </c>
    </row>
    <row r="59">
      <c r="A59" t="inlineStr">
        <is>
          <t>On p. 388 the 'Total incl. Others' column is printed slightly lower than the other columns (photo skew); matched in row order.</t>
        </is>
      </c>
    </row>
    <row r="60">
      <c r="A60" t="inlineStr">
        <is>
          <t>Individual 'Total incl. Others' row values exceed the sum of the six race/sex columns in several rows (other nationalities), as the heading implies. Grand Total row placed in part (B) as printed, but covers (A)+(B).</t>
        </is>
      </c>
    </row>
    <row r="61">
      <c r="A61" t="inlineStr">
        <is>
          <t>(A): although partial listing explains shortfalls, listed rows EXCEED the printed total for 'Japanese — Male' (203 vs 197) and 'Chosenese — Male' (421 vs 417) — genuine discrepancies in the source (cells re-read).</t>
        </is>
      </c>
    </row>
    <row r="62">
      <c r="A62" t="inlineStr">
        <is>
          <t>(B) row 'Opium Law': 'Total incl. Others' printed 656 (re-read, clear) is LESS than the sum of its six race/sex cells (674) — inconsistent in the source; a value of 706 would also make the (B) 'Total incl. Others' column reconcile to 3,378 (currently diff 50).</t>
        </is>
      </c>
    </row>
  </sheetData>
  <hyperlinks>
    <hyperlink xmlns:r="http://schemas.openxmlformats.org/officeDocument/2006/relationships" ref="A4" r:id="rId1"/>
  </hyperlink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Twenty-Year Plan for Implanting 1,000,000 Japanese Families (5,000,000 Persons) in Manchoukuo</t>
        </is>
      </c>
    </row>
    <row r="2">
      <c r="A2" t="inlineStr">
        <is>
          <t>Land Development · printed pp. 407</t>
        </is>
      </c>
    </row>
    <row r="3">
      <c r="A3" s="3" t="inlineStr">
        <is>
          <t>← Contents</t>
        </is>
      </c>
    </row>
    <row r="5">
      <c r="A5" s="5" t="inlineStr">
        <is>
          <t>Stage</t>
        </is>
      </c>
      <c r="B5" s="5" t="inlineStr">
        <is>
          <t>Group (Households)</t>
        </is>
      </c>
      <c r="C5" s="5" t="inlineStr">
        <is>
          <t>Collective (Households)</t>
        </is>
      </c>
      <c r="D5" s="5" t="inlineStr">
        <is>
          <t>Total (Households)</t>
        </is>
      </c>
      <c r="E5" s="5" t="inlineStr">
        <is>
          <t>Youth Volunteers (Persons)</t>
        </is>
      </c>
    </row>
    <row r="6">
      <c r="A6" t="inlineStr">
        <is>
          <t>1st stage: 1937-1941</t>
        </is>
      </c>
      <c r="B6" s="6" t="n">
        <v>70000</v>
      </c>
      <c r="C6" s="6" t="n">
        <v>30000</v>
      </c>
      <c r="D6" s="6" t="n">
        <v>100000</v>
      </c>
      <c r="E6" s="6" t="n">
        <v>120000</v>
      </c>
    </row>
    <row r="7">
      <c r="A7" t="inlineStr">
        <is>
          <t>2nd stage: 1942-1946</t>
        </is>
      </c>
      <c r="B7" s="6" t="n">
        <v>120000</v>
      </c>
      <c r="C7" s="6" t="n">
        <v>80000</v>
      </c>
      <c r="D7" s="6" t="n">
        <v>200000</v>
      </c>
      <c r="E7" s="6" t="n">
        <v>200000</v>
      </c>
    </row>
    <row r="8">
      <c r="A8" t="inlineStr">
        <is>
          <t>3rd stage: 1947-1951</t>
        </is>
      </c>
      <c r="B8" s="6" t="n">
        <v>140000</v>
      </c>
      <c r="C8" s="6" t="n">
        <v>160000</v>
      </c>
      <c r="D8" s="6" t="n">
        <v>300000</v>
      </c>
      <c r="E8" s="6" t="n">
        <v>300000</v>
      </c>
    </row>
    <row r="9">
      <c r="A9" t="inlineStr">
        <is>
          <t>4th stage: 1952-1956</t>
        </is>
      </c>
      <c r="B9" s="6" t="n">
        <v>170000</v>
      </c>
      <c r="C9" s="6" t="n">
        <v>230000</v>
      </c>
      <c r="D9" s="6" t="n">
        <v>400000</v>
      </c>
      <c r="E9" s="6" t="n">
        <v>400000</v>
      </c>
    </row>
    <row r="10">
      <c r="A10" t="inlineStr">
        <is>
          <t>Grand total</t>
        </is>
      </c>
      <c r="B10" s="6" t="n">
        <v>500000</v>
      </c>
      <c r="C10" s="6" t="n">
        <v>500000</v>
      </c>
      <c r="D10" s="6" t="n">
        <v>1000000</v>
      </c>
      <c r="E10" s="6" t="n">
        <v>1000000</v>
      </c>
    </row>
    <row r="12">
      <c r="A12" s="2" t="inlineStr">
        <is>
          <t>Footnotes</t>
        </is>
      </c>
    </row>
    <row r="13">
      <c r="A13" t="inlineStr">
        <is>
          <t>Note: "Group" settlers are formed by the Government of the emigrating country, consisting of 200 to 300 households, while "Collective" is formed of independent settlers usually of over ten households.</t>
        </is>
      </c>
    </row>
    <row r="15">
      <c r="A15" s="2" t="inlineStr">
        <is>
          <t>Transcriber's notes</t>
        </is>
      </c>
    </row>
    <row r="16">
      <c r="A16" t="inlineStr">
        <is>
          <t>Column 'Group (Households)' total 500,000: parts sum to 500,000 — reconciles</t>
        </is>
      </c>
    </row>
    <row r="17">
      <c r="A17" t="inlineStr">
        <is>
          <t>Column 'Collective (Households)' total 500,000: parts sum to 500,000 — reconciles</t>
        </is>
      </c>
    </row>
    <row r="18">
      <c r="A18" t="inlineStr">
        <is>
          <t>Column 'Total (Households)' total 1,000,000: parts sum to 1,000,000 — reconciles</t>
        </is>
      </c>
    </row>
    <row r="19">
      <c r="A19" t="inlineStr">
        <is>
          <t>Column 'Youth Volunteers (Persons)' total 1,000,000: parts sum to 1,020,000 — does NOT reconcile (diff -20,000)</t>
        </is>
      </c>
    </row>
    <row r="20">
      <c r="A20" t="inlineStr">
        <is>
          <t>Row totals (Group (Households)+Collective (Households)=Total (Households)): all reconcile</t>
        </is>
      </c>
    </row>
    <row r="21">
      <c r="A21" t="inlineStr">
        <is>
          <t>Youth Volunteers column re-read (120,000 / 200,000 / 300,000 / 400,000 clearly printed); Grand total 1,000,000 is 20,000 short of the parts — discrepancy in source.</t>
        </is>
      </c>
    </row>
  </sheetData>
  <hyperlinks>
    <hyperlink xmlns:r="http://schemas.openxmlformats.org/officeDocument/2006/relationships" ref="A3" r:id="rId1"/>
  </hyperlink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Per Household Government Subsidy</t>
        </is>
      </c>
    </row>
    <row r="2">
      <c r="A2" t="inlineStr">
        <is>
          <t>Land Development · printed pp. 408</t>
        </is>
      </c>
    </row>
    <row r="3">
      <c r="A3" t="inlineStr">
        <is>
          <t>(As revised since 1940)</t>
        </is>
      </c>
    </row>
    <row r="4">
      <c r="A4" s="3" t="inlineStr">
        <is>
          <t>← Contents</t>
        </is>
      </c>
    </row>
    <row r="6">
      <c r="A6" s="5" t="inlineStr">
        <is>
          <t>Kind</t>
        </is>
      </c>
      <c r="B6" s="5" t="inlineStr">
        <is>
          <t>Scale of group (Households)</t>
        </is>
      </c>
      <c r="C6" s="5" t="inlineStr">
        <is>
          <t>For Equipments (M¥)</t>
        </is>
      </c>
      <c r="D6" s="5" t="inlineStr">
        <is>
          <t>Supplementary Subsidy (M¥)</t>
        </is>
      </c>
      <c r="E6" s="5" t="inlineStr">
        <is>
          <t>Travelling Expenses (M¥)</t>
        </is>
      </c>
      <c r="F6" s="5" t="inlineStr">
        <is>
          <t>Total (M¥)</t>
        </is>
      </c>
    </row>
    <row r="7">
      <c r="A7" t="inlineStr">
        <is>
          <t>Group Settlers</t>
        </is>
      </c>
      <c r="B7" s="9" t="n">
        <v>300</v>
      </c>
      <c r="C7" s="9" t="n">
        <v>891</v>
      </c>
      <c r="D7" s="9" t="n">
        <v>30</v>
      </c>
      <c r="E7" s="9" t="n">
        <v>240</v>
      </c>
      <c r="F7" s="6" t="n">
        <v>1161</v>
      </c>
    </row>
    <row r="8">
      <c r="A8" t="inlineStr">
        <is>
          <t>Group Settlers</t>
        </is>
      </c>
      <c r="B8" s="9" t="n">
        <v>200</v>
      </c>
      <c r="C8" s="9" t="n">
        <v>938</v>
      </c>
      <c r="D8" s="9" t="n">
        <v>39</v>
      </c>
      <c r="E8" s="9" t="n">
        <v>240</v>
      </c>
      <c r="F8" s="6" t="n">
        <v>1217</v>
      </c>
    </row>
    <row r="9">
      <c r="A9" t="inlineStr">
        <is>
          <t>Collective Settlers</t>
        </is>
      </c>
      <c r="B9" s="9" t="n">
        <v>50</v>
      </c>
      <c r="C9" s="9" t="n">
        <v>772</v>
      </c>
      <c r="D9" s="9" t="n">
        <v>18</v>
      </c>
      <c r="E9" s="9" t="n">
        <v>240</v>
      </c>
      <c r="F9" s="6" t="n">
        <v>1030</v>
      </c>
    </row>
    <row r="10">
      <c r="A10" t="inlineStr">
        <is>
          <t>Free Settlers</t>
        </is>
      </c>
      <c r="B10" t="inlineStr">
        <is>
          <t>—</t>
        </is>
      </c>
      <c r="C10" s="9" t="n">
        <v>400</v>
      </c>
      <c r="D10" t="inlineStr">
        <is>
          <t>—</t>
        </is>
      </c>
      <c r="E10" s="9" t="n">
        <v>200</v>
      </c>
      <c r="F10" s="9" t="n">
        <v>600</v>
      </c>
    </row>
    <row r="11">
      <c r="A11" t="inlineStr">
        <is>
          <t>Industrial Settlers</t>
        </is>
      </c>
      <c r="B11" t="inlineStr">
        <is>
          <t>—</t>
        </is>
      </c>
      <c r="C11" s="6" t="n">
        <v>2000</v>
      </c>
      <c r="D11" t="inlineStr">
        <is>
          <t>—</t>
        </is>
      </c>
      <c r="E11" s="9" t="n">
        <v>200</v>
      </c>
      <c r="F11" s="6" t="n">
        <v>2200</v>
      </c>
    </row>
    <row r="12">
      <c r="A12" t="inlineStr">
        <is>
          <t>Other Settlers</t>
        </is>
      </c>
      <c r="B12" t="inlineStr">
        <is>
          <t>—</t>
        </is>
      </c>
      <c r="C12" t="inlineStr">
        <is>
          <t>—</t>
        </is>
      </c>
      <c r="D12" t="inlineStr">
        <is>
          <t>—</t>
        </is>
      </c>
      <c r="E12" s="9" t="n">
        <v>200</v>
      </c>
      <c r="F12" s="9" t="n">
        <v>200</v>
      </c>
    </row>
    <row r="14">
      <c r="A14" s="2" t="inlineStr">
        <is>
          <t>Transcriber's notes</t>
        </is>
      </c>
    </row>
    <row r="15">
      <c r="A15" t="inlineStr">
        <is>
          <t>Row totals (For Equipments (M¥)+Supplementary Subsidy (M¥)+Travelling Expenses (M¥)=Total (M¥)): all reconcile</t>
        </is>
      </c>
    </row>
  </sheetData>
  <hyperlinks>
    <hyperlink xmlns:r="http://schemas.openxmlformats.org/officeDocument/2006/relationships" ref="A4" r:id="rId1"/>
  </hyperlink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Japanese Settlers Classified by Localities</t>
        </is>
      </c>
    </row>
    <row r="2">
      <c r="A2" t="inlineStr">
        <is>
          <t>Land Development · printed pp. 413, 414</t>
        </is>
      </c>
    </row>
    <row r="3">
      <c r="A3" t="inlineStr">
        <is>
          <t>(1940 Nov.)</t>
        </is>
      </c>
    </row>
    <row r="4">
      <c r="A4" s="3" t="inlineStr">
        <is>
          <t>← Contents</t>
        </is>
      </c>
    </row>
    <row r="6">
      <c r="A6" s="2" t="inlineStr">
        <is>
          <t>(A) Group Settlers</t>
        </is>
      </c>
    </row>
    <row r="7">
      <c r="A7" s="5" t="inlineStr">
        <is>
          <t>Districts</t>
        </is>
      </c>
      <c r="B7" s="5" t="inlineStr">
        <is>
          <t>No. of Groups</t>
        </is>
      </c>
      <c r="C7" s="5" t="inlineStr">
        <is>
          <t>No. of Households</t>
        </is>
      </c>
      <c r="D7" s="5" t="inlineStr">
        <is>
          <t>Population</t>
        </is>
      </c>
      <c r="E7" s="5" t="inlineStr">
        <is>
          <t>Tilled Area (hectare)</t>
        </is>
      </c>
      <c r="F7" s="5" t="inlineStr">
        <is>
          <t>No. of Live-stocks</t>
        </is>
      </c>
    </row>
    <row r="8">
      <c r="A8" t="inlineStr">
        <is>
          <t>Chiamussu</t>
        </is>
      </c>
      <c r="B8" s="9" t="n">
        <v>34</v>
      </c>
      <c r="C8" s="6" t="n">
        <v>5081</v>
      </c>
      <c r="D8" s="6" t="n">
        <v>15137</v>
      </c>
      <c r="E8" s="6" t="n">
        <v>28224</v>
      </c>
      <c r="F8" s="6" t="n">
        <v>8475</v>
      </c>
    </row>
    <row r="9">
      <c r="A9" t="inlineStr">
        <is>
          <t>Antung</t>
        </is>
      </c>
      <c r="B9" s="9" t="n">
        <v>19</v>
      </c>
      <c r="C9" s="6" t="n">
        <v>3521</v>
      </c>
      <c r="D9" s="6" t="n">
        <v>11450</v>
      </c>
      <c r="E9" s="6" t="n">
        <v>17416</v>
      </c>
      <c r="F9" s="6" t="n">
        <v>7767</v>
      </c>
    </row>
    <row r="10">
      <c r="A10" t="inlineStr">
        <is>
          <t>Mutankiang</t>
        </is>
      </c>
      <c r="B10" s="9" t="n">
        <v>10</v>
      </c>
      <c r="C10" s="9" t="n">
        <v>756</v>
      </c>
      <c r="D10" s="6" t="n">
        <v>1497</v>
      </c>
      <c r="E10" s="6" t="n">
        <v>1993</v>
      </c>
      <c r="F10" s="9" t="n">
        <v>552</v>
      </c>
    </row>
    <row r="11">
      <c r="A11" t="inlineStr">
        <is>
          <t>Harbin</t>
        </is>
      </c>
      <c r="B11" s="9" t="n">
        <v>24</v>
      </c>
      <c r="C11" s="6" t="n">
        <v>3215</v>
      </c>
      <c r="D11" s="6" t="n">
        <v>9163</v>
      </c>
      <c r="E11" s="6" t="n">
        <v>9189</v>
      </c>
      <c r="F11" s="6" t="n">
        <v>1479</v>
      </c>
    </row>
    <row r="12">
      <c r="A12" t="inlineStr">
        <is>
          <t>Tsitsihar</t>
        </is>
      </c>
      <c r="B12" s="9" t="n">
        <v>17</v>
      </c>
      <c r="C12" s="6" t="n">
        <v>1129</v>
      </c>
      <c r="D12" s="6" t="n">
        <v>2444</v>
      </c>
      <c r="E12" s="6" t="n">
        <v>2201</v>
      </c>
      <c r="F12" s="6" t="n">
        <v>1285</v>
      </c>
    </row>
    <row r="13">
      <c r="A13" t="inlineStr">
        <is>
          <t>Peian</t>
        </is>
      </c>
      <c r="B13" s="9" t="n">
        <v>37</v>
      </c>
      <c r="C13" s="6" t="n">
        <v>2913</v>
      </c>
      <c r="D13" s="6" t="n">
        <v>7672</v>
      </c>
      <c r="E13" s="6" t="n">
        <v>10886</v>
      </c>
      <c r="F13" s="6" t="n">
        <v>4213</v>
      </c>
    </row>
    <row r="14">
      <c r="A14" t="inlineStr">
        <is>
          <t>Kirin</t>
        </is>
      </c>
      <c r="B14" s="9" t="n">
        <v>10</v>
      </c>
      <c r="C14" s="6" t="n">
        <v>1334</v>
      </c>
      <c r="D14" s="6" t="n">
        <v>3201</v>
      </c>
      <c r="E14" s="6" t="n">
        <v>3011</v>
      </c>
      <c r="F14" s="6" t="n">
        <v>1116</v>
      </c>
    </row>
    <row r="15">
      <c r="A15" t="inlineStr">
        <is>
          <t>Hsinking</t>
        </is>
      </c>
      <c r="B15" t="inlineStr">
        <is>
          <t>—</t>
        </is>
      </c>
      <c r="C15" t="inlineStr">
        <is>
          <t>—</t>
        </is>
      </c>
      <c r="D15" t="inlineStr">
        <is>
          <t>—</t>
        </is>
      </c>
      <c r="E15" t="inlineStr">
        <is>
          <t>—</t>
        </is>
      </c>
      <c r="F15" t="inlineStr">
        <is>
          <t>—</t>
        </is>
      </c>
    </row>
    <row r="16">
      <c r="A16" t="inlineStr">
        <is>
          <t>Mukden</t>
        </is>
      </c>
      <c r="B16" t="inlineStr">
        <is>
          <t>—</t>
        </is>
      </c>
      <c r="C16" t="inlineStr">
        <is>
          <t>—</t>
        </is>
      </c>
      <c r="D16" t="inlineStr">
        <is>
          <t>—</t>
        </is>
      </c>
      <c r="E16" t="inlineStr">
        <is>
          <t>—</t>
        </is>
      </c>
      <c r="F16" t="inlineStr">
        <is>
          <t>—</t>
        </is>
      </c>
    </row>
    <row r="17">
      <c r="A17" t="inlineStr">
        <is>
          <t>Total</t>
        </is>
      </c>
      <c r="B17" s="9" t="n">
        <v>151</v>
      </c>
      <c r="C17" s="6" t="n">
        <v>17949</v>
      </c>
      <c r="D17" s="6" t="n">
        <v>50564</v>
      </c>
      <c r="E17" s="6" t="n">
        <v>72920</v>
      </c>
      <c r="F17" s="6" t="n">
        <v>24887</v>
      </c>
    </row>
    <row r="19">
      <c r="A19" s="2" t="inlineStr">
        <is>
          <t>(B) Collective Settlers</t>
        </is>
      </c>
    </row>
    <row r="20">
      <c r="A20" s="5" t="inlineStr">
        <is>
          <t>Districts</t>
        </is>
      </c>
      <c r="B20" s="5" t="inlineStr">
        <is>
          <t>No. of Groups</t>
        </is>
      </c>
      <c r="C20" s="5" t="inlineStr">
        <is>
          <t>No. of Households</t>
        </is>
      </c>
      <c r="D20" s="5" t="inlineStr">
        <is>
          <t>Population</t>
        </is>
      </c>
      <c r="E20" s="5" t="inlineStr">
        <is>
          <t>Tilled Area (hectare)</t>
        </is>
      </c>
      <c r="F20" s="5" t="inlineStr">
        <is>
          <t>No. of Live-stocks</t>
        </is>
      </c>
    </row>
    <row r="21">
      <c r="A21" t="inlineStr">
        <is>
          <t>Chiamussu</t>
        </is>
      </c>
      <c r="B21" s="9" t="n">
        <v>12</v>
      </c>
      <c r="C21" s="9" t="n">
        <v>126</v>
      </c>
      <c r="D21" s="9" t="n">
        <v>544</v>
      </c>
      <c r="E21" s="6" t="n">
        <v>3474</v>
      </c>
      <c r="F21" s="9" t="n">
        <v>526</v>
      </c>
    </row>
    <row r="22">
      <c r="A22" t="inlineStr">
        <is>
          <t>Antung</t>
        </is>
      </c>
      <c r="B22" s="9" t="n">
        <v>10</v>
      </c>
      <c r="C22" s="9" t="n">
        <v>426</v>
      </c>
      <c r="D22" s="6" t="n">
        <v>1470</v>
      </c>
      <c r="E22" s="6" t="n">
        <v>1302</v>
      </c>
      <c r="F22" s="9" t="n">
        <v>426</v>
      </c>
    </row>
    <row r="23">
      <c r="A23" t="inlineStr">
        <is>
          <t>Mutankiang</t>
        </is>
      </c>
      <c r="B23" s="9" t="n">
        <v>10</v>
      </c>
      <c r="C23" s="9" t="n">
        <v>314</v>
      </c>
      <c r="D23" s="6" t="n">
        <v>1007</v>
      </c>
      <c r="E23" s="6" t="n">
        <v>1380</v>
      </c>
      <c r="F23" s="9" t="n">
        <v>237</v>
      </c>
    </row>
    <row r="24">
      <c r="A24" t="inlineStr">
        <is>
          <t>Harbin</t>
        </is>
      </c>
      <c r="B24" s="9" t="n">
        <v>15</v>
      </c>
      <c r="C24" s="9" t="n">
        <v>545</v>
      </c>
      <c r="D24" s="6" t="n">
        <v>1666</v>
      </c>
      <c r="E24" s="6" t="n">
        <v>2908</v>
      </c>
      <c r="F24" s="9" t="n">
        <v>390</v>
      </c>
    </row>
    <row r="25">
      <c r="A25" t="inlineStr">
        <is>
          <t>Tsitsihar</t>
        </is>
      </c>
      <c r="B25" s="9" t="n">
        <v>7</v>
      </c>
      <c r="C25" s="9" t="n">
        <v>125</v>
      </c>
      <c r="D25" s="9" t="n">
        <v>189</v>
      </c>
      <c r="E25" s="9" t="n">
        <v>493</v>
      </c>
      <c r="F25" s="9" t="n">
        <v>326</v>
      </c>
    </row>
    <row r="26">
      <c r="A26" t="inlineStr">
        <is>
          <t>Peian</t>
        </is>
      </c>
      <c r="B26" s="9" t="n">
        <v>6</v>
      </c>
      <c r="C26" s="9" t="n">
        <v>168</v>
      </c>
      <c r="D26" s="9" t="n">
        <v>517</v>
      </c>
      <c r="E26" s="9" t="n">
        <v>348</v>
      </c>
      <c r="F26" s="9" t="n">
        <v>267</v>
      </c>
    </row>
    <row r="27">
      <c r="A27" t="inlineStr">
        <is>
          <t>Kirin</t>
        </is>
      </c>
      <c r="B27" s="9" t="n">
        <v>29</v>
      </c>
      <c r="C27" s="6" t="n">
        <v>1019</v>
      </c>
      <c r="D27" s="6" t="n">
        <v>2977</v>
      </c>
      <c r="E27" s="6" t="n">
        <v>3831</v>
      </c>
      <c r="F27" s="6" t="n">
        <v>1081</v>
      </c>
    </row>
    <row r="28">
      <c r="A28" t="inlineStr">
        <is>
          <t>Hsinking</t>
        </is>
      </c>
      <c r="B28" s="9" t="n">
        <v>8</v>
      </c>
      <c r="C28" s="9" t="n">
        <v>212</v>
      </c>
      <c r="D28" s="9" t="n">
        <v>531</v>
      </c>
      <c r="E28" s="9" t="n">
        <v>532</v>
      </c>
      <c r="F28" s="9" t="n">
        <v>63</v>
      </c>
    </row>
    <row r="29">
      <c r="A29" t="inlineStr">
        <is>
          <t>Mukden</t>
        </is>
      </c>
      <c r="B29" s="9" t="n">
        <v>18</v>
      </c>
      <c r="C29" s="9" t="n">
        <v>553</v>
      </c>
      <c r="D29" s="6" t="n">
        <v>1927</v>
      </c>
      <c r="E29" s="6" t="n">
        <v>3594</v>
      </c>
      <c r="F29" s="9" t="n">
        <v>819</v>
      </c>
    </row>
    <row r="30">
      <c r="A30" t="inlineStr">
        <is>
          <t>Ry. Protective Villages</t>
        </is>
      </c>
      <c r="B30" s="9" t="n">
        <v>23</v>
      </c>
      <c r="C30" s="9" t="n">
        <v>409</v>
      </c>
      <c r="D30" s="6" t="n">
        <v>1444</v>
      </c>
      <c r="E30" s="6" t="n">
        <v>4523</v>
      </c>
      <c r="F30" s="9" t="n">
        <v>670</v>
      </c>
    </row>
    <row r="31">
      <c r="A31" t="inlineStr">
        <is>
          <t>Total</t>
        </is>
      </c>
      <c r="B31" s="9" t="n">
        <v>138</v>
      </c>
      <c r="C31" s="6" t="n">
        <v>3987</v>
      </c>
      <c r="D31" s="6" t="n">
        <v>12272</v>
      </c>
      <c r="E31" s="6" t="n">
        <v>22285</v>
      </c>
      <c r="F31" s="6" t="n">
        <v>4805</v>
      </c>
    </row>
    <row r="32">
      <c r="A32" t="inlineStr">
        <is>
          <t>Total of A &amp; B</t>
        </is>
      </c>
      <c r="B32" s="9" t="n">
        <v>289</v>
      </c>
      <c r="C32" s="6" t="n">
        <v>21936</v>
      </c>
      <c r="D32" s="6" t="n">
        <v>62836</v>
      </c>
      <c r="E32" s="6" t="n">
        <v>95205</v>
      </c>
      <c r="F32" s="6" t="n">
        <v>29692</v>
      </c>
    </row>
    <row r="34">
      <c r="A34" s="2" t="inlineStr">
        <is>
          <t>Transcriber's notes</t>
        </is>
      </c>
    </row>
    <row r="35">
      <c r="A35" t="inlineStr">
        <is>
          <t>(A) Column 'No. of Groups' total 151: parts sum to 151 — reconciles</t>
        </is>
      </c>
    </row>
    <row r="36">
      <c r="A36" t="inlineStr">
        <is>
          <t>(A) Column 'No. of Households' total 17,949: parts sum to 17,949 — reconciles</t>
        </is>
      </c>
    </row>
    <row r="37">
      <c r="A37" t="inlineStr">
        <is>
          <t>(A) Column 'Population' total 50,564: parts sum to 50,564 — reconciles</t>
        </is>
      </c>
    </row>
    <row r="38">
      <c r="A38" t="inlineStr">
        <is>
          <t>(A) Column 'Tilled Area (hectare)' total 72,920: parts sum to 72,920 — reconciles</t>
        </is>
      </c>
    </row>
    <row r="39">
      <c r="A39" t="inlineStr">
        <is>
          <t>(A) Column 'No. of Live-stocks' total 24,887: parts sum to 24,887 — reconciles</t>
        </is>
      </c>
    </row>
    <row r="40">
      <c r="A40" t="inlineStr">
        <is>
          <t>(B) Column 'No. of Groups' total 138: parts sum to 138 — reconciles</t>
        </is>
      </c>
    </row>
    <row r="41">
      <c r="A41" t="inlineStr">
        <is>
          <t>(B) Column 'No. of Households' total 3,987: parts sum to 3,897 — does NOT reconcile (diff 90)</t>
        </is>
      </c>
    </row>
    <row r="42">
      <c r="A42" t="inlineStr">
        <is>
          <t>(B) Column 'Population' total 12,272: parts sum to 12,272 — reconciles</t>
        </is>
      </c>
    </row>
    <row r="43">
      <c r="A43" t="inlineStr">
        <is>
          <t>(B) Column 'Tilled Area (hectare)' total 22,285: parts sum to 22,385 — does NOT reconcile (diff -100)</t>
        </is>
      </c>
    </row>
    <row r="44">
      <c r="A44" t="inlineStr">
        <is>
          <t>(B) Column 'No. of Live-stocks' total 4,805: parts sum to 4,805 — reconciles</t>
        </is>
      </c>
    </row>
    <row r="45">
      <c r="A45" t="inlineStr">
        <is>
          <t>Total of A &amp; B = (A) Total + (B) Total: Column 'No. of Groups' total 289: parts sum to 289 — reconciles</t>
        </is>
      </c>
    </row>
    <row r="46">
      <c r="A46" t="inlineStr">
        <is>
          <t>Total of A &amp; B = (A) Total + (B) Total: Column 'No. of Households' total 21,936: parts sum to 21,936 — reconciles</t>
        </is>
      </c>
    </row>
    <row r="47">
      <c r="A47" t="inlineStr">
        <is>
          <t>Total of A &amp; B = (A) Total + (B) Total: Column 'Population' total 62,836: parts sum to 62,836 — reconciles</t>
        </is>
      </c>
    </row>
    <row r="48">
      <c r="A48" t="inlineStr">
        <is>
          <t>Total of A &amp; B = (A) Total + (B) Total: Column 'Tilled Area (hectare)' total 95,205: parts sum to 95,205 — reconciles</t>
        </is>
      </c>
    </row>
    <row r="49">
      <c r="A49" t="inlineStr">
        <is>
          <t>Total of A &amp; B = (A) Total + (B) Total: Column 'No. of Live-stocks' total 29,692: parts sum to 29,692 — reconciles</t>
        </is>
      </c>
    </row>
    <row r="50">
      <c r="A50" t="inlineStr">
        <is>
          <t>Part (A) on p. 413 (IMG_5665), part (B) on p. 414 (IMG_5666). In (B) the Live-stocks column is printed about half a line lower than the other columns (photo skew); matched in row order.</t>
        </is>
      </c>
    </row>
    <row r="51">
      <c r="A51" t="inlineStr">
        <is>
          <t>(B) Households and Tilled Area cells re-read on a close crop; figures are clear — discrepancies (Households +90, Tilled Area −100) are in the source. Note Total of A &amp; B reconciles with the printed (B) totals.</t>
        </is>
      </c>
    </row>
  </sheetData>
  <hyperlinks>
    <hyperlink xmlns:r="http://schemas.openxmlformats.org/officeDocument/2006/relationships" ref="A4" r:id="rId1"/>
  </hyperlink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Number of Chosenese Settlers</t>
        </is>
      </c>
    </row>
    <row r="2">
      <c r="A2" t="inlineStr">
        <is>
          <t>Land Development · printed pp. 414</t>
        </is>
      </c>
    </row>
    <row r="3">
      <c r="A3" s="3" t="inlineStr">
        <is>
          <t>← Contents</t>
        </is>
      </c>
    </row>
    <row r="5">
      <c r="A5" s="5" t="inlineStr">
        <is>
          <t>Year</t>
        </is>
      </c>
      <c r="B5" s="5" t="inlineStr">
        <is>
          <t>Group Settlers — Households</t>
        </is>
      </c>
      <c r="C5" s="5" t="inlineStr">
        <is>
          <t>Group Settlers — Persons</t>
        </is>
      </c>
      <c r="D5" s="5" t="inlineStr">
        <is>
          <t>Collective Settlers — Households</t>
        </is>
      </c>
      <c r="E5" s="5" t="inlineStr">
        <is>
          <t>Collective Settlers — Persons</t>
        </is>
      </c>
      <c r="F5" s="5" t="inlineStr">
        <is>
          <t>Total incl. Others — Households</t>
        </is>
      </c>
      <c r="G5" s="5" t="inlineStr">
        <is>
          <t>Total incl. Others — Persons</t>
        </is>
      </c>
    </row>
    <row r="6">
      <c r="A6" s="9" t="n">
        <v>1937</v>
      </c>
      <c r="B6" s="9" t="n">
        <v>0</v>
      </c>
      <c r="C6" s="9" t="n">
        <v>0</v>
      </c>
      <c r="D6" s="6" t="n">
        <v>2478</v>
      </c>
      <c r="E6" s="6" t="n">
        <v>12951</v>
      </c>
      <c r="F6" s="6" t="n">
        <v>2478</v>
      </c>
      <c r="G6" s="6" t="n">
        <v>12951</v>
      </c>
    </row>
    <row r="7">
      <c r="A7" s="9" t="n">
        <v>1938</v>
      </c>
      <c r="B7" s="9" t="n">
        <v>0</v>
      </c>
      <c r="C7" s="9" t="n">
        <v>0</v>
      </c>
      <c r="D7" s="6" t="n">
        <v>2854</v>
      </c>
      <c r="E7" s="6" t="n">
        <v>14427</v>
      </c>
      <c r="F7" s="6" t="n">
        <v>7309</v>
      </c>
      <c r="G7" s="6" t="n">
        <v>28437</v>
      </c>
    </row>
    <row r="8">
      <c r="A8" s="9" t="n">
        <v>1939</v>
      </c>
      <c r="B8" s="9" t="n">
        <v>0</v>
      </c>
      <c r="C8" s="9" t="n">
        <v>0</v>
      </c>
      <c r="D8" s="6" t="n">
        <v>4981</v>
      </c>
      <c r="E8" s="6" t="n">
        <v>26861</v>
      </c>
      <c r="F8" s="6" t="n">
        <v>7595</v>
      </c>
      <c r="G8" s="6" t="n">
        <v>36631</v>
      </c>
    </row>
    <row r="9">
      <c r="A9" s="9" t="n">
        <v>1940</v>
      </c>
      <c r="B9" s="6" t="n">
        <v>2827</v>
      </c>
      <c r="C9" s="6" t="n">
        <v>5478</v>
      </c>
      <c r="D9" s="6" t="n">
        <v>1164</v>
      </c>
      <c r="E9" s="6" t="n">
        <v>5864</v>
      </c>
      <c r="F9" s="6" t="n">
        <v>5824</v>
      </c>
      <c r="G9" s="6" t="n">
        <v>18499</v>
      </c>
    </row>
    <row r="10">
      <c r="A10" t="inlineStr">
        <is>
          <t>Total</t>
        </is>
      </c>
      <c r="B10" s="6" t="n">
        <v>2827</v>
      </c>
      <c r="C10" s="6" t="n">
        <v>5478</v>
      </c>
      <c r="D10" s="6" t="n">
        <v>11851</v>
      </c>
      <c r="E10" s="6" t="n">
        <v>60103</v>
      </c>
      <c r="F10" s="6" t="n">
        <v>23563</v>
      </c>
      <c r="G10" s="6" t="n">
        <v>96518</v>
      </c>
    </row>
    <row r="12">
      <c r="A12" s="2" t="inlineStr">
        <is>
          <t>Transcriber's notes</t>
        </is>
      </c>
    </row>
    <row r="13">
      <c r="A13" t="inlineStr">
        <is>
          <t>Column 'Group Settlers — Households' total 2,827: parts sum to 2,827 — reconciles</t>
        </is>
      </c>
    </row>
    <row r="14">
      <c r="A14" t="inlineStr">
        <is>
          <t>Column 'Group Settlers — Persons' total 5,478: parts sum to 5,478 — reconciles</t>
        </is>
      </c>
    </row>
    <row r="15">
      <c r="A15" t="inlineStr">
        <is>
          <t>Column 'Collective Settlers — Households' total 11,851: parts sum to 11,477 — does NOT reconcile (diff 374)</t>
        </is>
      </c>
    </row>
    <row r="16">
      <c r="A16" t="inlineStr">
        <is>
          <t>Column 'Collective Settlers — Persons' total 60,103: parts sum to 60,103 — reconciles</t>
        </is>
      </c>
    </row>
    <row r="17">
      <c r="A17" t="inlineStr">
        <is>
          <t>Column 'Total incl. Others — Households' total 23,563: parts sum to 23,206 — does NOT reconcile (diff 357)</t>
        </is>
      </c>
    </row>
    <row r="18">
      <c r="A18" t="inlineStr">
        <is>
          <t>Column 'Total incl. Others — Persons' total 96,518: parts sum to 96,518 — reconciles</t>
        </is>
      </c>
    </row>
    <row r="19">
      <c r="A19" t="inlineStr">
        <is>
          <t>'Total incl. Others' includes settlers other than group/collective, so row sums of group+collective are not expected to equal it. Row 1939 Collective Households printed '4;981' (comma looks like semicolon) — transcribed as 4,981.</t>
        </is>
      </c>
    </row>
    <row r="20">
      <c r="A20" t="inlineStr">
        <is>
          <t>Households columns re-read on a close crop; figures clear — discrepancies (Collective +374, Total incl. Others +357) are in the source.</t>
        </is>
      </c>
    </row>
  </sheetData>
  <hyperlinks>
    <hyperlink xmlns:r="http://schemas.openxmlformats.org/officeDocument/2006/relationships" ref="A3" r:id="rId1"/>
  </hyperlink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Utilization of Land</t>
        </is>
      </c>
    </row>
    <row r="2">
      <c r="A2" t="inlineStr">
        <is>
          <t>Agriculture · printed pp. 419</t>
        </is>
      </c>
    </row>
    <row r="3">
      <c r="A3" t="inlineStr">
        <is>
          <t>(Unit: 1,000 hectares)</t>
        </is>
      </c>
    </row>
    <row r="4">
      <c r="A4" s="3" t="inlineStr">
        <is>
          <t>← Contents</t>
        </is>
      </c>
    </row>
    <row r="6">
      <c r="A6" s="5" t="inlineStr">
        <is>
          <t>Category</t>
        </is>
      </c>
      <c r="B6" s="5" t="inlineStr">
        <is>
          <t>Sub-division (1,000 ha)</t>
        </is>
      </c>
      <c r="C6" s="5" t="inlineStr">
        <is>
          <t>Sub-division (%)</t>
        </is>
      </c>
      <c r="D6" s="5" t="inlineStr">
        <is>
          <t>Area (1,000 ha)</t>
        </is>
      </c>
      <c r="E6" s="5" t="inlineStr">
        <is>
          <t>Per cent</t>
        </is>
      </c>
    </row>
    <row r="7">
      <c r="A7" t="inlineStr">
        <is>
          <t>Arable Land</t>
        </is>
      </c>
      <c r="B7" t="inlineStr"/>
      <c r="C7" t="inlineStr"/>
      <c r="D7" s="6" t="n">
        <v>31696</v>
      </c>
      <c r="E7" t="inlineStr">
        <is>
          <t>34%</t>
        </is>
      </c>
    </row>
    <row r="8">
      <c r="A8" t="inlineStr">
        <is>
          <t>Cultivated</t>
        </is>
      </c>
      <c r="B8" s="6" t="n">
        <v>13940</v>
      </c>
      <c r="C8" t="inlineStr">
        <is>
          <t>(44%)</t>
        </is>
      </c>
      <c r="D8" t="inlineStr"/>
      <c r="E8" t="inlineStr"/>
    </row>
    <row r="9">
      <c r="A9" t="inlineStr">
        <is>
          <t>Not yet Cultivated</t>
        </is>
      </c>
      <c r="B9" s="6" t="n">
        <v>17756</v>
      </c>
      <c r="C9" t="inlineStr">
        <is>
          <t>(56%)</t>
        </is>
      </c>
      <c r="D9" t="inlineStr"/>
      <c r="E9" t="inlineStr"/>
    </row>
    <row r="10">
      <c r="A10" t="inlineStr">
        <is>
          <t>Unarable Land</t>
        </is>
      </c>
      <c r="B10" t="inlineStr"/>
      <c r="C10" t="inlineStr"/>
      <c r="D10" s="6" t="n">
        <v>60801</v>
      </c>
      <c r="E10" t="inlineStr">
        <is>
          <t>66%</t>
        </is>
      </c>
    </row>
    <row r="11">
      <c r="A11" t="inlineStr">
        <is>
          <t>Forest Zone</t>
        </is>
      </c>
      <c r="B11" s="6" t="n">
        <v>21651</v>
      </c>
      <c r="C11" t="inlineStr">
        <is>
          <t>(36%)</t>
        </is>
      </c>
      <c r="D11" t="inlineStr"/>
      <c r="E11" t="inlineStr"/>
    </row>
    <row r="12">
      <c r="A12" t="inlineStr">
        <is>
          <t>Others</t>
        </is>
      </c>
      <c r="B12" s="6" t="n">
        <v>39150</v>
      </c>
      <c r="C12" t="inlineStr">
        <is>
          <t>(64%)</t>
        </is>
      </c>
      <c r="D12" t="inlineStr"/>
      <c r="E12" t="inlineStr"/>
    </row>
    <row r="13">
      <c r="A13" t="inlineStr">
        <is>
          <t>Total Area</t>
        </is>
      </c>
      <c r="B13" t="inlineStr"/>
      <c r="C13" t="inlineStr"/>
      <c r="D13" s="6" t="n">
        <v>29499</v>
      </c>
      <c r="E13" t="inlineStr">
        <is>
          <t>100%</t>
        </is>
      </c>
    </row>
    <row r="15">
      <c r="A15" s="2" t="inlineStr">
        <is>
          <t>Transcriber's notes</t>
        </is>
      </c>
    </row>
    <row r="16">
      <c r="A16" t="inlineStr">
        <is>
          <t>Page number not printed (chapter opening page); 419 inferred from facing page 418.</t>
        </is>
      </c>
    </row>
    <row r="17">
      <c r="A17" t="inlineStr">
        <is>
          <t>Arable Land 31,696: 13,940 + 17,756 = 31,696 — reconciles.</t>
        </is>
      </c>
    </row>
    <row r="18">
      <c r="A18" t="inlineStr">
        <is>
          <t>Unarable Land 60,801: 21,651 + 39,150 = 60,801 — reconciles.</t>
        </is>
      </c>
    </row>
    <row r="19">
      <c r="A19" t="inlineStr">
        <is>
          <t>Total Area printed 29,499: 31,696 + 60,801 = 92,497 — does NOT reconcile (diff 62,998; apparent misprint). In the copy the printed figure is struck through by hand and '92,497 ?' written below in ink; transcribed the printed figure.</t>
        </is>
      </c>
    </row>
  </sheetData>
  <hyperlinks>
    <hyperlink xmlns:r="http://schemas.openxmlformats.org/officeDocument/2006/relationships" ref="A4" r:id="rId1"/>
  </hyperlink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K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Area Under Various Crops</t>
        </is>
      </c>
    </row>
    <row r="2">
      <c r="A2" t="inlineStr">
        <is>
          <t>Agriculture · printed pp. 425</t>
        </is>
      </c>
    </row>
    <row r="3">
      <c r="A3" t="inlineStr">
        <is>
          <t>(In 1,000 hectares)</t>
        </is>
      </c>
    </row>
    <row r="4">
      <c r="A4" s="3" t="inlineStr">
        <is>
          <t>← Contents</t>
        </is>
      </c>
    </row>
    <row r="6">
      <c r="A6" s="5" t="inlineStr">
        <is>
          <t>Year</t>
        </is>
      </c>
      <c r="B6" s="5" t="inlineStr">
        <is>
          <t>Soya Beans</t>
        </is>
      </c>
      <c r="C6" s="5" t="inlineStr">
        <is>
          <t>Other Beans</t>
        </is>
      </c>
      <c r="D6" s="5" t="inlineStr">
        <is>
          <t>Kaoliang</t>
        </is>
      </c>
      <c r="E6" s="5" t="inlineStr">
        <is>
          <t>Millet</t>
        </is>
      </c>
      <c r="F6" s="5" t="inlineStr">
        <is>
          <t>Maize</t>
        </is>
      </c>
      <c r="G6" s="5" t="inlineStr">
        <is>
          <t>Wheat</t>
        </is>
      </c>
      <c r="H6" s="5" t="inlineStr">
        <is>
          <t>Rice</t>
        </is>
      </c>
      <c r="I6" s="5" t="inlineStr">
        <is>
          <t>Upland rice</t>
        </is>
      </c>
      <c r="J6" s="5" t="inlineStr">
        <is>
          <t>Other cereals</t>
        </is>
      </c>
      <c r="K6" s="5" t="inlineStr">
        <is>
          <t>Total incl. others</t>
        </is>
      </c>
    </row>
    <row r="7">
      <c r="A7" s="9" t="n">
        <v>1925</v>
      </c>
      <c r="B7" s="6" t="n">
        <v>2691</v>
      </c>
      <c r="C7" s="9" t="n">
        <v>303</v>
      </c>
      <c r="D7" s="6" t="n">
        <v>2532</v>
      </c>
      <c r="E7" s="6" t="n">
        <v>1902</v>
      </c>
      <c r="F7" s="6" t="n">
        <v>1107</v>
      </c>
      <c r="G7" s="9" t="n">
        <v>881</v>
      </c>
      <c r="H7" s="9" t="n">
        <v>94</v>
      </c>
      <c r="I7" s="9" t="n">
        <v>111</v>
      </c>
      <c r="J7" s="9" t="n">
        <v>694</v>
      </c>
      <c r="K7" s="6" t="n">
        <v>10314</v>
      </c>
    </row>
    <row r="8">
      <c r="A8" s="9" t="n">
        <v>1926</v>
      </c>
      <c r="B8" s="6" t="n">
        <v>3349</v>
      </c>
      <c r="C8" s="9" t="n">
        <v>438</v>
      </c>
      <c r="D8" s="6" t="n">
        <v>2401</v>
      </c>
      <c r="E8" s="6" t="n">
        <v>1926</v>
      </c>
      <c r="F8" s="6" t="n">
        <v>1177</v>
      </c>
      <c r="G8" s="9" t="n">
        <v>896</v>
      </c>
      <c r="H8" s="9" t="n">
        <v>111</v>
      </c>
      <c r="I8" s="9" t="n">
        <v>120</v>
      </c>
      <c r="J8" s="9" t="n">
        <v>777</v>
      </c>
      <c r="K8" s="6" t="n">
        <v>11196</v>
      </c>
    </row>
    <row r="9">
      <c r="A9" s="9" t="n">
        <v>1927</v>
      </c>
      <c r="B9" s="6" t="n">
        <v>3559</v>
      </c>
      <c r="C9" s="9" t="n">
        <v>448</v>
      </c>
      <c r="D9" s="6" t="n">
        <v>2674</v>
      </c>
      <c r="E9" s="6" t="n">
        <v>2115</v>
      </c>
      <c r="F9" s="6" t="n">
        <v>1083</v>
      </c>
      <c r="G9" s="6" t="n">
        <v>1139</v>
      </c>
      <c r="H9" s="9" t="n">
        <v>126</v>
      </c>
      <c r="I9" s="9" t="n">
        <v>117</v>
      </c>
      <c r="J9" s="9" t="n">
        <v>813</v>
      </c>
      <c r="K9" s="6" t="n">
        <v>12070</v>
      </c>
    </row>
    <row r="10">
      <c r="A10" s="9" t="n">
        <v>1928</v>
      </c>
      <c r="B10" s="6" t="n">
        <v>3760</v>
      </c>
      <c r="C10" s="9" t="n">
        <v>474</v>
      </c>
      <c r="D10" s="6" t="n">
        <v>2916</v>
      </c>
      <c r="E10" s="6" t="n">
        <v>2184</v>
      </c>
      <c r="F10" s="6" t="n">
        <v>1068</v>
      </c>
      <c r="G10" s="6" t="n">
        <v>1317</v>
      </c>
      <c r="H10" s="9" t="n">
        <v>83</v>
      </c>
      <c r="I10" s="9" t="n">
        <v>101</v>
      </c>
      <c r="J10" s="6" t="n">
        <v>1169</v>
      </c>
      <c r="K10" s="6" t="n">
        <v>13072</v>
      </c>
    </row>
    <row r="11">
      <c r="A11" s="9" t="n">
        <v>1929</v>
      </c>
      <c r="B11" s="6" t="n">
        <v>4017</v>
      </c>
      <c r="C11" s="9" t="n">
        <v>401</v>
      </c>
      <c r="D11" s="6" t="n">
        <v>2988</v>
      </c>
      <c r="E11" s="6" t="n">
        <v>2148</v>
      </c>
      <c r="F11" s="9" t="n">
        <v>937</v>
      </c>
      <c r="G11" s="6" t="n">
        <v>1299</v>
      </c>
      <c r="H11" s="9" t="n">
        <v>89</v>
      </c>
      <c r="I11" s="9" t="n">
        <v>112</v>
      </c>
      <c r="J11" s="6" t="n">
        <v>1051</v>
      </c>
      <c r="K11" s="6" t="n">
        <v>13042</v>
      </c>
    </row>
    <row r="12">
      <c r="A12" s="9" t="n">
        <v>1930</v>
      </c>
      <c r="B12" s="6" t="n">
        <v>4153</v>
      </c>
      <c r="C12" s="9" t="n">
        <v>407</v>
      </c>
      <c r="D12" s="6" t="n">
        <v>3056</v>
      </c>
      <c r="E12" s="6" t="n">
        <v>2227</v>
      </c>
      <c r="F12" s="9" t="n">
        <v>957</v>
      </c>
      <c r="G12" s="6" t="n">
        <v>1382</v>
      </c>
      <c r="H12" s="9" t="n">
        <v>99</v>
      </c>
      <c r="I12" s="9" t="n">
        <v>109</v>
      </c>
      <c r="J12" s="6" t="n">
        <v>1096</v>
      </c>
      <c r="K12" s="6" t="n">
        <v>13486</v>
      </c>
    </row>
    <row r="13">
      <c r="A13" s="9" t="n">
        <v>1931</v>
      </c>
      <c r="B13" s="6" t="n">
        <v>4235</v>
      </c>
      <c r="C13" s="9" t="n">
        <v>367</v>
      </c>
      <c r="D13" s="6" t="n">
        <v>3004</v>
      </c>
      <c r="E13" s="6" t="n">
        <v>2351</v>
      </c>
      <c r="F13" s="6" t="n">
        <v>1086</v>
      </c>
      <c r="G13" s="6" t="n">
        <v>1588</v>
      </c>
      <c r="H13" s="9" t="n">
        <v>83</v>
      </c>
      <c r="I13" s="9" t="n">
        <v>119</v>
      </c>
      <c r="J13" s="6" t="n">
        <v>1242</v>
      </c>
      <c r="K13" s="6" t="n">
        <v>14315</v>
      </c>
    </row>
    <row r="14">
      <c r="A14" s="9" t="n">
        <v>1932</v>
      </c>
      <c r="B14" s="6" t="n">
        <v>4144</v>
      </c>
      <c r="C14" s="9" t="n">
        <v>375</v>
      </c>
      <c r="D14" s="6" t="n">
        <v>2710</v>
      </c>
      <c r="E14" s="6" t="n">
        <v>2272</v>
      </c>
      <c r="F14" s="6" t="n">
        <v>1112</v>
      </c>
      <c r="G14" s="6" t="n">
        <v>1488</v>
      </c>
      <c r="H14" s="9" t="n">
        <v>67</v>
      </c>
      <c r="I14" s="9" t="n">
        <v>107</v>
      </c>
      <c r="J14" s="6" t="n">
        <v>1212</v>
      </c>
      <c r="K14" s="6" t="n">
        <v>13486</v>
      </c>
    </row>
    <row r="15">
      <c r="A15" s="9" t="n">
        <v>1933</v>
      </c>
      <c r="B15" s="6" t="n">
        <v>3879</v>
      </c>
      <c r="C15" s="9" t="n">
        <v>301</v>
      </c>
      <c r="D15" s="6" t="n">
        <v>2661</v>
      </c>
      <c r="E15" s="6" t="n">
        <v>2157</v>
      </c>
      <c r="F15" s="9" t="n">
        <v>980</v>
      </c>
      <c r="G15" s="6" t="n">
        <v>1395</v>
      </c>
      <c r="H15" s="9" t="n">
        <v>63</v>
      </c>
      <c r="I15" s="9" t="n">
        <v>105</v>
      </c>
      <c r="J15" s="6" t="n">
        <v>1124</v>
      </c>
      <c r="K15" s="6" t="n">
        <v>12665</v>
      </c>
    </row>
    <row r="16">
      <c r="A16" s="9" t="n">
        <v>1934</v>
      </c>
      <c r="B16" s="6" t="n">
        <v>3273</v>
      </c>
      <c r="C16" s="9" t="n">
        <v>322</v>
      </c>
      <c r="D16" s="6" t="n">
        <v>2706</v>
      </c>
      <c r="E16" s="6" t="n">
        <v>2170</v>
      </c>
      <c r="F16" s="6" t="n">
        <v>1123</v>
      </c>
      <c r="G16" s="9" t="n">
        <v>826</v>
      </c>
      <c r="H16" s="9" t="n">
        <v>101</v>
      </c>
      <c r="I16" s="9" t="n">
        <v>102</v>
      </c>
      <c r="J16" s="6" t="n">
        <v>1273</v>
      </c>
      <c r="K16" t="inlineStr"/>
    </row>
    <row r="17">
      <c r="A17" s="9" t="n">
        <v>1935</v>
      </c>
      <c r="B17" s="6" t="n">
        <v>3303</v>
      </c>
      <c r="C17" s="9" t="n">
        <v>347</v>
      </c>
      <c r="D17" s="6" t="n">
        <v>2855</v>
      </c>
      <c r="E17" s="6" t="n">
        <v>2458</v>
      </c>
      <c r="F17" s="6" t="n">
        <v>1254</v>
      </c>
      <c r="G17" s="9" t="n">
        <v>993</v>
      </c>
      <c r="H17" s="9" t="n">
        <v>121</v>
      </c>
      <c r="I17" s="9" t="n">
        <v>114</v>
      </c>
      <c r="J17" s="9" t="n">
        <v>977</v>
      </c>
      <c r="K17" s="6" t="n">
        <v>12422</v>
      </c>
    </row>
    <row r="18">
      <c r="A18" s="9" t="n">
        <v>1936</v>
      </c>
      <c r="B18" s="6" t="n">
        <v>3468</v>
      </c>
      <c r="C18" s="9" t="n">
        <v>379</v>
      </c>
      <c r="D18" s="6" t="n">
        <v>2994</v>
      </c>
      <c r="E18" s="6" t="n">
        <v>2555</v>
      </c>
      <c r="F18" s="6" t="n">
        <v>1313</v>
      </c>
      <c r="G18" s="6" t="n">
        <v>1094</v>
      </c>
      <c r="H18" s="9" t="n">
        <v>175</v>
      </c>
      <c r="I18" s="9" t="n">
        <v>114</v>
      </c>
      <c r="J18" s="9" t="n">
        <v>983</v>
      </c>
      <c r="K18" s="6" t="n">
        <v>13076</v>
      </c>
    </row>
    <row r="19">
      <c r="A19" s="9" t="n">
        <v>1937</v>
      </c>
      <c r="B19" s="6" t="n">
        <v>3591</v>
      </c>
      <c r="C19" s="9" t="n">
        <v>376</v>
      </c>
      <c r="D19" s="6" t="n">
        <v>3046</v>
      </c>
      <c r="E19" s="6" t="n">
        <v>2613</v>
      </c>
      <c r="F19" s="6" t="n">
        <v>1419</v>
      </c>
      <c r="G19" s="6" t="n">
        <v>1216</v>
      </c>
      <c r="H19" s="9" t="n">
        <v>211</v>
      </c>
      <c r="I19" s="9" t="n">
        <v>105</v>
      </c>
      <c r="J19" s="6" t="n">
        <v>1037</v>
      </c>
      <c r="K19" s="6" t="n">
        <v>13613</v>
      </c>
    </row>
    <row r="20">
      <c r="A20" s="9" t="n">
        <v>1938</v>
      </c>
      <c r="B20" s="6" t="n">
        <v>3869</v>
      </c>
      <c r="C20" s="9" t="n">
        <v>397</v>
      </c>
      <c r="D20" s="6" t="n">
        <v>3224</v>
      </c>
      <c r="E20" s="6" t="n">
        <v>2935</v>
      </c>
      <c r="F20" s="6" t="n">
        <v>1534</v>
      </c>
      <c r="G20" s="6" t="n">
        <v>1288</v>
      </c>
      <c r="H20" s="9" t="n">
        <v>258</v>
      </c>
      <c r="I20" s="9" t="n">
        <v>101</v>
      </c>
      <c r="J20" s="6" t="n">
        <v>1071</v>
      </c>
      <c r="K20" s="6" t="n">
        <v>14679</v>
      </c>
    </row>
    <row r="21">
      <c r="A21" s="9" t="n">
        <v>1939</v>
      </c>
      <c r="B21" s="6" t="n">
        <v>4157</v>
      </c>
      <c r="C21" s="9" t="n">
        <v>522</v>
      </c>
      <c r="D21" s="6" t="n">
        <v>3929</v>
      </c>
      <c r="E21" s="6" t="n">
        <v>3690</v>
      </c>
      <c r="F21" s="6" t="n">
        <v>2007</v>
      </c>
      <c r="G21" s="6" t="n">
        <v>1282</v>
      </c>
      <c r="H21" s="9" t="n">
        <v>286</v>
      </c>
      <c r="I21" s="9" t="n">
        <v>104</v>
      </c>
      <c r="J21" s="6" t="n">
        <v>1705</v>
      </c>
      <c r="K21" s="6" t="n">
        <v>17680</v>
      </c>
    </row>
    <row r="22">
      <c r="A22" s="9" t="n">
        <v>1940</v>
      </c>
      <c r="B22" s="6" t="n">
        <v>3825</v>
      </c>
      <c r="C22" s="9" t="n">
        <v>523</v>
      </c>
      <c r="D22" s="6" t="n">
        <v>4107</v>
      </c>
      <c r="E22" s="6" t="n">
        <v>3902</v>
      </c>
      <c r="F22" s="6" t="n">
        <v>2301</v>
      </c>
      <c r="G22" s="6" t="n">
        <v>1022</v>
      </c>
      <c r="H22" s="9" t="n">
        <v>430</v>
      </c>
      <c r="I22" t="inlineStr"/>
      <c r="J22" s="6" t="n">
        <v>1766</v>
      </c>
      <c r="K22" s="6" t="n">
        <v>17876</v>
      </c>
    </row>
    <row r="24">
      <c r="A24" s="2" t="inlineStr">
        <is>
          <t>Footnotes</t>
        </is>
      </c>
    </row>
    <row r="25">
      <c r="A25" t="inlineStr">
        <is>
          <t>Note: Statistics from 1934 are the investigation of the Dept. of Industry.</t>
        </is>
      </c>
    </row>
    <row r="27">
      <c r="A27" s="2" t="inlineStr">
        <is>
          <t>Transcriber's notes</t>
        </is>
      </c>
    </row>
    <row r="28">
      <c r="A28" t="inlineStr">
        <is>
          <t>1940 row: Rice and Upland rice printed as a single combined figure 430 under a brace spanning both columns; entered in 'Rice' with 'Upland rice' left empty.</t>
        </is>
      </c>
    </row>
    <row r="29">
      <c r="A29" t="inlineStr">
        <is>
          <t>Year stubs are printed slightly out of line with the figures because of page curvature; 16 stubs (1925-1940) match 16 data rows.</t>
        </is>
      </c>
    </row>
    <row r="30">
      <c r="A30" t="inlineStr">
        <is>
          <t>Row 1934, col 'Total incl. others': middle digit damaged — reads either 11,397 or 11,897; left empty. Parts sum to 11,896.</t>
        </is>
      </c>
    </row>
    <row r="31">
      <c r="A31" t="inlineStr">
        <is>
          <t>Total incl. others includes unlisted crops, so it need not equal the listed parts. Row-by-row parts sum vs printed total: 1925 10,315/10,314; 1926 11,195/11,196; 1927 12,074/12,070; 1928-1930 exact; 1931 14,075/14,315 (total exceeds parts by 240); 1932 13,487/13,486; 1933 exact; 1934 see above; 1935 exact; 1936 13,075/13,076; 1937 13,614/13,613; 1938 14,677/14,679; 1939 17,682/17,680; 1940 exact. All within rounding except 1931 (+240, possibly 'others').</t>
        </is>
      </c>
    </row>
  </sheetData>
  <hyperlinks>
    <hyperlink xmlns:r="http://schemas.openxmlformats.org/officeDocument/2006/relationships" ref="A4" r:id="rId1"/>
  </hyperlink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Output of Principal Crops</t>
        </is>
      </c>
    </row>
    <row r="2">
      <c r="A2" t="inlineStr">
        <is>
          <t>Agriculture · printed pp. 425, 426</t>
        </is>
      </c>
    </row>
    <row r="3">
      <c r="A3" t="inlineStr">
        <is>
          <t>(In 1,000 Metric tons)</t>
        </is>
      </c>
    </row>
    <row r="4">
      <c r="A4" s="3" t="inlineStr">
        <is>
          <t>← Contents</t>
        </is>
      </c>
    </row>
    <row r="6">
      <c r="A6" s="5" t="inlineStr">
        <is>
          <t>Year</t>
        </is>
      </c>
      <c r="B6" s="5" t="inlineStr">
        <is>
          <t>Soya Beans</t>
        </is>
      </c>
      <c r="C6" s="5" t="inlineStr">
        <is>
          <t>Other Beans</t>
        </is>
      </c>
      <c r="D6" s="5" t="inlineStr">
        <is>
          <t>Kaoliang</t>
        </is>
      </c>
      <c r="E6" s="5" t="inlineStr">
        <is>
          <t>Millet</t>
        </is>
      </c>
      <c r="F6" s="5" t="inlineStr">
        <is>
          <t>Maize</t>
        </is>
      </c>
      <c r="G6" s="5" t="inlineStr">
        <is>
          <t>Wheat</t>
        </is>
      </c>
      <c r="H6" s="5" t="inlineStr">
        <is>
          <t>Rice</t>
        </is>
      </c>
      <c r="I6" s="5" t="inlineStr">
        <is>
          <t>Upland rice</t>
        </is>
      </c>
      <c r="J6" s="5" t="inlineStr">
        <is>
          <t>Other cereals</t>
        </is>
      </c>
      <c r="K6" s="5" t="inlineStr">
        <is>
          <t>Total incl. others</t>
        </is>
      </c>
    </row>
    <row r="7">
      <c r="A7" t="inlineStr"/>
      <c r="B7" s="6" t="n">
        <v>3455</v>
      </c>
      <c r="C7" s="9" t="n">
        <v>256</v>
      </c>
      <c r="D7" s="6" t="n">
        <v>4477</v>
      </c>
      <c r="E7" s="6" t="n">
        <v>3042</v>
      </c>
      <c r="F7" s="6" t="n">
        <v>1694</v>
      </c>
      <c r="G7" s="9" t="n">
        <v>806</v>
      </c>
      <c r="H7" s="9" t="n">
        <v>95</v>
      </c>
      <c r="I7" s="9" t="n">
        <v>88</v>
      </c>
      <c r="J7" s="9" t="n">
        <v>760</v>
      </c>
      <c r="K7" s="6" t="n">
        <v>14672</v>
      </c>
    </row>
    <row r="8">
      <c r="A8" s="9" t="n">
        <v>1925</v>
      </c>
      <c r="B8" s="6" t="n">
        <v>4188</v>
      </c>
      <c r="C8" s="9" t="n">
        <v>334</v>
      </c>
      <c r="D8" s="6" t="n">
        <v>4710</v>
      </c>
      <c r="E8" s="6" t="n">
        <v>3137</v>
      </c>
      <c r="F8" s="6" t="n">
        <v>1888</v>
      </c>
      <c r="G8" s="9" t="n">
        <v>962</v>
      </c>
      <c r="H8" s="9" t="n">
        <v>193</v>
      </c>
      <c r="I8" s="9" t="n">
        <v>150</v>
      </c>
      <c r="J8" s="9" t="n">
        <v>891</v>
      </c>
      <c r="K8" s="6" t="n">
        <v>16453</v>
      </c>
    </row>
    <row r="9">
      <c r="A9" s="9" t="n">
        <v>1926</v>
      </c>
      <c r="B9" s="6" t="n">
        <v>4790</v>
      </c>
      <c r="C9" s="9" t="n">
        <v>523</v>
      </c>
      <c r="D9" s="6" t="n">
        <v>4550</v>
      </c>
      <c r="E9" s="6" t="n">
        <v>2982</v>
      </c>
      <c r="F9" s="6" t="n">
        <v>1774</v>
      </c>
      <c r="G9" s="9" t="n">
        <v>969</v>
      </c>
      <c r="H9" s="9" t="n">
        <v>181</v>
      </c>
      <c r="I9" s="9" t="n">
        <v>134</v>
      </c>
      <c r="J9" s="9" t="n">
        <v>829</v>
      </c>
      <c r="K9" s="6" t="n">
        <v>16731</v>
      </c>
    </row>
    <row r="10">
      <c r="A10" s="9" t="n">
        <v>1927</v>
      </c>
      <c r="B10" s="6" t="n">
        <v>4835</v>
      </c>
      <c r="C10" s="9" t="n">
        <v>580</v>
      </c>
      <c r="D10" s="6" t="n">
        <v>4605</v>
      </c>
      <c r="E10" s="6" t="n">
        <v>3226</v>
      </c>
      <c r="F10" s="6" t="n">
        <v>1803</v>
      </c>
      <c r="G10" s="6" t="n">
        <v>1446</v>
      </c>
      <c r="H10" s="9" t="n">
        <v>149</v>
      </c>
      <c r="I10" s="9" t="n">
        <v>147</v>
      </c>
      <c r="J10" s="6" t="n">
        <v>1018</v>
      </c>
      <c r="K10" s="6" t="n">
        <v>17810</v>
      </c>
    </row>
    <row r="11">
      <c r="A11" s="9" t="n">
        <v>1928</v>
      </c>
      <c r="B11" s="6" t="n">
        <v>4852</v>
      </c>
      <c r="C11" s="9" t="n">
        <v>622</v>
      </c>
      <c r="D11" s="6" t="n">
        <v>4643</v>
      </c>
      <c r="E11" s="6" t="n">
        <v>3290</v>
      </c>
      <c r="F11" s="6" t="n">
        <v>1853</v>
      </c>
      <c r="G11" s="6" t="n">
        <v>1471</v>
      </c>
      <c r="H11" s="9" t="n">
        <v>151</v>
      </c>
      <c r="I11" s="9" t="n">
        <v>145</v>
      </c>
      <c r="J11" s="6" t="n">
        <v>1271</v>
      </c>
      <c r="K11" s="6" t="n">
        <v>18298</v>
      </c>
    </row>
    <row r="12">
      <c r="A12" s="9" t="n">
        <v>1929</v>
      </c>
      <c r="B12" s="6" t="n">
        <v>4865</v>
      </c>
      <c r="C12" s="9" t="n">
        <v>550</v>
      </c>
      <c r="D12" s="6" t="n">
        <v>4712</v>
      </c>
      <c r="E12" s="6" t="n">
        <v>3374</v>
      </c>
      <c r="F12" s="6" t="n">
        <v>1733</v>
      </c>
      <c r="G12" s="6" t="n">
        <v>1303</v>
      </c>
      <c r="H12" s="9" t="n">
        <v>138</v>
      </c>
      <c r="I12" s="9" t="n">
        <v>157</v>
      </c>
      <c r="J12" s="6" t="n">
        <v>1601</v>
      </c>
      <c r="K12" s="6" t="n">
        <v>18434</v>
      </c>
    </row>
    <row r="13">
      <c r="A13" s="9" t="n">
        <v>1930</v>
      </c>
      <c r="B13" s="6" t="n">
        <v>5318</v>
      </c>
      <c r="C13" s="9" t="n">
        <v>519</v>
      </c>
      <c r="D13" s="6" t="n">
        <v>4818</v>
      </c>
      <c r="E13" s="6" t="n">
        <v>3304</v>
      </c>
      <c r="F13" s="6" t="n">
        <v>1719</v>
      </c>
      <c r="G13" s="6" t="n">
        <v>1538</v>
      </c>
      <c r="H13" s="9" t="n">
        <v>156</v>
      </c>
      <c r="I13" s="9" t="n">
        <v>158</v>
      </c>
      <c r="J13" s="6" t="n">
        <v>1730</v>
      </c>
      <c r="K13" s="6" t="n">
        <v>19080</v>
      </c>
    </row>
    <row r="14">
      <c r="A14" s="9" t="n">
        <v>1931</v>
      </c>
      <c r="B14" s="6" t="n">
        <v>5245</v>
      </c>
      <c r="C14" s="9" t="n">
        <v>462</v>
      </c>
      <c r="D14" s="6" t="n">
        <v>4533</v>
      </c>
      <c r="E14" s="6" t="n">
        <v>2983</v>
      </c>
      <c r="F14" s="6" t="n">
        <v>1833</v>
      </c>
      <c r="G14" s="6" t="n">
        <v>1582</v>
      </c>
      <c r="H14" s="9" t="n">
        <v>161</v>
      </c>
      <c r="I14" s="9" t="n">
        <v>163</v>
      </c>
      <c r="J14" s="6" t="n">
        <v>1862</v>
      </c>
      <c r="K14" s="6" t="n">
        <v>18829</v>
      </c>
    </row>
    <row r="15">
      <c r="A15" s="9" t="n">
        <v>1932</v>
      </c>
      <c r="B15" s="6" t="n">
        <v>4288</v>
      </c>
      <c r="C15" s="9" t="n">
        <v>456</v>
      </c>
      <c r="D15" s="6" t="n">
        <v>3757</v>
      </c>
      <c r="E15" s="6" t="n">
        <v>2635</v>
      </c>
      <c r="F15" s="6" t="n">
        <v>1687</v>
      </c>
      <c r="G15" s="6" t="n">
        <v>1134</v>
      </c>
      <c r="H15" s="9" t="n">
        <v>112</v>
      </c>
      <c r="I15" s="9" t="n">
        <v>138</v>
      </c>
      <c r="J15" s="6" t="n">
        <v>1561</v>
      </c>
      <c r="K15" s="6" t="n">
        <v>15764</v>
      </c>
    </row>
    <row r="16">
      <c r="A16" s="9" t="n">
        <v>1933</v>
      </c>
      <c r="B16" s="6" t="n">
        <v>4601</v>
      </c>
      <c r="C16" s="9" t="n">
        <v>304</v>
      </c>
      <c r="D16" s="6" t="n">
        <v>4022</v>
      </c>
      <c r="E16" s="6" t="n">
        <v>3184</v>
      </c>
      <c r="F16" s="6" t="n">
        <v>1759</v>
      </c>
      <c r="G16" s="9" t="n">
        <v>651</v>
      </c>
      <c r="H16" s="9" t="n">
        <v>166</v>
      </c>
      <c r="I16" s="9" t="n">
        <v>143</v>
      </c>
      <c r="J16" s="6" t="n">
        <v>1804</v>
      </c>
      <c r="K16" s="6" t="n">
        <v>16847</v>
      </c>
    </row>
    <row r="17">
      <c r="A17" s="9" t="n">
        <v>1934</v>
      </c>
      <c r="B17" s="6" t="n">
        <v>3398</v>
      </c>
      <c r="C17" s="9" t="n">
        <v>277</v>
      </c>
      <c r="D17" s="6" t="n">
        <v>3470</v>
      </c>
      <c r="E17" s="6" t="n">
        <v>2123</v>
      </c>
      <c r="F17" s="6" t="n">
        <v>1503</v>
      </c>
      <c r="G17" s="9" t="n">
        <v>643</v>
      </c>
      <c r="H17" s="9" t="n">
        <v>200</v>
      </c>
      <c r="I17" s="9" t="n">
        <v>126</v>
      </c>
      <c r="J17" s="6" t="n">
        <v>1046</v>
      </c>
      <c r="K17" s="6" t="n">
        <v>12787</v>
      </c>
    </row>
    <row r="18">
      <c r="A18" s="9" t="n">
        <v>1935</v>
      </c>
      <c r="B18" s="6" t="n">
        <v>3859</v>
      </c>
      <c r="C18" s="9" t="n">
        <v>327</v>
      </c>
      <c r="D18" s="6" t="n">
        <v>4103</v>
      </c>
      <c r="E18" s="6" t="n">
        <v>2968</v>
      </c>
      <c r="F18" s="6" t="n">
        <v>1903</v>
      </c>
      <c r="G18" s="6" t="n">
        <v>1015</v>
      </c>
      <c r="H18" s="9" t="n">
        <v>296</v>
      </c>
      <c r="I18" s="9" t="n">
        <v>147</v>
      </c>
      <c r="J18" s="6" t="n">
        <v>1106</v>
      </c>
      <c r="K18" s="6" t="n">
        <v>15725</v>
      </c>
    </row>
    <row r="19">
      <c r="A19" s="9" t="n">
        <v>1936</v>
      </c>
      <c r="B19" s="6" t="n">
        <v>4147</v>
      </c>
      <c r="C19" s="9" t="n">
        <v>341</v>
      </c>
      <c r="D19" s="6" t="n">
        <v>4241</v>
      </c>
      <c r="E19" s="6" t="n">
        <v>3187</v>
      </c>
      <c r="F19" s="6" t="n">
        <v>2072</v>
      </c>
      <c r="G19" s="9" t="n">
        <v>959</v>
      </c>
      <c r="H19" s="9" t="n">
        <v>442</v>
      </c>
      <c r="I19" s="9" t="n">
        <v>155</v>
      </c>
      <c r="J19" s="6" t="n">
        <v>1093</v>
      </c>
      <c r="K19" s="6" t="n">
        <v>16638</v>
      </c>
    </row>
    <row r="20">
      <c r="A20" s="9" t="n">
        <v>1937</v>
      </c>
      <c r="B20" s="6" t="n">
        <v>3832</v>
      </c>
      <c r="C20" s="9" t="n">
        <v>298</v>
      </c>
      <c r="D20" s="6" t="n">
        <v>3673</v>
      </c>
      <c r="E20" s="6" t="n">
        <v>2945</v>
      </c>
      <c r="F20" s="6" t="n">
        <v>2082</v>
      </c>
      <c r="G20" s="9" t="n">
        <v>903</v>
      </c>
      <c r="H20" s="9" t="n">
        <v>527</v>
      </c>
      <c r="I20" s="9" t="n">
        <v>111</v>
      </c>
      <c r="J20" s="9" t="n">
        <v>965</v>
      </c>
      <c r="K20" s="6" t="n">
        <v>15480</v>
      </c>
    </row>
    <row r="21">
      <c r="A21" s="9" t="n">
        <v>1938</v>
      </c>
      <c r="B21" s="6" t="n">
        <v>4091</v>
      </c>
      <c r="C21" s="9" t="n">
        <v>342</v>
      </c>
      <c r="D21" s="6" t="n">
        <v>4642</v>
      </c>
      <c r="E21" s="6" t="n">
        <v>3518</v>
      </c>
      <c r="F21" s="6" t="n">
        <v>2476</v>
      </c>
      <c r="G21" s="9" t="n">
        <v>964</v>
      </c>
      <c r="H21" s="9" t="n">
        <v>712</v>
      </c>
      <c r="I21" s="9" t="n">
        <v>101</v>
      </c>
      <c r="J21" s="6" t="n">
        <v>1370</v>
      </c>
      <c r="K21" s="6" t="n">
        <v>18328</v>
      </c>
    </row>
    <row r="22">
      <c r="A22" s="9" t="n">
        <v>1939</v>
      </c>
      <c r="B22" s="6" t="n">
        <v>3956</v>
      </c>
      <c r="C22" s="9" t="n">
        <v>344</v>
      </c>
      <c r="D22" s="6" t="n">
        <v>4619</v>
      </c>
      <c r="E22" s="6" t="n">
        <v>3527</v>
      </c>
      <c r="F22" s="6" t="n">
        <v>2464</v>
      </c>
      <c r="G22" s="9" t="n">
        <v>949</v>
      </c>
      <c r="H22" s="9" t="n">
        <v>696</v>
      </c>
      <c r="I22" s="9" t="n">
        <v>95</v>
      </c>
      <c r="J22" s="6" t="n">
        <v>1294</v>
      </c>
      <c r="K22" s="6" t="n">
        <v>17943</v>
      </c>
    </row>
    <row r="23">
      <c r="A23" s="9" t="n">
        <v>1940</v>
      </c>
      <c r="B23" s="6" t="n">
        <v>3799</v>
      </c>
      <c r="C23" s="9" t="n">
        <v>378</v>
      </c>
      <c r="D23" s="6" t="n">
        <v>4739</v>
      </c>
      <c r="E23" s="6" t="n">
        <v>3898</v>
      </c>
      <c r="F23" s="6" t="n">
        <v>3071</v>
      </c>
      <c r="G23" s="9" t="n">
        <v>871</v>
      </c>
      <c r="H23" s="9" t="n">
        <v>648</v>
      </c>
      <c r="I23" t="inlineStr"/>
      <c r="J23" s="6" t="n">
        <v>1370</v>
      </c>
      <c r="K23" s="6" t="n">
        <v>18774</v>
      </c>
    </row>
    <row r="24">
      <c r="A24" t="inlineStr">
        <is>
          <t>Of which:</t>
        </is>
      </c>
      <c r="B24" t="inlineStr"/>
      <c r="C24" t="inlineStr"/>
      <c r="D24" t="inlineStr"/>
      <c r="E24" t="inlineStr"/>
      <c r="F24" t="inlineStr"/>
      <c r="G24" t="inlineStr"/>
      <c r="H24" t="inlineStr"/>
      <c r="I24" t="inlineStr"/>
      <c r="J24" t="inlineStr"/>
      <c r="K24" t="inlineStr"/>
    </row>
    <row r="25">
      <c r="A25" t="inlineStr">
        <is>
          <t>Hsinking</t>
        </is>
      </c>
      <c r="B25" s="9" t="n">
        <v>7</v>
      </c>
      <c r="C25" t="inlineStr">
        <is>
          <t>—</t>
        </is>
      </c>
      <c r="D25" s="9" t="n">
        <v>7</v>
      </c>
      <c r="E25" s="9" t="n">
        <v>4</v>
      </c>
      <c r="F25" s="9" t="n">
        <v>1</v>
      </c>
      <c r="G25" t="inlineStr">
        <is>
          <t>—</t>
        </is>
      </c>
      <c r="H25" t="inlineStr">
        <is>
          <t>—</t>
        </is>
      </c>
      <c r="I25" t="inlineStr">
        <is>
          <t>—</t>
        </is>
      </c>
      <c r="J25" s="9" t="n">
        <v>1</v>
      </c>
      <c r="K25" s="9" t="n">
        <v>19</v>
      </c>
    </row>
    <row r="26">
      <c r="A26" t="inlineStr">
        <is>
          <t>Kirin</t>
        </is>
      </c>
      <c r="B26" s="9" t="n">
        <v>971</v>
      </c>
      <c r="C26" s="9" t="n">
        <v>72</v>
      </c>
      <c r="D26" s="9" t="n">
        <v>780</v>
      </c>
      <c r="E26" s="9" t="n">
        <v>637</v>
      </c>
      <c r="F26" s="9" t="n">
        <v>432</v>
      </c>
      <c r="G26" s="9" t="n">
        <v>73</v>
      </c>
      <c r="H26" s="9" t="n">
        <v>155</v>
      </c>
      <c r="I26" s="9" t="n">
        <v>31</v>
      </c>
      <c r="J26" s="9" t="n">
        <v>242</v>
      </c>
      <c r="K26" s="6" t="n">
        <v>3392</v>
      </c>
    </row>
    <row r="27">
      <c r="A27" t="inlineStr">
        <is>
          <t>Lungkiang</t>
        </is>
      </c>
      <c r="B27" s="9" t="n">
        <v>358</v>
      </c>
      <c r="C27" s="9" t="n">
        <v>26</v>
      </c>
      <c r="D27" s="9" t="n">
        <v>307</v>
      </c>
      <c r="E27" s="9" t="n">
        <v>367</v>
      </c>
      <c r="F27" s="9" t="n">
        <v>265</v>
      </c>
      <c r="G27" s="9" t="n">
        <v>82</v>
      </c>
      <c r="H27" s="9" t="n">
        <v>5</v>
      </c>
      <c r="I27" t="inlineStr">
        <is>
          <t>—</t>
        </is>
      </c>
      <c r="J27" s="9" t="n">
        <v>132</v>
      </c>
      <c r="K27" s="9" t="n">
        <v>541</v>
      </c>
    </row>
    <row r="28">
      <c r="A28" t="inlineStr">
        <is>
          <t>Peian</t>
        </is>
      </c>
      <c r="B28" s="9" t="n">
        <v>545</v>
      </c>
      <c r="C28" s="9" t="n">
        <v>13</v>
      </c>
      <c r="D28" s="9" t="n">
        <v>198</v>
      </c>
      <c r="E28" s="9" t="n">
        <v>409</v>
      </c>
      <c r="F28" s="9" t="n">
        <v>224</v>
      </c>
      <c r="G28" s="9" t="n">
        <v>339</v>
      </c>
      <c r="H28" s="9" t="n">
        <v>45</v>
      </c>
      <c r="I28" t="inlineStr">
        <is>
          <t>—</t>
        </is>
      </c>
      <c r="J28" s="9" t="n">
        <v>115</v>
      </c>
      <c r="K28" s="6" t="n">
        <v>1867</v>
      </c>
    </row>
    <row r="29">
      <c r="A29" t="inlineStr">
        <is>
          <t>Heiho</t>
        </is>
      </c>
      <c r="B29" s="9" t="n">
        <v>4</v>
      </c>
      <c r="C29" t="inlineStr">
        <is>
          <t>—</t>
        </is>
      </c>
      <c r="D29" t="inlineStr">
        <is>
          <t>—</t>
        </is>
      </c>
      <c r="E29" s="9" t="n">
        <v>2</v>
      </c>
      <c r="F29" s="9" t="n">
        <v>3</v>
      </c>
      <c r="G29" s="9" t="n">
        <v>8</v>
      </c>
      <c r="H29" s="9" t="n">
        <v>1</v>
      </c>
      <c r="I29" t="inlineStr">
        <is>
          <t>—</t>
        </is>
      </c>
      <c r="J29" s="9" t="n">
        <v>9</v>
      </c>
      <c r="K29" s="9" t="n">
        <v>28</v>
      </c>
    </row>
    <row r="30">
      <c r="A30" t="inlineStr">
        <is>
          <t>Sankiang</t>
        </is>
      </c>
      <c r="B30" s="9" t="n">
        <v>218</v>
      </c>
      <c r="C30" s="9" t="n">
        <v>5</v>
      </c>
      <c r="D30" s="9" t="n">
        <v>88</v>
      </c>
      <c r="E30" s="9" t="n">
        <v>111</v>
      </c>
      <c r="F30" s="9" t="n">
        <v>137</v>
      </c>
      <c r="G30" s="9" t="n">
        <v>109</v>
      </c>
      <c r="H30" s="9" t="n">
        <v>31</v>
      </c>
      <c r="I30" t="inlineStr">
        <is>
          <t>—</t>
        </is>
      </c>
      <c r="J30" s="9" t="n">
        <v>17</v>
      </c>
      <c r="K30" s="9" t="n">
        <v>716</v>
      </c>
    </row>
    <row r="31">
      <c r="A31" t="inlineStr">
        <is>
          <t>Tungan</t>
        </is>
      </c>
      <c r="B31" s="9" t="n">
        <v>62</v>
      </c>
      <c r="C31" s="9" t="n">
        <v>3</v>
      </c>
      <c r="D31" s="9" t="n">
        <v>21</v>
      </c>
      <c r="E31" s="9" t="n">
        <v>22</v>
      </c>
      <c r="F31" s="9" t="n">
        <v>24</v>
      </c>
      <c r="G31" s="9" t="n">
        <v>14</v>
      </c>
      <c r="H31" s="9" t="n">
        <v>35</v>
      </c>
      <c r="I31" t="inlineStr">
        <is>
          <t>—</t>
        </is>
      </c>
      <c r="J31" s="9" t="n">
        <v>7</v>
      </c>
      <c r="K31" s="9" t="n">
        <v>188</v>
      </c>
    </row>
    <row r="32">
      <c r="A32" t="inlineStr">
        <is>
          <t>Mutankiang</t>
        </is>
      </c>
      <c r="B32" s="9" t="n">
        <v>50</v>
      </c>
      <c r="C32" s="9" t="n">
        <v>2</v>
      </c>
      <c r="D32" s="9" t="n">
        <v>5</v>
      </c>
      <c r="E32" s="9" t="n">
        <v>24</v>
      </c>
      <c r="F32" s="9" t="n">
        <v>24</v>
      </c>
      <c r="G32" s="9" t="n">
        <v>28</v>
      </c>
      <c r="H32" s="9" t="n">
        <v>50</v>
      </c>
      <c r="I32" t="inlineStr">
        <is>
          <t>—</t>
        </is>
      </c>
      <c r="J32" s="9" t="n">
        <v>3</v>
      </c>
      <c r="K32" s="9" t="n">
        <v>186</v>
      </c>
    </row>
    <row r="33">
      <c r="A33" t="inlineStr">
        <is>
          <t>Pinkiang</t>
        </is>
      </c>
      <c r="B33" s="9" t="n">
        <v>675</v>
      </c>
      <c r="C33" s="9" t="n">
        <v>40</v>
      </c>
      <c r="D33" s="9" t="n">
        <v>594</v>
      </c>
      <c r="E33" s="9" t="n">
        <v>611</v>
      </c>
      <c r="F33" s="9" t="n">
        <v>486</v>
      </c>
      <c r="G33" s="9" t="n">
        <v>23</v>
      </c>
      <c r="H33" s="9" t="n">
        <v>77</v>
      </c>
      <c r="I33" s="9" t="n">
        <v>7</v>
      </c>
      <c r="J33" s="9" t="n">
        <v>144</v>
      </c>
      <c r="K33" s="6" t="n">
        <v>2856</v>
      </c>
    </row>
    <row r="34">
      <c r="A34" t="inlineStr">
        <is>
          <t>Chientao</t>
        </is>
      </c>
      <c r="B34" s="9" t="n">
        <v>91</v>
      </c>
      <c r="C34" s="9" t="n">
        <v>6</v>
      </c>
      <c r="D34" s="9" t="n">
        <v>8</v>
      </c>
      <c r="E34" s="9" t="n">
        <v>53</v>
      </c>
      <c r="F34" s="9" t="n">
        <v>30</v>
      </c>
      <c r="G34" s="9" t="n">
        <v>1</v>
      </c>
      <c r="H34" s="9" t="n">
        <v>63</v>
      </c>
      <c r="I34" t="inlineStr">
        <is>
          <t>—</t>
        </is>
      </c>
      <c r="J34" s="9" t="n">
        <v>22</v>
      </c>
      <c r="K34" s="9" t="n">
        <v>275</v>
      </c>
    </row>
    <row r="35">
      <c r="A35" t="inlineStr">
        <is>
          <t>Tunghua</t>
        </is>
      </c>
      <c r="B35" s="9" t="n">
        <v>71</v>
      </c>
      <c r="C35" s="9" t="n">
        <v>7</v>
      </c>
      <c r="D35" s="9" t="n">
        <v>52</v>
      </c>
      <c r="E35" s="9" t="n">
        <v>24</v>
      </c>
      <c r="F35" s="9" t="n">
        <v>92</v>
      </c>
      <c r="G35" s="9" t="n">
        <v>7</v>
      </c>
      <c r="H35" s="9" t="n">
        <v>37</v>
      </c>
      <c r="I35" s="9" t="n">
        <v>2</v>
      </c>
      <c r="J35" s="9" t="n">
        <v>10</v>
      </c>
      <c r="K35" s="9" t="n">
        <v>301</v>
      </c>
    </row>
    <row r="36">
      <c r="A36" t="inlineStr">
        <is>
          <t>Antung</t>
        </is>
      </c>
      <c r="B36" s="9" t="n">
        <v>60</v>
      </c>
      <c r="C36" s="9" t="n">
        <v>12</v>
      </c>
      <c r="D36" s="9" t="n">
        <v>41</v>
      </c>
      <c r="E36" s="9" t="n">
        <v>22</v>
      </c>
      <c r="F36" s="9" t="n">
        <v>189</v>
      </c>
      <c r="G36" s="9" t="n">
        <v>6</v>
      </c>
      <c r="H36" s="9" t="n">
        <v>56</v>
      </c>
      <c r="I36" s="9" t="n">
        <v>4</v>
      </c>
      <c r="J36" s="9" t="n">
        <v>28</v>
      </c>
      <c r="K36" s="9" t="n">
        <v>412</v>
      </c>
    </row>
    <row r="37">
      <c r="A37" t="inlineStr">
        <is>
          <t>Fengtien</t>
        </is>
      </c>
      <c r="B37" s="9" t="n">
        <v>539</v>
      </c>
      <c r="C37" s="9" t="n">
        <v>68</v>
      </c>
      <c r="D37" s="6" t="n">
        <v>1260</v>
      </c>
      <c r="E37" s="9" t="n">
        <v>372</v>
      </c>
      <c r="F37" s="9" t="n">
        <v>358</v>
      </c>
      <c r="G37" s="9" t="n">
        <v>35</v>
      </c>
      <c r="H37" s="9" t="n">
        <v>130</v>
      </c>
      <c r="I37" s="9" t="n">
        <v>48</v>
      </c>
      <c r="J37" s="9" t="n">
        <v>128</v>
      </c>
      <c r="K37" s="6" t="n">
        <v>2939</v>
      </c>
    </row>
    <row r="38">
      <c r="A38" t="inlineStr">
        <is>
          <t>Chinchow</t>
        </is>
      </c>
      <c r="B38" s="9" t="n">
        <v>117</v>
      </c>
      <c r="C38" s="9" t="n">
        <v>34</v>
      </c>
      <c r="D38" s="9" t="n">
        <v>662</v>
      </c>
      <c r="E38" s="9" t="n">
        <v>220</v>
      </c>
      <c r="F38" s="9" t="n">
        <v>101</v>
      </c>
      <c r="G38" s="9" t="n">
        <v>7</v>
      </c>
      <c r="H38" s="9" t="n">
        <v>20</v>
      </c>
      <c r="I38" s="9" t="n">
        <v>3</v>
      </c>
      <c r="J38" s="9" t="n">
        <v>60</v>
      </c>
      <c r="K38" s="6" t="n">
        <v>1223</v>
      </c>
    </row>
    <row r="39">
      <c r="A39" t="inlineStr">
        <is>
          <t>Jehol</t>
        </is>
      </c>
      <c r="B39" s="9" t="n">
        <v>78</v>
      </c>
      <c r="C39" s="9" t="n">
        <v>30</v>
      </c>
      <c r="D39" s="9" t="n">
        <v>297</v>
      </c>
      <c r="E39" s="9" t="n">
        <v>390</v>
      </c>
      <c r="F39" s="9" t="n">
        <v>22</v>
      </c>
      <c r="G39" s="9" t="n">
        <v>4</v>
      </c>
      <c r="H39" s="9" t="n">
        <v>3</v>
      </c>
      <c r="I39" s="9" t="n">
        <v>1</v>
      </c>
      <c r="J39" s="9" t="n">
        <v>135</v>
      </c>
      <c r="K39" s="9" t="n">
        <v>960</v>
      </c>
    </row>
    <row r="40">
      <c r="A40" t="inlineStr">
        <is>
          <t>Hsingan W.</t>
        </is>
      </c>
      <c r="B40" s="9" t="n">
        <v>13</v>
      </c>
      <c r="C40" s="9" t="n">
        <v>6</v>
      </c>
      <c r="D40" s="9" t="n">
        <v>78</v>
      </c>
      <c r="E40" s="9" t="n">
        <v>41</v>
      </c>
      <c r="F40" s="9" t="n">
        <v>8</v>
      </c>
      <c r="G40" s="9" t="n">
        <v>6</v>
      </c>
      <c r="H40" s="9" t="n">
        <v>1</v>
      </c>
      <c r="I40" t="inlineStr">
        <is>
          <t>—</t>
        </is>
      </c>
      <c r="J40" s="9" t="n">
        <v>92</v>
      </c>
      <c r="K40" s="9" t="n">
        <v>288</v>
      </c>
    </row>
    <row r="41">
      <c r="A41" t="inlineStr">
        <is>
          <t>Hsingan S.</t>
        </is>
      </c>
      <c r="B41" s="9" t="n">
        <v>72</v>
      </c>
      <c r="C41" s="9" t="n">
        <v>20</v>
      </c>
      <c r="D41" s="9" t="n">
        <v>219</v>
      </c>
      <c r="E41" s="9" t="n">
        <v>157</v>
      </c>
      <c r="F41" s="9" t="n">
        <v>49</v>
      </c>
      <c r="G41" t="inlineStr">
        <is>
          <t>—</t>
        </is>
      </c>
      <c r="H41" s="9" t="n">
        <v>4</v>
      </c>
      <c r="I41" t="inlineStr">
        <is>
          <t>—</t>
        </is>
      </c>
      <c r="J41" s="9" t="n">
        <v>117</v>
      </c>
      <c r="K41" s="9" t="n">
        <v>637</v>
      </c>
    </row>
    <row r="42">
      <c r="A42" t="inlineStr">
        <is>
          <t>Hsingan E.</t>
        </is>
      </c>
      <c r="B42" s="9" t="n">
        <v>25</v>
      </c>
      <c r="C42" s="9" t="n">
        <v>1</v>
      </c>
      <c r="D42" s="9" t="n">
        <v>4</v>
      </c>
      <c r="E42" s="9" t="n">
        <v>17</v>
      </c>
      <c r="F42" s="9" t="n">
        <v>21</v>
      </c>
      <c r="G42" s="9" t="n">
        <v>6</v>
      </c>
      <c r="H42" s="9" t="n">
        <v>2</v>
      </c>
      <c r="I42" t="inlineStr">
        <is>
          <t>—</t>
        </is>
      </c>
      <c r="J42" s="9" t="n">
        <v>26</v>
      </c>
      <c r="K42" s="9" t="n">
        <v>102</v>
      </c>
    </row>
    <row r="43">
      <c r="A43" t="inlineStr">
        <is>
          <t>Hsingan N.</t>
        </is>
      </c>
      <c r="B43" t="inlineStr">
        <is>
          <t>—</t>
        </is>
      </c>
      <c r="C43" t="inlineStr">
        <is>
          <t>—</t>
        </is>
      </c>
      <c r="D43" t="inlineStr">
        <is>
          <t>—</t>
        </is>
      </c>
      <c r="E43" t="inlineStr">
        <is>
          <t>—</t>
        </is>
      </c>
      <c r="F43" t="inlineStr">
        <is>
          <t>—</t>
        </is>
      </c>
      <c r="G43" s="9" t="n">
        <v>8</v>
      </c>
      <c r="H43" t="inlineStr">
        <is>
          <t>—</t>
        </is>
      </c>
      <c r="I43" t="inlineStr">
        <is>
          <t>—</t>
        </is>
      </c>
      <c r="J43" s="9" t="n">
        <v>7</v>
      </c>
      <c r="K43" s="9" t="n">
        <v>15</v>
      </c>
    </row>
    <row r="44">
      <c r="A44" t="inlineStr">
        <is>
          <t>Total (provinces, 1939)</t>
        </is>
      </c>
      <c r="B44" s="6" t="n">
        <v>3956</v>
      </c>
      <c r="C44" s="9" t="n">
        <v>344</v>
      </c>
      <c r="D44" s="6" t="n">
        <v>4619</v>
      </c>
      <c r="E44" s="6" t="n">
        <v>3527</v>
      </c>
      <c r="F44" s="6" t="n">
        <v>2464</v>
      </c>
      <c r="G44" t="inlineStr"/>
      <c r="H44" s="9" t="n">
        <v>696</v>
      </c>
      <c r="I44" s="9" t="n">
        <v>95</v>
      </c>
      <c r="J44" s="6" t="n">
        <v>1294</v>
      </c>
      <c r="K44" s="6" t="n">
        <v>17943</v>
      </c>
    </row>
    <row r="46">
      <c r="A46" s="2" t="inlineStr">
        <is>
          <t>Footnotes</t>
        </is>
      </c>
    </row>
    <row r="47">
      <c r="A47" t="inlineStr">
        <is>
          <t>Note: Figures of each province are that of 1939.</t>
        </is>
      </c>
    </row>
    <row r="49">
      <c r="A49" s="2" t="inlineStr">
        <is>
          <t>Transcriber's notes</t>
        </is>
      </c>
    </row>
    <row r="50">
      <c r="A50" t="inlineStr">
        <is>
          <t>Table continues from p. 425 (IMG_5671) to p. 426 (IMG_5672, headed '(Continued)'); merged. On p. 426 the table prints a 'Total' row after Hsingan N.; recorded as 'Total (provinces, 1939)'. It equals the 1939 year row except Wheat, which is damaged there.</t>
        </is>
      </c>
    </row>
    <row r="51">
      <c r="A51" t="inlineStr">
        <is>
          <t>First data row has dot leaders but no year printed; stub left empty (as printed).</t>
        </is>
      </c>
    </row>
    <row r="52">
      <c r="A52" t="inlineStr">
        <is>
          <t>1940 row: Rice and Upland rice printed as one combined figure 648 under a brace; entered in 'Rice', 'Upland rice' empty.</t>
        </is>
      </c>
    </row>
    <row r="53">
      <c r="A53" t="inlineStr">
        <is>
          <t>Hsinking row, Rice: printed as a short double dash '--', recorded as '—'.</t>
        </is>
      </c>
    </row>
    <row r="54">
      <c r="A54" t="inlineStr">
        <is>
          <t>Hsingan rows printed as 'Hsingan W.', ', S.', ', E.', ', N.' (ditto marks); expanded to 'Hsingan S.' etc.</t>
        </is>
      </c>
    </row>
    <row r="55">
      <c r="A55" t="inlineStr">
        <is>
          <t>On p. 426 the 'Other cereals' and 'Total' columns are printed skewed half a row low; assigned to rows in order (16 values each for 16 province rows).</t>
        </is>
      </c>
    </row>
    <row r="56">
      <c r="A56" t="inlineStr">
        <is>
          <t>Pencil ticks and a handwritten '314' beside the 1930 Rice figure are reader's annotations, ignored.</t>
        </is>
      </c>
    </row>
    <row r="57">
      <c r="A57" t="inlineStr">
        <is>
          <t>Year rows, parts vs 'Total incl. others' (total may include unlisted crops): within ±5 for all years except 1930 parts 19,260 vs printed 19,080 (total LESS than parts by 180 — does NOT reconcile), 1933 16,634 vs 16,847 (+213), 1937 15,336 vs 15,480 (+144), 1938 18,216 vs 18,328 (+112). Cells re-read; transcribed as printed.</t>
        </is>
      </c>
    </row>
    <row r="58">
      <c r="A58" t="inlineStr">
        <is>
          <t>Province rows, parts vs total: Hsinking 20/19, Kirin 3,393/3,392, Heiho 27/28, Chientao 274/275, Tunghua 302/301, Fengtien 2,938/2,939, Chinchow 1,224/1,223, Hsingan S. 638/637 (rounding); Sankiang, Tungan, Mutankiang, Jehol, Hsingan E., Hsingan N. exact. NOT reconciling: Lungkiang parts 1,542 vs printed 541 (diff 1,001; printed '541' clearly, no leading '1,'); Peian 1,888 vs 1,867 (total less than parts by 21); Pinkiang 2,657 vs 2,856 (+199); Antung 418 vs 412 (−6); Hsingan W. 245 vs 288 (+43).</t>
        </is>
      </c>
    </row>
    <row r="59">
      <c r="A59" t="inlineStr">
        <is>
          <t>Province column sums vs printed Total row: Soya 3,956 reconciles; Other beans 345 vs 344; Kaoliang 4,621 vs 4,619; Millet 3,483 vs 3,527 (diff 44 — does NOT reconcile); Maize 2,466 vs 2,464; Wheat 756 vs printed 94? (≈949; diff ~193 — does NOT reconcile; Pinkiang wheat printed 23); Rice 715 vs 696 (diff 19 — does NOT reconcile); Upland rice 96 vs 95; Other cereals 1,295 vs 1,294; Total 16,945 vs 17,943 (diff 998, essentially the Lungkiang 541 anomaly).</t>
        </is>
      </c>
    </row>
    <row r="60">
      <c r="A60" t="inlineStr">
        <is>
          <t>Province Total row, Wheat: last digit damaged ('94' + broken digit; the 1939 year row gives 949); left empty.</t>
        </is>
      </c>
    </row>
  </sheetData>
  <hyperlinks>
    <hyperlink xmlns:r="http://schemas.openxmlformats.org/officeDocument/2006/relationships" ref="A4" r:id="rId1"/>
  </hyperlink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G10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Principal Industrial Crops</t>
        </is>
      </c>
    </row>
    <row r="2">
      <c r="A2" t="inlineStr">
        <is>
          <t>Agriculture · printed pp. 430, 431, 432</t>
        </is>
      </c>
    </row>
    <row r="3">
      <c r="A3" t="inlineStr">
        <is>
          <t>(Unit: In metric tons)</t>
        </is>
      </c>
    </row>
    <row r="4">
      <c r="A4" s="3" t="inlineStr">
        <is>
          <t>← Contents</t>
        </is>
      </c>
    </row>
    <row r="6">
      <c r="A6" s="2" t="inlineStr">
        <is>
          <t>[Cotton, tobacco, jute, hemp]</t>
        </is>
      </c>
    </row>
    <row r="7">
      <c r="A7" s="5" t="inlineStr">
        <is>
          <t>Year / Province</t>
        </is>
      </c>
      <c r="B7" s="5" t="inlineStr">
        <is>
          <t>Cotton</t>
        </is>
      </c>
      <c r="C7" s="5" t="inlineStr">
        <is>
          <t>Tobacco — Native</t>
        </is>
      </c>
      <c r="D7" s="5" t="inlineStr">
        <is>
          <t>Tobacco — Improved</t>
        </is>
      </c>
      <c r="E7" s="5" t="inlineStr">
        <is>
          <t>Jute</t>
        </is>
      </c>
      <c r="F7" s="5" t="inlineStr">
        <is>
          <t>Hemp for — Fibre</t>
        </is>
      </c>
      <c r="G7" s="5" t="inlineStr">
        <is>
          <t>Hemp for — Seed</t>
        </is>
      </c>
    </row>
    <row r="8">
      <c r="A8" s="9" t="n">
        <v>1935</v>
      </c>
      <c r="B8" s="6" t="n">
        <v>36875</v>
      </c>
      <c r="C8" s="6" t="n">
        <v>17268</v>
      </c>
      <c r="D8" s="6" t="n">
        <v>3997</v>
      </c>
      <c r="E8" t="inlineStr">
        <is>
          <t>—</t>
        </is>
      </c>
      <c r="F8" s="6" t="n">
        <v>10374</v>
      </c>
      <c r="G8" t="inlineStr">
        <is>
          <t>—</t>
        </is>
      </c>
    </row>
    <row r="9">
      <c r="A9" s="9" t="n">
        <v>1936</v>
      </c>
      <c r="B9" t="inlineStr">
        <is>
          <t>—</t>
        </is>
      </c>
      <c r="C9" t="inlineStr">
        <is>
          <t>—</t>
        </is>
      </c>
      <c r="D9" t="inlineStr">
        <is>
          <t>—</t>
        </is>
      </c>
      <c r="E9" t="inlineStr">
        <is>
          <t>—</t>
        </is>
      </c>
      <c r="F9" t="inlineStr">
        <is>
          <t>—</t>
        </is>
      </c>
      <c r="G9" t="inlineStr">
        <is>
          <t>—</t>
        </is>
      </c>
    </row>
    <row r="10">
      <c r="A10" s="9" t="n">
        <v>1937</v>
      </c>
      <c r="B10" s="6" t="n">
        <v>63901</v>
      </c>
      <c r="C10" s="6" t="n">
        <v>3577</v>
      </c>
      <c r="D10" t="inlineStr">
        <is>
          <t>—</t>
        </is>
      </c>
      <c r="E10" t="inlineStr">
        <is>
          <t>—</t>
        </is>
      </c>
      <c r="F10" s="6" t="n">
        <v>8976</v>
      </c>
      <c r="G10" t="inlineStr">
        <is>
          <t>—</t>
        </is>
      </c>
    </row>
    <row r="11">
      <c r="A11" s="9" t="n">
        <v>1938</v>
      </c>
      <c r="B11" s="6" t="n">
        <v>51354</v>
      </c>
      <c r="C11" s="6" t="n">
        <v>11496</v>
      </c>
      <c r="D11" s="6" t="n">
        <v>5797</v>
      </c>
      <c r="E11" s="6" t="n">
        <v>10937</v>
      </c>
      <c r="F11" s="6" t="n">
        <v>12396</v>
      </c>
      <c r="G11" s="6" t="n">
        <v>30045</v>
      </c>
    </row>
    <row r="12">
      <c r="A12" s="9" t="n">
        <v>1939</v>
      </c>
      <c r="B12" s="6" t="n">
        <v>68840</v>
      </c>
      <c r="C12" s="6" t="n">
        <v>17062</v>
      </c>
      <c r="D12" s="6" t="n">
        <v>14247</v>
      </c>
      <c r="E12" s="6" t="n">
        <v>11818</v>
      </c>
      <c r="F12" s="6" t="n">
        <v>14606</v>
      </c>
      <c r="G12" s="6" t="n">
        <v>51520</v>
      </c>
    </row>
    <row r="13">
      <c r="A13" t="inlineStr">
        <is>
          <t>1939:</t>
        </is>
      </c>
      <c r="B13" t="inlineStr"/>
      <c r="C13" t="inlineStr"/>
      <c r="D13" t="inlineStr"/>
      <c r="E13" t="inlineStr"/>
      <c r="F13" t="inlineStr"/>
      <c r="G13" t="inlineStr"/>
    </row>
    <row r="14">
      <c r="A14" t="inlineStr">
        <is>
          <t>Hsinking</t>
        </is>
      </c>
      <c r="B14" t="inlineStr">
        <is>
          <t>—</t>
        </is>
      </c>
      <c r="C14" t="inlineStr">
        <is>
          <t>—</t>
        </is>
      </c>
      <c r="D14" t="inlineStr">
        <is>
          <t>—</t>
        </is>
      </c>
      <c r="E14" s="9" t="n">
        <v>2</v>
      </c>
      <c r="F14" s="9" t="n">
        <v>1</v>
      </c>
      <c r="G14" s="9" t="n">
        <v>2</v>
      </c>
    </row>
    <row r="15">
      <c r="A15" t="inlineStr">
        <is>
          <t>Kirin</t>
        </is>
      </c>
      <c r="B15" t="inlineStr">
        <is>
          <t>—</t>
        </is>
      </c>
      <c r="C15" s="6" t="n">
        <v>7934</v>
      </c>
      <c r="D15" s="9" t="n">
        <v>241</v>
      </c>
      <c r="E15" s="6" t="n">
        <v>1575</v>
      </c>
      <c r="F15" s="6" t="n">
        <v>3187</v>
      </c>
      <c r="G15" s="6" t="n">
        <v>5925</v>
      </c>
    </row>
    <row r="16">
      <c r="A16" t="inlineStr">
        <is>
          <t>Lungkiang</t>
        </is>
      </c>
      <c r="B16" t="inlineStr">
        <is>
          <t>—</t>
        </is>
      </c>
      <c r="C16" s="9" t="n">
        <v>197</v>
      </c>
      <c r="D16" t="inlineStr">
        <is>
          <t>—</t>
        </is>
      </c>
      <c r="E16" s="9" t="n">
        <v>481</v>
      </c>
      <c r="F16" s="9" t="n">
        <v>854</v>
      </c>
      <c r="G16" s="6" t="n">
        <v>4903</v>
      </c>
    </row>
    <row r="17">
      <c r="A17" t="inlineStr">
        <is>
          <t>Peian</t>
        </is>
      </c>
      <c r="B17" t="inlineStr">
        <is>
          <t>—</t>
        </is>
      </c>
      <c r="C17" s="9" t="n">
        <v>947</v>
      </c>
      <c r="D17" s="9" t="n">
        <v>2</v>
      </c>
      <c r="E17" s="9" t="n">
        <v>112</v>
      </c>
      <c r="F17" s="6" t="n">
        <v>2055</v>
      </c>
      <c r="G17" s="6" t="n">
        <v>11578</v>
      </c>
    </row>
    <row r="18">
      <c r="A18" t="inlineStr">
        <is>
          <t>Heiho</t>
        </is>
      </c>
      <c r="B18" t="inlineStr">
        <is>
          <t>—</t>
        </is>
      </c>
      <c r="C18" s="9" t="n">
        <v>8</v>
      </c>
      <c r="D18" t="inlineStr">
        <is>
          <t>—</t>
        </is>
      </c>
      <c r="E18" t="inlineStr">
        <is>
          <t>—</t>
        </is>
      </c>
      <c r="F18" s="9" t="n">
        <v>16</v>
      </c>
      <c r="G18" t="inlineStr">
        <is>
          <t>—</t>
        </is>
      </c>
    </row>
    <row r="19">
      <c r="A19" t="inlineStr">
        <is>
          <t>Sankiang</t>
        </is>
      </c>
      <c r="B19" t="inlineStr">
        <is>
          <t>—</t>
        </is>
      </c>
      <c r="C19" s="9" t="n">
        <v>285</v>
      </c>
      <c r="D19" s="9" t="n">
        <v>81</v>
      </c>
      <c r="E19" s="9" t="n">
        <v>226</v>
      </c>
      <c r="F19" s="9" t="n">
        <v>461</v>
      </c>
      <c r="G19" s="9" t="n">
        <v>142</v>
      </c>
    </row>
    <row r="20">
      <c r="A20" t="inlineStr">
        <is>
          <t>Tungan</t>
        </is>
      </c>
      <c r="B20" t="inlineStr">
        <is>
          <t>—</t>
        </is>
      </c>
      <c r="C20" s="9" t="n">
        <v>43</v>
      </c>
      <c r="D20" s="9" t="n">
        <v>20</v>
      </c>
      <c r="E20" s="9" t="n">
        <v>55</v>
      </c>
      <c r="F20" s="9" t="n">
        <v>226</v>
      </c>
      <c r="G20" s="9" t="n">
        <v>3</v>
      </c>
    </row>
    <row r="21">
      <c r="A21" t="inlineStr">
        <is>
          <t>Mutankiang</t>
        </is>
      </c>
      <c r="B21" t="inlineStr">
        <is>
          <t>—</t>
        </is>
      </c>
      <c r="C21" s="9" t="n">
        <v>195</v>
      </c>
      <c r="D21" t="inlineStr">
        <is>
          <t>—</t>
        </is>
      </c>
      <c r="E21" s="9" t="n">
        <v>17</v>
      </c>
      <c r="F21" s="9" t="n">
        <v>54</v>
      </c>
      <c r="G21" t="inlineStr">
        <is>
          <t>—</t>
        </is>
      </c>
    </row>
    <row r="22">
      <c r="A22" t="inlineStr">
        <is>
          <t>Pinkiang</t>
        </is>
      </c>
      <c r="B22" t="inlineStr">
        <is>
          <t>—</t>
        </is>
      </c>
      <c r="C22" s="6" t="n">
        <v>1889</v>
      </c>
      <c r="D22" t="inlineStr">
        <is>
          <t>—</t>
        </is>
      </c>
      <c r="E22" s="9" t="n">
        <v>326</v>
      </c>
      <c r="F22" s="6" t="n">
        <v>2054</v>
      </c>
      <c r="G22" s="6" t="n">
        <v>18269</v>
      </c>
    </row>
    <row r="23">
      <c r="A23" t="inlineStr">
        <is>
          <t>Chientao</t>
        </is>
      </c>
      <c r="B23" t="inlineStr">
        <is>
          <t>—</t>
        </is>
      </c>
      <c r="C23" s="9" t="n">
        <v>665</v>
      </c>
      <c r="D23" s="9" t="n">
        <v>796</v>
      </c>
      <c r="E23" s="9" t="n">
        <v>56</v>
      </c>
      <c r="F23" s="9" t="n">
        <v>236</v>
      </c>
      <c r="G23" s="9" t="n">
        <v>26</v>
      </c>
    </row>
    <row r="24">
      <c r="A24" t="inlineStr">
        <is>
          <t>Tunghua</t>
        </is>
      </c>
      <c r="B24" s="9" t="n">
        <v>2</v>
      </c>
      <c r="C24" s="9" t="n">
        <v>553</v>
      </c>
      <c r="D24" s="9" t="n">
        <v>39</v>
      </c>
      <c r="E24" s="9" t="n">
        <v>23</v>
      </c>
      <c r="F24" s="9" t="n">
        <v>901</v>
      </c>
      <c r="G24" s="9" t="n">
        <v>51</v>
      </c>
    </row>
    <row r="25">
      <c r="A25" t="inlineStr">
        <is>
          <t>Antung</t>
        </is>
      </c>
      <c r="B25" s="9" t="n">
        <v>37</v>
      </c>
      <c r="C25" s="9" t="n">
        <v>263</v>
      </c>
      <c r="D25" s="6" t="n">
        <v>3528</v>
      </c>
      <c r="E25" s="9" t="n">
        <v>263</v>
      </c>
      <c r="F25" s="9" t="n">
        <v>624</v>
      </c>
      <c r="G25" s="9" t="n">
        <v>31</v>
      </c>
    </row>
    <row r="26">
      <c r="A26" t="inlineStr">
        <is>
          <t>Fengtien</t>
        </is>
      </c>
      <c r="B26" s="6" t="n">
        <v>38719</v>
      </c>
      <c r="C26" s="6" t="n">
        <v>1357</v>
      </c>
      <c r="D26" s="6" t="n">
        <v>7752</v>
      </c>
      <c r="E26" s="6" t="n">
        <v>6203</v>
      </c>
      <c r="F26" s="6" t="n">
        <v>2424</v>
      </c>
      <c r="G26" s="6" t="n">
        <v>1636</v>
      </c>
    </row>
    <row r="27">
      <c r="A27" t="inlineStr">
        <is>
          <t>Chinchow</t>
        </is>
      </c>
      <c r="B27" s="6" t="n">
        <v>27819</v>
      </c>
      <c r="C27" s="9" t="n">
        <v>394</v>
      </c>
      <c r="D27" s="6" t="n">
        <v>1510</v>
      </c>
      <c r="E27" s="9" t="n">
        <v>988</v>
      </c>
      <c r="F27" s="9" t="n">
        <v>159</v>
      </c>
      <c r="G27" s="9" t="n">
        <v>316</v>
      </c>
    </row>
    <row r="28">
      <c r="A28" t="inlineStr">
        <is>
          <t>Jehol</t>
        </is>
      </c>
      <c r="B28" s="6" t="n">
        <v>2257</v>
      </c>
      <c r="C28" s="6" t="n">
        <v>1606</v>
      </c>
      <c r="D28" s="9" t="n">
        <v>264</v>
      </c>
      <c r="E28" s="9" t="n">
        <v>188</v>
      </c>
      <c r="F28" s="6" t="n">
        <v>1112</v>
      </c>
      <c r="G28" s="6" t="n">
        <v>3762</v>
      </c>
    </row>
    <row r="29">
      <c r="A29" t="inlineStr">
        <is>
          <t>Hsingan W.</t>
        </is>
      </c>
      <c r="B29" t="inlineStr">
        <is>
          <t>—</t>
        </is>
      </c>
      <c r="C29" s="9" t="n">
        <v>447</v>
      </c>
      <c r="D29" t="inlineStr">
        <is>
          <t>—</t>
        </is>
      </c>
      <c r="E29" s="9" t="n">
        <v>78</v>
      </c>
      <c r="F29" s="9" t="n">
        <v>941</v>
      </c>
      <c r="G29" s="6" t="n">
        <v>1016</v>
      </c>
    </row>
    <row r="30">
      <c r="A30" t="inlineStr">
        <is>
          <t>Hsingan S.</t>
        </is>
      </c>
      <c r="B30" s="9" t="n">
        <v>5</v>
      </c>
      <c r="C30" s="9" t="n">
        <v>257</v>
      </c>
      <c r="D30" s="9" t="n">
        <v>14</v>
      </c>
      <c r="E30" s="9" t="n">
        <v>999</v>
      </c>
      <c r="F30" s="9" t="n">
        <v>236</v>
      </c>
      <c r="G30" s="6" t="n">
        <v>3814</v>
      </c>
    </row>
    <row r="31">
      <c r="A31" t="inlineStr">
        <is>
          <t>Hsingan E.</t>
        </is>
      </c>
      <c r="B31" t="inlineStr">
        <is>
          <t>—</t>
        </is>
      </c>
      <c r="C31" s="9" t="n">
        <v>22</v>
      </c>
      <c r="D31" t="inlineStr">
        <is>
          <t>—</t>
        </is>
      </c>
      <c r="E31" s="9" t="n">
        <v>18</v>
      </c>
      <c r="F31" s="9" t="n">
        <v>65</v>
      </c>
      <c r="G31" s="9" t="n">
        <v>48</v>
      </c>
    </row>
    <row r="32">
      <c r="A32" t="inlineStr">
        <is>
          <t>Hsingan N.</t>
        </is>
      </c>
      <c r="B32" t="inlineStr">
        <is>
          <t>—</t>
        </is>
      </c>
      <c r="C32" t="inlineStr">
        <is>
          <t>—</t>
        </is>
      </c>
      <c r="D32" t="inlineStr">
        <is>
          <t>—</t>
        </is>
      </c>
      <c r="E32" t="inlineStr">
        <is>
          <t>—</t>
        </is>
      </c>
      <c r="F32" t="inlineStr">
        <is>
          <t>—</t>
        </is>
      </c>
      <c r="G32" t="inlineStr">
        <is>
          <t>—</t>
        </is>
      </c>
    </row>
    <row r="33">
      <c r="A33" t="inlineStr">
        <is>
          <t>Total</t>
        </is>
      </c>
      <c r="B33" s="6" t="n">
        <v>68840</v>
      </c>
      <c r="C33" s="6" t="n">
        <v>17062</v>
      </c>
      <c r="D33" s="6" t="n">
        <v>14247</v>
      </c>
      <c r="E33" s="6" t="n">
        <v>11818</v>
      </c>
      <c r="F33" s="6" t="n">
        <v>14606</v>
      </c>
      <c r="G33" s="6" t="n">
        <v>51520</v>
      </c>
    </row>
    <row r="35">
      <c r="A35" s="2" t="inlineStr">
        <is>
          <t>[Flax, oil seeds, beet] (headed '(Continued)')</t>
        </is>
      </c>
    </row>
    <row r="36">
      <c r="A36" s="5" t="inlineStr">
        <is>
          <t>Year / Province</t>
        </is>
      </c>
      <c r="B36" s="5" t="inlineStr">
        <is>
          <t>Flax</t>
        </is>
      </c>
      <c r="C36" s="5" t="inlineStr">
        <is>
          <t>Perilla seeds</t>
        </is>
      </c>
      <c r="D36" s="5" t="inlineStr">
        <is>
          <t>Castor seeds</t>
        </is>
      </c>
      <c r="E36" s="5" t="inlineStr">
        <is>
          <t>Sesamum</t>
        </is>
      </c>
      <c r="F36" s="5" t="inlineStr">
        <is>
          <t>Beet</t>
        </is>
      </c>
      <c r="G36" s="5" t="n"/>
    </row>
    <row r="37">
      <c r="A37" s="9" t="n">
        <v>1935</v>
      </c>
      <c r="B37" s="6" t="n">
        <v>5801</v>
      </c>
      <c r="C37" s="6" t="n">
        <v>207935</v>
      </c>
      <c r="D37" s="6" t="n">
        <v>17070</v>
      </c>
      <c r="E37" s="6" t="n">
        <v>14997</v>
      </c>
      <c r="F37" t="inlineStr">
        <is>
          <t>—</t>
        </is>
      </c>
    </row>
    <row r="38">
      <c r="A38" s="9" t="n">
        <v>1936</v>
      </c>
      <c r="B38" t="inlineStr">
        <is>
          <t>—</t>
        </is>
      </c>
      <c r="C38" t="inlineStr">
        <is>
          <t>—</t>
        </is>
      </c>
      <c r="D38" t="inlineStr">
        <is>
          <t>—</t>
        </is>
      </c>
      <c r="E38" t="inlineStr">
        <is>
          <t>—</t>
        </is>
      </c>
      <c r="F38" t="inlineStr">
        <is>
          <t>—</t>
        </is>
      </c>
    </row>
    <row r="39">
      <c r="A39" s="9" t="n">
        <v>1937</v>
      </c>
      <c r="B39" t="inlineStr">
        <is>
          <t>—</t>
        </is>
      </c>
      <c r="C39" t="inlineStr">
        <is>
          <t>—</t>
        </is>
      </c>
      <c r="D39" t="inlineStr">
        <is>
          <t>—</t>
        </is>
      </c>
      <c r="E39" t="inlineStr">
        <is>
          <t>—</t>
        </is>
      </c>
      <c r="F39" t="inlineStr">
        <is>
          <t>—</t>
        </is>
      </c>
    </row>
    <row r="40">
      <c r="A40" s="9" t="n">
        <v>1938</v>
      </c>
      <c r="B40" s="6" t="n">
        <v>29056</v>
      </c>
      <c r="C40" s="6" t="n">
        <v>111337</v>
      </c>
      <c r="D40" s="6" t="n">
        <v>9637</v>
      </c>
      <c r="E40" s="6" t="n">
        <v>9125</v>
      </c>
      <c r="F40" s="6" t="n">
        <v>183586</v>
      </c>
    </row>
    <row r="41">
      <c r="A41" s="9" t="n">
        <v>1939</v>
      </c>
      <c r="B41" s="6" t="n">
        <v>48657</v>
      </c>
      <c r="C41" s="6" t="n">
        <v>65402</v>
      </c>
      <c r="D41" s="6" t="n">
        <v>25021</v>
      </c>
      <c r="E41" s="6" t="n">
        <v>20261</v>
      </c>
      <c r="F41" s="6" t="n">
        <v>241841</v>
      </c>
    </row>
    <row r="42">
      <c r="A42" t="inlineStr">
        <is>
          <t>1939:</t>
        </is>
      </c>
      <c r="B42" t="inlineStr"/>
      <c r="C42" t="inlineStr"/>
      <c r="D42" t="inlineStr"/>
      <c r="E42" t="inlineStr"/>
      <c r="F42" t="inlineStr"/>
    </row>
    <row r="43">
      <c r="A43" t="inlineStr">
        <is>
          <t>Hsinking</t>
        </is>
      </c>
      <c r="B43" s="9" t="n">
        <v>11</v>
      </c>
      <c r="C43" s="9" t="n">
        <v>4</v>
      </c>
      <c r="D43" t="inlineStr">
        <is>
          <t>—</t>
        </is>
      </c>
      <c r="E43" t="inlineStr">
        <is>
          <t>—</t>
        </is>
      </c>
      <c r="F43" s="9" t="n">
        <v>749</v>
      </c>
    </row>
    <row r="44">
      <c r="A44" t="inlineStr">
        <is>
          <t>Kirin</t>
        </is>
      </c>
      <c r="B44" s="6" t="n">
        <v>1930</v>
      </c>
      <c r="C44" s="6" t="n">
        <v>5509</v>
      </c>
      <c r="D44" s="9" t="n">
        <v>851</v>
      </c>
      <c r="E44" s="6" t="n">
        <v>1034</v>
      </c>
      <c r="F44" s="6" t="n">
        <v>63766</v>
      </c>
    </row>
    <row r="45">
      <c r="A45" t="inlineStr">
        <is>
          <t>Lungkiang</t>
        </is>
      </c>
      <c r="B45" s="9" t="n">
        <v>387</v>
      </c>
      <c r="C45" s="6" t="n">
        <v>12821</v>
      </c>
      <c r="D45" s="6" t="n">
        <v>1083</v>
      </c>
      <c r="E45" s="6" t="n">
        <v>1490</v>
      </c>
      <c r="F45" t="inlineStr">
        <is>
          <t>—</t>
        </is>
      </c>
    </row>
    <row r="46">
      <c r="A46" t="inlineStr">
        <is>
          <t>Peian</t>
        </is>
      </c>
      <c r="B46" s="6" t="n">
        <v>18786</v>
      </c>
      <c r="C46" s="6" t="n">
        <v>31125</v>
      </c>
      <c r="D46" s="9" t="n">
        <v>24</v>
      </c>
      <c r="E46" s="9" t="n">
        <v>188</v>
      </c>
      <c r="F46" s="6" t="n">
        <v>8494</v>
      </c>
    </row>
    <row r="47">
      <c r="A47" t="inlineStr">
        <is>
          <t>Heiho</t>
        </is>
      </c>
      <c r="B47" t="inlineStr">
        <is>
          <t>—</t>
        </is>
      </c>
      <c r="C47" t="inlineStr">
        <is>
          <t>—</t>
        </is>
      </c>
      <c r="D47" t="inlineStr">
        <is>
          <t>—</t>
        </is>
      </c>
      <c r="E47" t="inlineStr">
        <is>
          <t>—</t>
        </is>
      </c>
      <c r="F47" t="inlineStr">
        <is>
          <t>—</t>
        </is>
      </c>
    </row>
    <row r="48">
      <c r="A48" t="inlineStr">
        <is>
          <t>Sankiang</t>
        </is>
      </c>
      <c r="B48" s="6" t="n">
        <v>1513</v>
      </c>
      <c r="C48" s="9" t="n">
        <v>388</v>
      </c>
      <c r="D48" s="9" t="n">
        <v>60</v>
      </c>
      <c r="E48" s="9" t="n">
        <v>65</v>
      </c>
      <c r="F48" t="inlineStr">
        <is>
          <t>—</t>
        </is>
      </c>
    </row>
    <row r="49">
      <c r="A49" t="inlineStr">
        <is>
          <t>Tungan</t>
        </is>
      </c>
      <c r="B49" s="9" t="n">
        <v>72</v>
      </c>
      <c r="C49" s="9" t="n">
        <v>106</v>
      </c>
      <c r="D49" s="9" t="n">
        <v>5</v>
      </c>
      <c r="E49" s="9" t="n">
        <v>2</v>
      </c>
      <c r="F49" s="9" t="n">
        <v>6</v>
      </c>
    </row>
    <row r="50">
      <c r="A50" t="inlineStr">
        <is>
          <t>Mutankiang</t>
        </is>
      </c>
      <c r="B50" s="6" t="n">
        <v>7530</v>
      </c>
      <c r="C50" s="9" t="n">
        <v>37</v>
      </c>
      <c r="D50" t="inlineStr">
        <is>
          <t>—</t>
        </is>
      </c>
      <c r="E50" s="9" t="n">
        <v>15</v>
      </c>
      <c r="F50" t="inlineStr">
        <is>
          <t>—</t>
        </is>
      </c>
    </row>
    <row r="51">
      <c r="A51" t="inlineStr">
        <is>
          <t>Pinkiang</t>
        </is>
      </c>
      <c r="B51" s="6" t="n">
        <v>17177</v>
      </c>
      <c r="C51" s="6" t="n">
        <v>10076</v>
      </c>
      <c r="D51" s="9" t="n">
        <v>151</v>
      </c>
      <c r="E51" s="6" t="n">
        <v>2399</v>
      </c>
      <c r="F51" s="6" t="n">
        <v>117168</v>
      </c>
    </row>
    <row r="52">
      <c r="A52" t="inlineStr">
        <is>
          <t>Chientao</t>
        </is>
      </c>
      <c r="B52" s="6" t="n">
        <v>1169</v>
      </c>
      <c r="C52" s="9" t="n">
        <v>142</v>
      </c>
      <c r="D52" t="inlineStr">
        <is>
          <t>—</t>
        </is>
      </c>
      <c r="E52" s="9" t="n">
        <v>40</v>
      </c>
      <c r="F52" t="inlineStr">
        <is>
          <t>—</t>
        </is>
      </c>
    </row>
    <row r="53">
      <c r="A53" t="inlineStr">
        <is>
          <t>Tunghua</t>
        </is>
      </c>
      <c r="B53" s="9" t="n">
        <v>62</v>
      </c>
      <c r="C53" s="9" t="n">
        <v>951</v>
      </c>
      <c r="D53" s="9" t="n">
        <v>11</v>
      </c>
      <c r="E53" s="9" t="n">
        <v>109</v>
      </c>
      <c r="F53" s="9" t="n">
        <v>54</v>
      </c>
    </row>
    <row r="54">
      <c r="A54" t="inlineStr">
        <is>
          <t>Antung</t>
        </is>
      </c>
      <c r="B54" s="9" t="n">
        <v>4</v>
      </c>
      <c r="C54" s="9" t="n">
        <v>39</v>
      </c>
      <c r="D54" s="9" t="n">
        <v>13</v>
      </c>
      <c r="E54" s="9" t="n">
        <v>82</v>
      </c>
      <c r="F54" t="inlineStr">
        <is>
          <t>—</t>
        </is>
      </c>
    </row>
    <row r="55">
      <c r="A55" t="inlineStr">
        <is>
          <t>Fengtien</t>
        </is>
      </c>
      <c r="B55" t="inlineStr">
        <is>
          <t>—</t>
        </is>
      </c>
      <c r="C55" s="6" t="n">
        <v>2726</v>
      </c>
      <c r="D55" s="6" t="n">
        <v>5546</v>
      </c>
      <c r="E55" s="6" t="n">
        <v>5831</v>
      </c>
      <c r="F55" s="6" t="n">
        <v>51175</v>
      </c>
    </row>
    <row r="56">
      <c r="A56" t="inlineStr">
        <is>
          <t>Chinchow</t>
        </is>
      </c>
      <c r="B56" t="inlineStr">
        <is>
          <t>—</t>
        </is>
      </c>
      <c r="C56" s="9" t="n">
        <v>417</v>
      </c>
      <c r="D56" s="6" t="n">
        <v>4880</v>
      </c>
      <c r="E56" s="6" t="n">
        <v>6131</v>
      </c>
      <c r="F56" t="inlineStr">
        <is>
          <t>—</t>
        </is>
      </c>
    </row>
    <row r="57">
      <c r="A57" t="inlineStr">
        <is>
          <t>Jehol</t>
        </is>
      </c>
      <c r="B57" t="inlineStr">
        <is>
          <t>—</t>
        </is>
      </c>
      <c r="C57" s="9" t="n">
        <v>750</v>
      </c>
      <c r="D57" s="6" t="n">
        <v>1057</v>
      </c>
      <c r="E57" s="9" t="n">
        <v>355</v>
      </c>
      <c r="F57" t="inlineStr">
        <is>
          <t>—</t>
        </is>
      </c>
    </row>
    <row r="58">
      <c r="A58" t="inlineStr">
        <is>
          <t>Hsingan W.</t>
        </is>
      </c>
      <c r="B58" t="inlineStr">
        <is>
          <t>—</t>
        </is>
      </c>
      <c r="C58" s="9" t="n">
        <v>16</v>
      </c>
      <c r="D58" s="9" t="n">
        <v>608</v>
      </c>
      <c r="E58" s="9" t="n">
        <v>399</v>
      </c>
      <c r="F58" t="inlineStr">
        <is>
          <t>—</t>
        </is>
      </c>
    </row>
    <row r="59">
      <c r="A59" t="inlineStr">
        <is>
          <t>Hsingan S.</t>
        </is>
      </c>
      <c r="B59" s="9" t="n">
        <v>16</v>
      </c>
      <c r="C59" s="9" t="n">
        <v>245</v>
      </c>
      <c r="D59" s="6" t="n">
        <v>10732</v>
      </c>
      <c r="E59" s="6" t="n">
        <v>2123</v>
      </c>
      <c r="F59" s="9" t="n">
        <v>429</v>
      </c>
    </row>
    <row r="60">
      <c r="A60" t="inlineStr">
        <is>
          <t>Hsingan E.</t>
        </is>
      </c>
      <c r="B60" t="inlineStr">
        <is>
          <t>—</t>
        </is>
      </c>
      <c r="C60" s="9" t="n">
        <v>50</v>
      </c>
      <c r="D60" t="inlineStr">
        <is>
          <t>—</t>
        </is>
      </c>
      <c r="E60" t="inlineStr">
        <is>
          <t>—</t>
        </is>
      </c>
      <c r="F60" t="inlineStr">
        <is>
          <t>—</t>
        </is>
      </c>
    </row>
    <row r="61">
      <c r="A61" t="inlineStr">
        <is>
          <t>Hsingan N.</t>
        </is>
      </c>
      <c r="B61" t="inlineStr">
        <is>
          <t>—</t>
        </is>
      </c>
      <c r="C61" t="inlineStr">
        <is>
          <t>—</t>
        </is>
      </c>
      <c r="D61" t="inlineStr">
        <is>
          <t>—</t>
        </is>
      </c>
      <c r="E61" t="inlineStr">
        <is>
          <t>—</t>
        </is>
      </c>
      <c r="F61" t="inlineStr">
        <is>
          <t>—</t>
        </is>
      </c>
    </row>
    <row r="62">
      <c r="A62" t="inlineStr">
        <is>
          <t>Total</t>
        </is>
      </c>
      <c r="B62" t="inlineStr"/>
      <c r="C62" s="6" t="n">
        <v>65402</v>
      </c>
      <c r="D62" s="6" t="n">
        <v>25021</v>
      </c>
      <c r="E62" s="6" t="n">
        <v>20261</v>
      </c>
      <c r="F62" s="6" t="n">
        <v>241841</v>
      </c>
    </row>
    <row r="64">
      <c r="A64" s="2" t="inlineStr">
        <is>
          <t>[Potatoes, fruits, vegetables, lucerne] (headed '(Continued)', p. 432)</t>
        </is>
      </c>
    </row>
    <row r="65">
      <c r="A65" s="5" t="inlineStr">
        <is>
          <t>Year / Province</t>
        </is>
      </c>
      <c r="B65" s="5" t="inlineStr">
        <is>
          <t>Potatoes</t>
        </is>
      </c>
      <c r="C65" s="5" t="inlineStr">
        <is>
          <t>Fruits</t>
        </is>
      </c>
      <c r="D65" s="5" t="inlineStr">
        <is>
          <t>Vegetables</t>
        </is>
      </c>
      <c r="E65" s="5" t="inlineStr">
        <is>
          <t>Lucerne</t>
        </is>
      </c>
      <c r="F65" s="5" t="n"/>
      <c r="G65" s="5" t="n"/>
    </row>
    <row r="66">
      <c r="A66" s="9" t="n">
        <v>1935</v>
      </c>
      <c r="B66" t="inlineStr">
        <is>
          <t>—</t>
        </is>
      </c>
      <c r="C66" t="inlineStr">
        <is>
          <t>—</t>
        </is>
      </c>
      <c r="D66" t="inlineStr">
        <is>
          <t>—</t>
        </is>
      </c>
      <c r="E66" t="inlineStr">
        <is>
          <t>—</t>
        </is>
      </c>
    </row>
    <row r="67">
      <c r="A67" s="9" t="n">
        <v>1936</v>
      </c>
      <c r="B67" t="inlineStr">
        <is>
          <t>—</t>
        </is>
      </c>
      <c r="C67" t="inlineStr">
        <is>
          <t>—</t>
        </is>
      </c>
      <c r="D67" t="inlineStr">
        <is>
          <t>—</t>
        </is>
      </c>
      <c r="E67" t="inlineStr">
        <is>
          <t>—</t>
        </is>
      </c>
    </row>
    <row r="68">
      <c r="A68" s="9" t="n">
        <v>1937</v>
      </c>
      <c r="B68" t="inlineStr">
        <is>
          <t>—</t>
        </is>
      </c>
      <c r="C68" t="inlineStr">
        <is>
          <t>—</t>
        </is>
      </c>
      <c r="D68" t="inlineStr">
        <is>
          <t>—</t>
        </is>
      </c>
      <c r="E68" t="inlineStr">
        <is>
          <t>—</t>
        </is>
      </c>
    </row>
    <row r="69">
      <c r="A69" s="9" t="n">
        <v>1938</v>
      </c>
      <c r="B69" s="6" t="n">
        <v>1384442</v>
      </c>
      <c r="C69" s="9" t="n">
        <v>671</v>
      </c>
      <c r="D69" s="6" t="n">
        <v>381433</v>
      </c>
      <c r="E69" s="6" t="n">
        <v>4510</v>
      </c>
    </row>
    <row r="70">
      <c r="A70" s="9" t="n">
        <v>1939</v>
      </c>
      <c r="B70" s="6" t="n">
        <v>1753725</v>
      </c>
      <c r="C70" s="9" t="n">
        <v>814</v>
      </c>
      <c r="D70" s="6" t="n">
        <v>694689</v>
      </c>
      <c r="E70" s="6" t="n">
        <v>5100</v>
      </c>
    </row>
    <row r="71">
      <c r="A71" t="inlineStr">
        <is>
          <t>1939:</t>
        </is>
      </c>
      <c r="B71" t="inlineStr"/>
      <c r="C71" t="inlineStr"/>
      <c r="D71" t="inlineStr"/>
      <c r="E71" t="inlineStr"/>
    </row>
    <row r="72">
      <c r="A72" t="inlineStr">
        <is>
          <t>Hsinking</t>
        </is>
      </c>
      <c r="B72" s="6" t="n">
        <v>2347</v>
      </c>
      <c r="C72" t="inlineStr">
        <is>
          <t>—</t>
        </is>
      </c>
      <c r="D72" s="6" t="n">
        <v>4307</v>
      </c>
      <c r="E72" t="inlineStr">
        <is>
          <t>—</t>
        </is>
      </c>
    </row>
    <row r="73">
      <c r="A73" t="inlineStr">
        <is>
          <t>Kirin</t>
        </is>
      </c>
      <c r="B73" s="6" t="n">
        <v>329130</v>
      </c>
      <c r="C73" t="inlineStr">
        <is>
          <t>—</t>
        </is>
      </c>
      <c r="D73" s="6" t="n">
        <v>312526</v>
      </c>
      <c r="E73" s="6" t="n">
        <v>2305</v>
      </c>
    </row>
    <row r="74">
      <c r="A74" t="inlineStr">
        <is>
          <t>Lungkiang</t>
        </is>
      </c>
      <c r="B74" s="6" t="n">
        <v>137185</v>
      </c>
      <c r="C74" t="inlineStr">
        <is>
          <t>—</t>
        </is>
      </c>
      <c r="D74" t="inlineStr">
        <is>
          <t>—</t>
        </is>
      </c>
      <c r="E74" t="inlineStr">
        <is>
          <t>—</t>
        </is>
      </c>
    </row>
    <row r="75">
      <c r="A75" t="inlineStr">
        <is>
          <t>Peian</t>
        </is>
      </c>
      <c r="B75" s="6" t="n">
        <v>299851</v>
      </c>
      <c r="C75" t="inlineStr">
        <is>
          <t>—</t>
        </is>
      </c>
      <c r="D75" t="inlineStr">
        <is>
          <t>—</t>
        </is>
      </c>
      <c r="E75" t="inlineStr">
        <is>
          <t>—</t>
        </is>
      </c>
    </row>
    <row r="76">
      <c r="A76" t="inlineStr">
        <is>
          <t>Heiho</t>
        </is>
      </c>
      <c r="B76" s="6" t="n">
        <v>3607</v>
      </c>
      <c r="C76" t="inlineStr">
        <is>
          <t>—</t>
        </is>
      </c>
      <c r="D76" s="6" t="n">
        <v>4307</v>
      </c>
      <c r="E76" t="inlineStr">
        <is>
          <t>—</t>
        </is>
      </c>
    </row>
    <row r="77">
      <c r="A77" t="inlineStr">
        <is>
          <t>Sankiang</t>
        </is>
      </c>
      <c r="B77" s="6" t="n">
        <v>81369</v>
      </c>
      <c r="C77" t="inlineStr">
        <is>
          <t>—</t>
        </is>
      </c>
      <c r="D77" t="inlineStr">
        <is>
          <t>—</t>
        </is>
      </c>
      <c r="E77" t="inlineStr">
        <is>
          <t>—</t>
        </is>
      </c>
    </row>
    <row r="78">
      <c r="A78" t="inlineStr">
        <is>
          <t>Tungan</t>
        </is>
      </c>
      <c r="B78" s="6" t="n">
        <v>17752</v>
      </c>
      <c r="C78" t="inlineStr">
        <is>
          <t>—</t>
        </is>
      </c>
      <c r="D78" t="inlineStr">
        <is>
          <t>—</t>
        </is>
      </c>
      <c r="E78" t="inlineStr">
        <is>
          <t>—</t>
        </is>
      </c>
    </row>
    <row r="79">
      <c r="A79" t="inlineStr">
        <is>
          <t>Mutankiang</t>
        </is>
      </c>
      <c r="B79" s="6" t="n">
        <v>19185</v>
      </c>
      <c r="C79" t="inlineStr">
        <is>
          <t>—</t>
        </is>
      </c>
      <c r="D79" t="inlineStr">
        <is>
          <t>—</t>
        </is>
      </c>
      <c r="E79" t="inlineStr">
        <is>
          <t>—</t>
        </is>
      </c>
    </row>
    <row r="80">
      <c r="A80" t="inlineStr">
        <is>
          <t>Pinkiang</t>
        </is>
      </c>
      <c r="B80" s="6" t="n">
        <v>323043</v>
      </c>
      <c r="C80" t="inlineStr">
        <is>
          <t>—</t>
        </is>
      </c>
      <c r="D80" t="inlineStr">
        <is>
          <t>—</t>
        </is>
      </c>
      <c r="E80" t="inlineStr">
        <is>
          <t>—</t>
        </is>
      </c>
    </row>
    <row r="81">
      <c r="A81" t="inlineStr">
        <is>
          <t>Chientao</t>
        </is>
      </c>
      <c r="B81" s="6" t="n">
        <v>142665</v>
      </c>
      <c r="C81" s="9" t="n">
        <v>738</v>
      </c>
      <c r="D81" s="6" t="n">
        <v>17615</v>
      </c>
      <c r="E81" s="9" t="n">
        <v>190</v>
      </c>
    </row>
    <row r="82">
      <c r="A82" t="inlineStr">
        <is>
          <t>Tunghua</t>
        </is>
      </c>
      <c r="B82" s="6" t="n">
        <v>29912</v>
      </c>
      <c r="C82" t="inlineStr">
        <is>
          <t>—</t>
        </is>
      </c>
      <c r="D82" s="6" t="n">
        <v>25703</v>
      </c>
      <c r="E82" s="9" t="n">
        <v>975</v>
      </c>
    </row>
    <row r="83">
      <c r="A83" t="inlineStr">
        <is>
          <t>Antung</t>
        </is>
      </c>
      <c r="B83" s="6" t="n">
        <v>56318</v>
      </c>
      <c r="C83" t="inlineStr">
        <is>
          <t>—</t>
        </is>
      </c>
      <c r="D83" t="inlineStr">
        <is>
          <t>—</t>
        </is>
      </c>
      <c r="E83" t="inlineStr">
        <is>
          <t>—</t>
        </is>
      </c>
    </row>
    <row r="84">
      <c r="A84" t="inlineStr">
        <is>
          <t>Fengtien</t>
        </is>
      </c>
      <c r="B84" s="6" t="n">
        <v>127599</v>
      </c>
      <c r="C84" s="9" t="n">
        <v>33</v>
      </c>
      <c r="D84" s="6" t="n">
        <v>299362</v>
      </c>
      <c r="E84" s="6" t="n">
        <v>1249</v>
      </c>
    </row>
    <row r="85">
      <c r="A85" t="inlineStr">
        <is>
          <t>Chinchow</t>
        </is>
      </c>
      <c r="B85" s="6" t="n">
        <v>15137</v>
      </c>
      <c r="C85" t="inlineStr">
        <is>
          <t>—</t>
        </is>
      </c>
      <c r="D85" t="inlineStr">
        <is>
          <t>—</t>
        </is>
      </c>
      <c r="E85" t="inlineStr">
        <is>
          <t>—</t>
        </is>
      </c>
    </row>
    <row r="86">
      <c r="A86" t="inlineStr">
        <is>
          <t>Jehol</t>
        </is>
      </c>
      <c r="B86" s="6" t="n">
        <v>109395</v>
      </c>
      <c r="C86" t="inlineStr">
        <is>
          <t>—</t>
        </is>
      </c>
      <c r="D86" t="inlineStr">
        <is>
          <t>—</t>
        </is>
      </c>
      <c r="E86" s="9" t="n">
        <v>118</v>
      </c>
    </row>
    <row r="87">
      <c r="A87" t="inlineStr">
        <is>
          <t>Hsingan W.</t>
        </is>
      </c>
      <c r="B87" s="6" t="n">
        <v>16191</v>
      </c>
      <c r="C87" t="inlineStr">
        <is>
          <t>—</t>
        </is>
      </c>
      <c r="D87" s="6" t="n">
        <v>14766</v>
      </c>
      <c r="E87" s="9" t="n">
        <v>203</v>
      </c>
    </row>
    <row r="88">
      <c r="A88" t="inlineStr">
        <is>
          <t>Hsingan S.</t>
        </is>
      </c>
      <c r="B88" s="6" t="n">
        <v>12727</v>
      </c>
      <c r="C88" s="9" t="n">
        <v>43</v>
      </c>
      <c r="D88" s="6" t="n">
        <v>7731</v>
      </c>
      <c r="E88" s="9" t="n">
        <v>30</v>
      </c>
    </row>
    <row r="89">
      <c r="A89" t="inlineStr">
        <is>
          <t>Hsingan E.</t>
        </is>
      </c>
      <c r="B89" s="6" t="n">
        <v>29330</v>
      </c>
      <c r="C89" t="inlineStr">
        <is>
          <t>—</t>
        </is>
      </c>
      <c r="D89" s="6" t="n">
        <v>7039</v>
      </c>
      <c r="E89" t="inlineStr">
        <is>
          <t>—</t>
        </is>
      </c>
    </row>
    <row r="90">
      <c r="A90" t="inlineStr">
        <is>
          <t>Hsingan N.</t>
        </is>
      </c>
      <c r="B90" s="9" t="n">
        <v>982</v>
      </c>
      <c r="C90" t="inlineStr">
        <is>
          <t>—</t>
        </is>
      </c>
      <c r="D90" s="6" t="n">
        <v>1333</v>
      </c>
      <c r="E90" t="inlineStr">
        <is>
          <t>—</t>
        </is>
      </c>
    </row>
    <row r="91">
      <c r="A91" t="inlineStr">
        <is>
          <t>Total</t>
        </is>
      </c>
      <c r="B91" s="6" t="n">
        <v>1753725</v>
      </c>
      <c r="C91" s="9" t="n">
        <v>814</v>
      </c>
      <c r="D91" s="6" t="n">
        <v>694689</v>
      </c>
      <c r="E91" s="6" t="n">
        <v>5100</v>
      </c>
    </row>
    <row r="93">
      <c r="A93" s="2" t="inlineStr">
        <is>
          <t>Transcriber's notes</t>
        </is>
      </c>
    </row>
    <row r="94">
      <c r="A94" t="inlineStr">
        <is>
          <t>Table begins on p. 430 (years 1935-1939 and 1939 provinces Hsinking, Kirin, Lungkiang) and continues on p. 431 headed '(Continued)' (Peian to Hsingan N. and Total); then a second block headed '(Continued)' with Flax, Perilla seeds, Castor seeds, Sesamum, Beet. Both blocks recorded as parts; the first-block rows from both pages merged.</t>
        </is>
      </c>
    </row>
    <row r="95">
      <c r="A95" t="inlineStr">
        <is>
          <t>Figure columns are printed out of line with the stubs (page skew/typesetting): each column has exactly one entry per stub and entries were assigned in order.</t>
        </is>
      </c>
    </row>
    <row r="96">
      <c r="A96" t="inlineStr">
        <is>
          <t>Hsingan rows printed with ditto marks (', S.' etc.); expanded to 'Hsingan S.' etc.</t>
        </is>
      </c>
    </row>
    <row r="97">
      <c r="A97" t="inlineStr">
        <is>
          <t>Part 1, province rows vs printed Total: Cotton 68,839 vs 68,840 (rounding); Native 17,062 reconciles; Improved 14,247 reconciles; Jute 11,610 vs 11,818 — does NOT reconcile (diff 208); Fibre 15,606 vs 14,606 — does NOT reconcile (diff 1,000); Seed 51,522 vs 51,520 (rounding). Cells re-read.</t>
        </is>
      </c>
    </row>
    <row r="98">
      <c r="A98" t="inlineStr">
        <is>
          <t>Part 2, Total row, Flax: last digit damaged ('48,65' + broken digit); left empty. Province sum 48,657 equals the 1939 row 48,657.</t>
        </is>
      </c>
    </row>
    <row r="99">
      <c r="A99" t="inlineStr">
        <is>
          <t>Part 2, province rows vs printed Total: Perilla 65,402 reconciles; Castor 25,021 reconciles; Sesamum 20,263 vs 20,261 (diff 2); Beet 241,841 reconciles.</t>
        </is>
      </c>
    </row>
    <row r="100">
      <c r="A100" t="inlineStr">
        <is>
          <t>Part 3 (p. 432, IMG_5675): province rows vs printed Total: Potatoes 1,753,725 reconciles; Fruits 814 reconciles; Vegetables 694,689 reconciles; Lucerne 5,070 vs 5,100 — does NOT reconcile (diff 30). The Lucerne and Vegetables columns are printed drifting progressively below their stubs; entries (one per stub) assigned in order.</t>
        </is>
      </c>
    </row>
    <row r="101">
      <c r="A101" t="inlineStr">
        <is>
          <t>Parts 1-3: the 1939 year row equals the provincial Total row in every column.</t>
        </is>
      </c>
    </row>
  </sheetData>
  <hyperlinks>
    <hyperlink xmlns:r="http://schemas.openxmlformats.org/officeDocument/2006/relationships" ref="A4" r:id="rId1"/>
  </hyperlink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Statistic of Cotton Plantation</t>
        </is>
      </c>
    </row>
    <row r="2">
      <c r="A2" t="inlineStr">
        <is>
          <t>Agriculture · printed pp. 432, 433</t>
        </is>
      </c>
    </row>
    <row r="3">
      <c r="A3" s="3" t="inlineStr">
        <is>
          <t>← Contents</t>
        </is>
      </c>
    </row>
    <row r="5">
      <c r="A5" s="2" t="inlineStr">
        <is>
          <t>(A) Area — Area &amp; Crop of Cotton — Area (Hectares)</t>
        </is>
      </c>
    </row>
    <row r="6">
      <c r="A6" s="5" t="inlineStr">
        <is>
          <t>Year / Province</t>
        </is>
      </c>
      <c r="B6" s="5" t="inlineStr">
        <is>
          <t>Native cotton</t>
        </is>
      </c>
      <c r="C6" s="5" t="inlineStr">
        <is>
          <t>Imported cotton</t>
        </is>
      </c>
      <c r="D6" s="5" t="inlineStr">
        <is>
          <t>Improved cotton</t>
        </is>
      </c>
      <c r="E6" s="5" t="inlineStr">
        <is>
          <t>Total</t>
        </is>
      </c>
    </row>
    <row r="7">
      <c r="A7" s="9" t="n">
        <v>1934</v>
      </c>
      <c r="B7" s="6" t="n">
        <v>69267</v>
      </c>
      <c r="C7" s="6" t="n">
        <v>23543</v>
      </c>
      <c r="D7" s="9" t="n">
        <v>58</v>
      </c>
      <c r="E7" s="6" t="n">
        <v>92868</v>
      </c>
    </row>
    <row r="8">
      <c r="A8" s="9" t="n">
        <v>1935</v>
      </c>
      <c r="B8" s="6" t="n">
        <v>43063</v>
      </c>
      <c r="C8" s="6" t="n">
        <v>13692</v>
      </c>
      <c r="D8" s="9" t="n">
        <v>216</v>
      </c>
      <c r="E8" s="6" t="n">
        <v>56971</v>
      </c>
    </row>
    <row r="9">
      <c r="A9" s="9" t="n">
        <v>1936</v>
      </c>
      <c r="B9" s="6" t="n">
        <v>53462</v>
      </c>
      <c r="C9" s="6" t="n">
        <v>27928</v>
      </c>
      <c r="D9" s="6" t="n">
        <v>1020</v>
      </c>
      <c r="E9" s="6" t="n">
        <v>82410</v>
      </c>
    </row>
    <row r="10">
      <c r="A10" s="9" t="n">
        <v>1937</v>
      </c>
      <c r="B10" s="6" t="n">
        <v>57099</v>
      </c>
      <c r="C10" s="6" t="n">
        <v>39209</v>
      </c>
      <c r="D10" s="6" t="n">
        <v>4815</v>
      </c>
      <c r="E10" s="6" t="n">
        <v>101124</v>
      </c>
    </row>
    <row r="11">
      <c r="A11" t="inlineStr">
        <is>
          <t>Of which:</t>
        </is>
      </c>
      <c r="B11" t="inlineStr"/>
      <c r="C11" t="inlineStr"/>
      <c r="D11" t="inlineStr"/>
      <c r="E11" t="inlineStr"/>
    </row>
    <row r="12">
      <c r="A12" t="inlineStr">
        <is>
          <t>Fengtien Province</t>
        </is>
      </c>
      <c r="B12" s="6" t="n">
        <v>25417</v>
      </c>
      <c r="C12" s="6" t="n">
        <v>25578</v>
      </c>
      <c r="D12" s="6" t="n">
        <v>1993</v>
      </c>
      <c r="E12" s="6" t="n">
        <v>52988</v>
      </c>
    </row>
    <row r="13">
      <c r="A13" t="inlineStr">
        <is>
          <t>Chinchow Province</t>
        </is>
      </c>
      <c r="B13" s="6" t="n">
        <v>31306</v>
      </c>
      <c r="C13" s="6" t="n">
        <v>10613</v>
      </c>
      <c r="D13" s="6" t="n">
        <v>2754</v>
      </c>
      <c r="E13" s="6" t="n">
        <v>44672</v>
      </c>
    </row>
    <row r="14">
      <c r="A14" t="inlineStr">
        <is>
          <t>Jehol Province</t>
        </is>
      </c>
      <c r="B14" s="9" t="n">
        <v>348</v>
      </c>
      <c r="C14" s="6" t="n">
        <v>3012</v>
      </c>
      <c r="D14" s="9" t="n">
        <v>68</v>
      </c>
      <c r="E14" s="6" t="n">
        <v>3430</v>
      </c>
    </row>
    <row r="15">
      <c r="A15" t="inlineStr">
        <is>
          <t>Antung Province</t>
        </is>
      </c>
      <c r="B15" s="9" t="n">
        <v>28</v>
      </c>
      <c r="C15" s="9" t="n">
        <v>6</v>
      </c>
      <c r="D15" t="inlineStr">
        <is>
          <t>—</t>
        </is>
      </c>
      <c r="E15" s="9" t="n">
        <v>34</v>
      </c>
    </row>
    <row r="17">
      <c r="A17" s="2" t="inlineStr">
        <is>
          <t>(B) Crop — Output of Raw Cotton (Metric tons)</t>
        </is>
      </c>
    </row>
    <row r="18">
      <c r="A18" s="5" t="inlineStr">
        <is>
          <t>Year / Province</t>
        </is>
      </c>
      <c r="B18" s="5" t="inlineStr">
        <is>
          <t>Native cotton</t>
        </is>
      </c>
      <c r="C18" s="5" t="inlineStr">
        <is>
          <t>Imported cotton</t>
        </is>
      </c>
      <c r="D18" s="5" t="inlineStr">
        <is>
          <t>Improved cotton</t>
        </is>
      </c>
      <c r="E18" s="5" t="inlineStr">
        <is>
          <t>Total</t>
        </is>
      </c>
      <c r="F18" s="5" t="inlineStr">
        <is>
          <t>Computed in ginned cotton</t>
        </is>
      </c>
    </row>
    <row r="19">
      <c r="A19" s="9" t="n">
        <v>1934</v>
      </c>
      <c r="B19" s="6" t="n">
        <v>59595</v>
      </c>
      <c r="C19" s="6" t="n">
        <v>23664</v>
      </c>
      <c r="D19" s="9" t="n">
        <v>47</v>
      </c>
      <c r="E19" s="6" t="n">
        <v>83306</v>
      </c>
      <c r="F19" s="6" t="n">
        <v>22724</v>
      </c>
    </row>
    <row r="20">
      <c r="A20" s="9" t="n">
        <v>1935</v>
      </c>
      <c r="B20" s="6" t="n">
        <v>27014</v>
      </c>
      <c r="C20" s="6" t="n">
        <v>10881</v>
      </c>
      <c r="D20" s="9" t="n">
        <v>215</v>
      </c>
      <c r="E20" s="6" t="n">
        <v>38110</v>
      </c>
      <c r="F20" s="6" t="n">
        <v>10417</v>
      </c>
    </row>
    <row r="21">
      <c r="A21" s="9" t="n">
        <v>1936</v>
      </c>
      <c r="B21" s="6" t="n">
        <v>36618</v>
      </c>
      <c r="C21" s="6" t="n">
        <v>19704</v>
      </c>
      <c r="D21" s="6" t="n">
        <v>1066</v>
      </c>
      <c r="E21" s="6" t="n">
        <v>57389</v>
      </c>
      <c r="F21" s="6" t="n">
        <v>16019</v>
      </c>
    </row>
    <row r="22">
      <c r="A22" s="9" t="n">
        <v>1937</v>
      </c>
      <c r="B22" s="6" t="n">
        <v>37702</v>
      </c>
      <c r="C22" s="6" t="n">
        <v>26577</v>
      </c>
      <c r="D22" s="6" t="n">
        <v>4096</v>
      </c>
      <c r="E22" s="6" t="n">
        <v>68375</v>
      </c>
      <c r="F22" s="6" t="n">
        <v>19673</v>
      </c>
    </row>
    <row r="23">
      <c r="A23" t="inlineStr">
        <is>
          <t>Of which:</t>
        </is>
      </c>
      <c r="B23" t="inlineStr"/>
      <c r="C23" t="inlineStr"/>
      <c r="D23" t="inlineStr"/>
      <c r="E23" t="inlineStr"/>
      <c r="F23" t="inlineStr"/>
    </row>
    <row r="24">
      <c r="A24" t="inlineStr">
        <is>
          <t>Fengtien Province</t>
        </is>
      </c>
      <c r="B24" s="6" t="n">
        <v>17362</v>
      </c>
      <c r="C24" s="6" t="n">
        <v>17451</v>
      </c>
      <c r="D24" t="inlineStr">
        <is>
          <t>—</t>
        </is>
      </c>
      <c r="E24" s="9" t="n">
        <v>18</v>
      </c>
      <c r="F24" s="6" t="n">
        <v>10750</v>
      </c>
    </row>
    <row r="25">
      <c r="A25" t="inlineStr">
        <is>
          <t>Chinchow Province</t>
        </is>
      </c>
      <c r="B25" s="6" t="n">
        <v>20119</v>
      </c>
      <c r="C25" s="6" t="n">
        <v>7163</v>
      </c>
      <c r="D25" s="9" t="n">
        <v>57</v>
      </c>
      <c r="E25" s="6" t="n">
        <v>2221</v>
      </c>
      <c r="F25" s="6" t="n">
        <v>8196</v>
      </c>
    </row>
    <row r="26">
      <c r="A26" t="inlineStr">
        <is>
          <t>Jehol Province</t>
        </is>
      </c>
      <c r="B26" s="9" t="n">
        <v>203</v>
      </c>
      <c r="C26" s="6" t="n">
        <v>1960</v>
      </c>
      <c r="D26" s="6" t="n">
        <v>2244</v>
      </c>
      <c r="E26" s="6" t="n">
        <v>29526</v>
      </c>
      <c r="F26" s="9" t="n">
        <v>723</v>
      </c>
    </row>
    <row r="27">
      <c r="A27" t="inlineStr">
        <is>
          <t>Antung Province</t>
        </is>
      </c>
      <c r="B27" s="9" t="n">
        <v>16</v>
      </c>
      <c r="C27" s="9" t="n">
        <v>3</v>
      </c>
      <c r="D27" s="6" t="n">
        <v>1796</v>
      </c>
      <c r="E27" s="6" t="n">
        <v>36609</v>
      </c>
      <c r="F27" s="9" t="n">
        <v>5</v>
      </c>
    </row>
    <row r="29">
      <c r="A29" s="2" t="inlineStr">
        <is>
          <t>Transcriber's notes</t>
        </is>
      </c>
    </row>
    <row r="30">
      <c r="A30" t="inlineStr">
        <is>
          <t>Part (B) on p. 433 is headed '(Continued)'.</t>
        </is>
      </c>
    </row>
    <row r="31">
      <c r="A31" t="inlineStr">
        <is>
          <t>Province rows printed 'Chinchow "', 'Jehol "', 'Antung "' (ditto for 'Province'); expanded.</t>
        </is>
      </c>
    </row>
    <row r="32">
      <c r="A32" t="inlineStr">
        <is>
          <t>(A) Row totals: 1934, 1935, 1936, Fengtien, Antung reconcile; 1937 parts 101,123 vs 101,124, Chinchow 44,673 vs 44,672, Jehol 3,428 vs 3,430 (rounding). Province columns sum to 57,099 / 39,209 / 4,815 / 101,124 = the 1937 row exactly, so 'Of which' refers to 1937.</t>
        </is>
      </c>
    </row>
    <row r="33">
      <c r="A33" t="inlineStr">
        <is>
          <t>(B) Row totals: 1934, 1935, 1937 reconcile; 1936 parts 57,388 vs 57,389 (rounding).</t>
        </is>
      </c>
    </row>
    <row r="34">
      <c r="A34" t="inlineStr">
        <is>
          <t>(B) Province rows do NOT reconcile with their printed Total column: Fengtien parts 34,813 vs printed 18; Chinchow 27,339 vs 2,221; Jehol 4,407 vs 29,526; Antung 1,815 vs 36,609. The printed province Total column nevertheless sums to 68,374 (≈ 1937 total 68,375), and the other columns sum to 37,700 / 26,577 / 4,097 / 19,674 (≈ 1937 row). The Total-column figures appear misplaced between rows in the source; transcribed as printed.</t>
        </is>
      </c>
    </row>
    <row r="35">
      <c r="A35" t="inlineStr">
        <is>
          <t>Pencil marks near the 1937 Total in (B) are reader's annotations, ignored.</t>
        </is>
      </c>
    </row>
  </sheetData>
  <hyperlinks>
    <hyperlink xmlns:r="http://schemas.openxmlformats.org/officeDocument/2006/relationships" ref="A3" r:id="rId1"/>
  </hyperlink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8. Twenty-five-year Expansion Plan for Wheat Production</t>
        </is>
      </c>
    </row>
    <row r="2">
      <c r="A2" t="inlineStr">
        <is>
          <t>Agriculture · printed pp. 436</t>
        </is>
      </c>
    </row>
    <row r="3">
      <c r="A3" s="3" t="inlineStr">
        <is>
          <t>← Contents</t>
        </is>
      </c>
    </row>
    <row r="5">
      <c r="A5" s="5" t="inlineStr">
        <is>
          <t>Year</t>
        </is>
      </c>
      <c r="B5" s="5" t="inlineStr">
        <is>
          <t>Area under wheat (Hectares)</t>
        </is>
      </c>
      <c r="C5" s="5" t="inlineStr">
        <is>
          <t>Production (Metric tons)</t>
        </is>
      </c>
    </row>
    <row r="6">
      <c r="A6" s="9" t="n">
        <v>1933</v>
      </c>
      <c r="B6" s="6" t="n">
        <v>1222200</v>
      </c>
      <c r="C6" s="6" t="n">
        <v>1210895</v>
      </c>
    </row>
    <row r="7">
      <c r="A7" s="9" t="n">
        <v>1934</v>
      </c>
      <c r="B7" s="6" t="n">
        <v>1222200</v>
      </c>
      <c r="C7" s="6" t="n">
        <v>1210895</v>
      </c>
    </row>
    <row r="8">
      <c r="A8" s="9" t="n">
        <v>1935</v>
      </c>
      <c r="B8" s="6" t="n">
        <v>1264100</v>
      </c>
      <c r="C8" s="6" t="n">
        <v>1252400</v>
      </c>
    </row>
    <row r="9">
      <c r="A9" s="9" t="n">
        <v>1936</v>
      </c>
      <c r="B9" s="6" t="n">
        <v>1306000</v>
      </c>
      <c r="C9" s="6" t="n">
        <v>1294020</v>
      </c>
    </row>
    <row r="10">
      <c r="A10" s="9" t="n">
        <v>1937</v>
      </c>
      <c r="B10" s="6" t="n">
        <v>1348000</v>
      </c>
      <c r="C10" s="6" t="n">
        <v>1335623</v>
      </c>
    </row>
    <row r="11">
      <c r="A11" s="9" t="n">
        <v>1942</v>
      </c>
      <c r="B11" s="6" t="n">
        <v>1658800</v>
      </c>
      <c r="C11" s="6" t="n">
        <v>1643456</v>
      </c>
    </row>
    <row r="12">
      <c r="A12" s="9" t="n">
        <v>1947</v>
      </c>
      <c r="B12" s="6" t="n">
        <v>1987800</v>
      </c>
      <c r="C12" s="6" t="n">
        <v>2011923</v>
      </c>
    </row>
    <row r="13">
      <c r="A13" s="9" t="n">
        <v>1952</v>
      </c>
      <c r="B13" s="6" t="n">
        <v>2326000</v>
      </c>
      <c r="C13" s="6" t="n">
        <v>2458117</v>
      </c>
    </row>
    <row r="15">
      <c r="A15" s="2" t="inlineStr">
        <is>
          <t>Transcriber's notes</t>
        </is>
      </c>
    </row>
    <row r="16">
      <c r="A16" t="inlineStr">
        <is>
          <t>Printed side by side in two blocks (1933-1936 | 1937-1952); merged in reading order.</t>
        </is>
      </c>
    </row>
    <row r="17">
      <c r="A17" t="inlineStr">
        <is>
          <t>Pencil ticks beside some figures are reader's annotations. No totals printed.</t>
        </is>
      </c>
    </row>
  </sheetData>
  <hyperlinks>
    <hyperlink xmlns:r="http://schemas.openxmlformats.org/officeDocument/2006/relationships" ref="A3" r:id="rId1"/>
  </hyperlink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9. Analysis of Soil in North Manchuria</t>
        </is>
      </c>
    </row>
    <row r="2">
      <c r="A2" t="inlineStr">
        <is>
          <t>Agriculture · printed pp. 436</t>
        </is>
      </c>
    </row>
    <row r="3">
      <c r="A3" s="3" t="inlineStr">
        <is>
          <t>← Contents</t>
        </is>
      </c>
    </row>
    <row r="5">
      <c r="A5" s="5" t="inlineStr">
        <is>
          <t>Region</t>
        </is>
      </c>
      <c r="B5" s="5" t="inlineStr">
        <is>
          <t>Percentage of Stones — Stone</t>
        </is>
      </c>
      <c r="C5" s="5" t="inlineStr">
        <is>
          <t>Percentage of Stones — Sand</t>
        </is>
      </c>
      <c r="D5" s="5" t="inlineStr">
        <is>
          <t>Percentage of Sand — Rough Sand</t>
        </is>
      </c>
      <c r="E5" s="5" t="inlineStr">
        <is>
          <t>Percentage of Sand — Medium Sand</t>
        </is>
      </c>
      <c r="F5" s="5" t="inlineStr">
        <is>
          <t>Percentage of Sand — Minute Sand</t>
        </is>
      </c>
      <c r="G5" s="5" t="inlineStr">
        <is>
          <t>Percentage of Sand — Moisture</t>
        </is>
      </c>
      <c r="H5" s="5" t="inlineStr">
        <is>
          <t>Nature of Soil</t>
        </is>
      </c>
    </row>
    <row r="6">
      <c r="A6" t="inlineStr">
        <is>
          <t>Tsitsihar</t>
        </is>
      </c>
      <c r="B6" t="inlineStr">
        <is>
          <t>—</t>
        </is>
      </c>
      <c r="C6" s="10" t="n">
        <v>100</v>
      </c>
      <c r="D6" s="10" t="n">
        <v>2.215</v>
      </c>
      <c r="E6" s="10" t="n">
        <v>15.873</v>
      </c>
      <c r="F6" s="10" t="n">
        <v>33.992</v>
      </c>
      <c r="G6" s="10" t="n">
        <v>47.92</v>
      </c>
      <c r="H6" t="inlineStr">
        <is>
          <t>Humus, semi-inorganic</t>
        </is>
      </c>
    </row>
    <row r="7">
      <c r="A7" t="inlineStr">
        <is>
          <t>Suihua</t>
        </is>
      </c>
      <c r="B7" t="inlineStr">
        <is>
          <t>—</t>
        </is>
      </c>
      <c r="C7" s="10" t="n">
        <v>100</v>
      </c>
      <c r="D7" s="10" t="n">
        <v>0.313</v>
      </c>
      <c r="E7" s="10" t="n">
        <v>7.215</v>
      </c>
      <c r="F7" s="10" t="n">
        <v>38.537</v>
      </c>
      <c r="G7" s="10" t="n">
        <v>53.935</v>
      </c>
      <c r="H7" t="inlineStr">
        <is>
          <t>Humus</t>
        </is>
      </c>
    </row>
    <row r="8">
      <c r="A8" t="inlineStr">
        <is>
          <t>Taian</t>
        </is>
      </c>
      <c r="B8" t="inlineStr">
        <is>
          <t>—</t>
        </is>
      </c>
      <c r="C8" s="10" t="n">
        <v>100</v>
      </c>
      <c r="D8" s="10" t="n">
        <v>1.943</v>
      </c>
      <c r="E8" s="10" t="n">
        <v>10.808</v>
      </c>
      <c r="F8" s="10" t="n">
        <v>33.237</v>
      </c>
      <c r="G8" s="10" t="n">
        <v>54.012</v>
      </c>
      <c r="H8" t="inlineStr">
        <is>
          <t>Humus</t>
        </is>
      </c>
    </row>
    <row r="9">
      <c r="A9" t="inlineStr">
        <is>
          <t>Hailun</t>
        </is>
      </c>
      <c r="B9" s="10" t="n">
        <v>0.048</v>
      </c>
      <c r="C9" s="10" t="n">
        <v>99.95</v>
      </c>
      <c r="D9" s="10" t="n">
        <v>0.646</v>
      </c>
      <c r="E9" s="6" t="n">
        <v>3971</v>
      </c>
      <c r="F9" s="10" t="n">
        <v>47.544</v>
      </c>
      <c r="G9" s="10" t="n">
        <v>47.839</v>
      </c>
      <c r="H9" t="inlineStr">
        <is>
          <t>Humus, semi-inorganic</t>
        </is>
      </c>
    </row>
    <row r="10">
      <c r="A10" t="inlineStr">
        <is>
          <t>Koshan</t>
        </is>
      </c>
      <c r="B10" t="inlineStr">
        <is>
          <t>—</t>
        </is>
      </c>
      <c r="C10" s="10" t="n">
        <v>100</v>
      </c>
      <c r="D10" s="10" t="n">
        <v>0.86</v>
      </c>
      <c r="E10" s="10" t="n">
        <v>3.051</v>
      </c>
      <c r="F10" s="10" t="n">
        <v>38.907</v>
      </c>
      <c r="G10" s="10" t="n">
        <v>57.182</v>
      </c>
      <c r="H10" t="inlineStr">
        <is>
          <t>Humus</t>
        </is>
      </c>
    </row>
    <row r="11">
      <c r="A11" t="inlineStr">
        <is>
          <t>Aigun</t>
        </is>
      </c>
      <c r="B11" s="10" t="n">
        <v>0.077</v>
      </c>
      <c r="C11" s="10" t="n">
        <v>99.923</v>
      </c>
      <c r="D11" s="10" t="n">
        <v>2.543</v>
      </c>
      <c r="E11" s="10" t="n">
        <v>37.312</v>
      </c>
      <c r="F11" s="10" t="n">
        <v>23.014</v>
      </c>
      <c r="G11" s="10" t="n">
        <v>37.131</v>
      </c>
      <c r="H11" t="inlineStr">
        <is>
          <t>Inorganic</t>
        </is>
      </c>
    </row>
    <row r="13">
      <c r="A13" s="2" t="inlineStr">
        <is>
          <t>Footnotes</t>
        </is>
      </c>
    </row>
    <row r="14">
      <c r="A14" t="inlineStr">
        <is>
          <t>S.M.R., "Wheat in Heilungkiang Province", July, 1935.</t>
        </is>
      </c>
    </row>
    <row r="16">
      <c r="A16" s="2" t="inlineStr">
        <is>
          <t>Transcriber's notes</t>
        </is>
      </c>
    </row>
    <row r="17">
      <c r="A17" t="inlineStr">
        <is>
          <t>Hailun Medium Sand printed with a comma, '3,971' (evidently 3.971); kept as printed.</t>
        </is>
      </c>
    </row>
    <row r="18">
      <c r="A18" t="inlineStr">
        <is>
          <t>No totals printed. Check: Stone + Sand = 100.000 for all rows except Hailun 0.048 + 99.950 = 99.998. Rough + Medium + Minute + Moisture = 100.000 for Tsitsihar, Suihua, Taian, Hailun (taking 3.971), Koshan, Aigun.</t>
        </is>
      </c>
    </row>
  </sheetData>
  <hyperlinks>
    <hyperlink xmlns:r="http://schemas.openxmlformats.org/officeDocument/2006/relationships" ref="A3" r:id="rId1"/>
  </hyperlink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10. Chemical Composition of Soil in Wheat Raising Regions (Koshan)</t>
        </is>
      </c>
    </row>
    <row r="2">
      <c r="A2" t="inlineStr">
        <is>
          <t>Agriculture · printed pp. 437</t>
        </is>
      </c>
    </row>
    <row r="3">
      <c r="A3" s="3" t="inlineStr">
        <is>
          <t>← Contents</t>
        </is>
      </c>
    </row>
    <row r="5">
      <c r="A5" s="5" t="inlineStr">
        <is>
          <t>Depth of Soil (centimeters)</t>
        </is>
      </c>
      <c r="B5" s="5" t="inlineStr">
        <is>
          <t>PH Nature</t>
        </is>
      </c>
      <c r="C5" s="5" t="inlineStr">
        <is>
          <t>Tumus Soil</t>
        </is>
      </c>
      <c r="D5" s="5" t="inlineStr">
        <is>
          <t>Pure Nitrogen</t>
        </is>
      </c>
      <c r="E5" s="5" t="inlineStr">
        <is>
          <t>Pure Phosphoric Acid</t>
        </is>
      </c>
      <c r="F5" s="5" t="inlineStr">
        <is>
          <t>Absorbed Phosphoric Acid</t>
        </is>
      </c>
      <c r="G5" s="5" t="inlineStr">
        <is>
          <t>Pure Potassium</t>
        </is>
      </c>
      <c r="H5" s="5" t="inlineStr">
        <is>
          <t>Absorbed Potassium</t>
        </is>
      </c>
      <c r="I5" s="5" t="inlineStr">
        <is>
          <t>Analyzer</t>
        </is>
      </c>
    </row>
    <row r="6">
      <c r="A6" t="inlineStr">
        <is>
          <t>Surface</t>
        </is>
      </c>
      <c r="B6" s="11" t="n">
        <v>6.7</v>
      </c>
      <c r="C6" s="10" t="n">
        <v>5.41</v>
      </c>
      <c r="D6" s="10" t="n">
        <v>0.44</v>
      </c>
      <c r="E6" s="10" t="n">
        <v>0.393</v>
      </c>
      <c r="F6" s="10" t="n">
        <v>0.037</v>
      </c>
      <c r="G6" s="10" t="n">
        <v>2.751</v>
      </c>
      <c r="H6" s="10" t="n">
        <v>0.151</v>
      </c>
      <c r="I6" t="inlineStr">
        <is>
          <t>Dr. Hirai, Kyushu Imperial University</t>
        </is>
      </c>
    </row>
    <row r="7">
      <c r="A7" s="11" t="n">
        <v>0.35</v>
      </c>
      <c r="B7" s="11" t="n">
        <v>7.03</v>
      </c>
      <c r="C7" s="10" t="n">
        <v>4.9</v>
      </c>
      <c r="D7" s="10" t="n">
        <v>0.327</v>
      </c>
      <c r="E7" s="10" t="n">
        <v>0.234</v>
      </c>
      <c r="F7" s="10" t="n">
        <v>0.02</v>
      </c>
      <c r="G7" s="10" t="n">
        <v>0.318</v>
      </c>
      <c r="H7" s="10" t="n">
        <v>0.073</v>
      </c>
      <c r="I7" t="inlineStr">
        <is>
          <t>Dr. Tsukinaga, Kungchuling Agricultural Experimental Station</t>
        </is>
      </c>
    </row>
    <row r="8">
      <c r="A8" t="inlineStr">
        <is>
          <t>35-85</t>
        </is>
      </c>
      <c r="B8" s="11" t="n">
        <v>6.18</v>
      </c>
      <c r="C8" s="10" t="n">
        <v>2.799</v>
      </c>
      <c r="D8" s="10" t="n">
        <v>0.327</v>
      </c>
      <c r="E8" s="10" t="n">
        <v>0.234</v>
      </c>
      <c r="F8" s="10" t="n">
        <v>0.02</v>
      </c>
      <c r="G8" s="10" t="n">
        <v>0.318</v>
      </c>
      <c r="H8" s="10" t="n">
        <v>0.073</v>
      </c>
      <c r="I8" t="inlineStr">
        <is>
          <t>"</t>
        </is>
      </c>
    </row>
    <row r="9">
      <c r="A9" t="inlineStr">
        <is>
          <t>85-120</t>
        </is>
      </c>
      <c r="B9" s="11" t="n">
        <v>5.9</v>
      </c>
      <c r="C9" s="10" t="n">
        <v>1.088</v>
      </c>
      <c r="D9" s="10" t="n">
        <v>0.327</v>
      </c>
      <c r="E9" s="10" t="n">
        <v>0.234</v>
      </c>
      <c r="F9" s="10" t="n">
        <v>0.02</v>
      </c>
      <c r="G9" s="10" t="n">
        <v>0.318</v>
      </c>
      <c r="H9" s="10" t="n">
        <v>0.073</v>
      </c>
      <c r="I9" t="inlineStr">
        <is>
          <t>"</t>
        </is>
      </c>
    </row>
    <row r="10">
      <c r="A10" t="inlineStr">
        <is>
          <t>Aver. for Manchurian Soil</t>
        </is>
      </c>
      <c r="B10" t="inlineStr">
        <is>
          <t>—</t>
        </is>
      </c>
      <c r="C10" t="inlineStr">
        <is>
          <t>—</t>
        </is>
      </c>
      <c r="D10" s="10" t="n">
        <v>0.153</v>
      </c>
      <c r="E10" s="10" t="n">
        <v>0.119</v>
      </c>
      <c r="F10" t="inlineStr">
        <is>
          <t>—</t>
        </is>
      </c>
      <c r="G10" s="10" t="n">
        <v>0.188</v>
      </c>
      <c r="H10" t="inlineStr">
        <is>
          <t>—</t>
        </is>
      </c>
      <c r="I10" t="inlineStr">
        <is>
          <t>Dr. Tepkinaga</t>
        </is>
      </c>
    </row>
    <row r="11">
      <c r="A11" t="inlineStr">
        <is>
          <t>Aver. for Japanese soil</t>
        </is>
      </c>
      <c r="B11" s="11" t="n">
        <v>6.2</v>
      </c>
      <c r="C11" t="inlineStr">
        <is>
          <t>—</t>
        </is>
      </c>
      <c r="D11" s="10" t="n">
        <v>0.228</v>
      </c>
      <c r="E11" s="10" t="n">
        <v>0.109</v>
      </c>
      <c r="F11" s="10" t="n">
        <v>0.041</v>
      </c>
      <c r="G11" s="10" t="n">
        <v>0.274</v>
      </c>
      <c r="H11" s="10" t="n">
        <v>0.034</v>
      </c>
      <c r="I11" t="inlineStr">
        <is>
          <t>Dr. Hirai, Kyushu Imperial University</t>
        </is>
      </c>
    </row>
    <row r="13">
      <c r="A13" s="2" t="inlineStr">
        <is>
          <t>Footnotes</t>
        </is>
      </c>
    </row>
    <row r="14">
      <c r="A14" t="inlineStr">
        <is>
          <t>Department of Research, Yokohama Specie Bank, "Wheat and Flour Manufacturing in North Manchuria", August, 1936.</t>
        </is>
      </c>
    </row>
    <row r="16">
      <c r="A16" s="2" t="inlineStr">
        <is>
          <t>Transcriber's notes</t>
        </is>
      </c>
    </row>
    <row r="17">
      <c r="A17" t="inlineStr">
        <is>
          <t>'Tumus Soil', '0.35' and 'Dr. Tepkinaga' transcribed as printed (probably Humus, 0-35, Tsukinaga). Ditto marks (") in Analyzer column kept. No totals.</t>
        </is>
      </c>
    </row>
  </sheetData>
  <hyperlinks>
    <hyperlink xmlns:r="http://schemas.openxmlformats.org/officeDocument/2006/relationships" ref="A3" r:id="rId1"/>
  </hyperlink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18. Income from and Expenditures of Soya Bean and Wheat Production in North Manchuria (Hailun-hsien)</t>
        </is>
      </c>
    </row>
    <row r="2">
      <c r="A2" t="inlineStr">
        <is>
          <t>Agriculture · printed pp. 438, 439</t>
        </is>
      </c>
    </row>
    <row r="3">
      <c r="A3" t="inlineStr">
        <is>
          <t>(Unit: yuan per tan*)</t>
        </is>
      </c>
    </row>
    <row r="4">
      <c r="A4" s="3" t="inlineStr">
        <is>
          <t>← Contents</t>
        </is>
      </c>
    </row>
    <row r="6">
      <c r="A6" s="5" t="inlineStr">
        <is>
          <t>Item</t>
        </is>
      </c>
      <c r="B6" s="5" t="inlineStr">
        <is>
          <t>Soya Beans — 1929</t>
        </is>
      </c>
      <c r="C6" s="5" t="inlineStr">
        <is>
          <t>Soya Beans — 1930</t>
        </is>
      </c>
      <c r="D6" s="5" t="inlineStr">
        <is>
          <t>Wheat — 1929</t>
        </is>
      </c>
      <c r="E6" s="5" t="inlineStr">
        <is>
          <t>Wheat — 1930</t>
        </is>
      </c>
    </row>
    <row r="7">
      <c r="A7" t="inlineStr">
        <is>
          <t>Seeds</t>
        </is>
      </c>
      <c r="B7" s="11" t="n">
        <v>0.5</v>
      </c>
      <c r="C7" t="inlineStr">
        <is>
          <t>024.</t>
        </is>
      </c>
      <c r="D7" s="11" t="n">
        <v>0.77</v>
      </c>
      <c r="E7" s="11" t="n">
        <v>0.49</v>
      </c>
    </row>
    <row r="8">
      <c r="A8" t="inlineStr">
        <is>
          <t>Fertilizer</t>
        </is>
      </c>
      <c r="B8" s="11" t="n">
        <v>0.3</v>
      </c>
      <c r="C8" s="11" t="n">
        <v>0.15</v>
      </c>
      <c r="D8" s="11" t="n">
        <v>0.3</v>
      </c>
      <c r="E8" s="11" t="n">
        <v>0.15</v>
      </c>
    </row>
    <row r="9">
      <c r="A9" t="inlineStr">
        <is>
          <t>Labor cost</t>
        </is>
      </c>
      <c r="B9" s="11" t="n">
        <v>2.64</v>
      </c>
      <c r="C9" s="11" t="n">
        <v>1.76</v>
      </c>
      <c r="D9" s="11" t="n">
        <v>2.16</v>
      </c>
      <c r="E9" s="11" t="n">
        <v>1.44</v>
      </c>
    </row>
    <row r="10">
      <c r="A10" t="inlineStr">
        <is>
          <t>Live-stock</t>
        </is>
      </c>
      <c r="B10" s="11" t="n">
        <v>0.4</v>
      </c>
      <c r="C10" s="11" t="n">
        <v>0.26</v>
      </c>
      <c r="D10" s="11" t="n">
        <v>0.4</v>
      </c>
      <c r="E10" s="11" t="n">
        <v>0.26</v>
      </c>
    </row>
    <row r="11">
      <c r="A11" t="inlineStr">
        <is>
          <t>Materials</t>
        </is>
      </c>
      <c r="B11" s="11" t="n">
        <v>0.03</v>
      </c>
      <c r="C11" s="11" t="n">
        <v>0.02</v>
      </c>
      <c r="D11" s="11" t="n">
        <v>0.03</v>
      </c>
      <c r="E11" s="11" t="n">
        <v>0.02</v>
      </c>
    </row>
    <row r="12">
      <c r="A12" t="inlineStr">
        <is>
          <t>Taxes</t>
        </is>
      </c>
      <c r="B12" s="11" t="n">
        <v>0.22</v>
      </c>
      <c r="C12" s="11" t="n">
        <v>0.14</v>
      </c>
      <c r="D12" s="11" t="n">
        <v>0.22</v>
      </c>
      <c r="E12" s="11" t="n">
        <v>0.14</v>
      </c>
    </row>
    <row r="13">
      <c r="A13" t="inlineStr">
        <is>
          <t>Redemption on buildings</t>
        </is>
      </c>
      <c r="B13" s="11" t="n">
        <v>0.04</v>
      </c>
      <c r="C13" s="11" t="n">
        <v>0.03</v>
      </c>
      <c r="D13" s="11" t="n">
        <v>0.04</v>
      </c>
      <c r="E13" s="11" t="n">
        <v>0.03</v>
      </c>
    </row>
    <row r="14">
      <c r="A14" t="inlineStr">
        <is>
          <t>Redemption on farm implements</t>
        </is>
      </c>
      <c r="B14" s="11" t="n">
        <v>0.06</v>
      </c>
      <c r="C14" s="11" t="n">
        <v>0.05</v>
      </c>
      <c r="D14" s="11" t="n">
        <v>0.06</v>
      </c>
      <c r="E14" s="11" t="n">
        <v>0.05</v>
      </c>
    </row>
    <row r="15">
      <c r="A15" t="inlineStr">
        <is>
          <t>Tenant fees</t>
        </is>
      </c>
      <c r="B15" s="11" t="n">
        <v>3.33</v>
      </c>
      <c r="C15" s="11" t="n">
        <v>1.61</v>
      </c>
      <c r="D15" s="11" t="n">
        <v>3.33</v>
      </c>
      <c r="E15" s="11" t="n">
        <v>1.16</v>
      </c>
    </row>
    <row r="16">
      <c r="A16" t="inlineStr">
        <is>
          <t>Others</t>
        </is>
      </c>
      <c r="B16" s="11" t="n">
        <v>0.25</v>
      </c>
      <c r="C16" s="11" t="n">
        <v>0.16</v>
      </c>
      <c r="D16" s="11" t="n">
        <v>0.25</v>
      </c>
      <c r="E16" s="11" t="n">
        <v>0.16</v>
      </c>
    </row>
    <row r="17">
      <c r="A17" t="inlineStr">
        <is>
          <t>Total expenditures</t>
        </is>
      </c>
      <c r="B17" s="11" t="n">
        <v>7.55</v>
      </c>
      <c r="C17" s="11" t="n">
        <v>4.28</v>
      </c>
      <c r="D17" s="11" t="n">
        <v>7.34</v>
      </c>
      <c r="E17" s="11" t="n">
        <v>4.21</v>
      </c>
    </row>
    <row r="18">
      <c r="A18" t="inlineStr">
        <is>
          <t>Seeds sold</t>
        </is>
      </c>
      <c r="B18" s="11" t="n">
        <v>8.880000000000001</v>
      </c>
      <c r="C18" s="11" t="n">
        <v>4.04</v>
      </c>
      <c r="D18" s="11" t="n">
        <v>8.77</v>
      </c>
      <c r="E18" s="11" t="n">
        <v>5.57</v>
      </c>
    </row>
    <row r="19">
      <c r="A19" t="inlineStr">
        <is>
          <t>Stems and others sold</t>
        </is>
      </c>
      <c r="B19" s="11" t="n">
        <v>0.86</v>
      </c>
      <c r="C19" s="11" t="n">
        <v>0.62</v>
      </c>
      <c r="D19" s="11" t="n">
        <v>0.86</v>
      </c>
      <c r="E19" s="11" t="n">
        <v>0.84</v>
      </c>
    </row>
    <row r="20">
      <c r="A20" t="inlineStr">
        <is>
          <t>Total income</t>
        </is>
      </c>
      <c r="B20" s="11" t="n">
        <v>9.74</v>
      </c>
      <c r="C20" s="11" t="n">
        <v>4.66</v>
      </c>
      <c r="D20" s="11" t="n">
        <v>9.630000000000001</v>
      </c>
      <c r="E20" s="11" t="n">
        <v>6.2</v>
      </c>
    </row>
    <row r="21">
      <c r="A21" t="inlineStr">
        <is>
          <t>Profit</t>
        </is>
      </c>
      <c r="B21" s="11" t="n">
        <v>2.1</v>
      </c>
      <c r="C21" s="11" t="n">
        <v>0.38</v>
      </c>
      <c r="D21" s="11" t="n">
        <v>2.29</v>
      </c>
      <c r="E21" s="11" t="n">
        <v>1.99</v>
      </c>
    </row>
    <row r="23">
      <c r="A23" s="2" t="inlineStr">
        <is>
          <t>Footnotes</t>
        </is>
      </c>
    </row>
    <row r="24">
      <c r="A24" t="inlineStr">
        <is>
          <t>Figures compiled from surveys conducted by the Hailun Agricultural Experimental Station, Nisshin Flour-Milling Co., "Japanese Immigration, Wheat Production and Flour-Milling Policy in Regard to North Manchuria", and "Survey No. 100" of the Yokohama Specie Bank.</t>
        </is>
      </c>
    </row>
    <row r="25">
      <c r="A25" t="inlineStr">
        <is>
          <t>*1 "tan" equals 1/10 hectare.</t>
        </is>
      </c>
    </row>
    <row r="27">
      <c r="A27" s="2" t="inlineStr">
        <is>
          <t>Transcriber's notes</t>
        </is>
      </c>
    </row>
    <row r="28">
      <c r="A28" t="inlineStr">
        <is>
          <t>Table numbered 18 as printed (preceding table on p. 437 is Table 10). Begins p. 438 (Seeds, Fertilizer) and continues p. 439 headed '(Continued)'; merged.</t>
        </is>
      </c>
    </row>
    <row r="29">
      <c r="A29" t="inlineStr">
        <is>
          <t>Soya Beans 1930 Seeds printed '024.' (misplaced point, evidently 0.24); kept as printed.</t>
        </is>
      </c>
    </row>
    <row r="30">
      <c r="A30" t="inlineStr">
        <is>
          <t>A printed dot after Soya 1929 Profit 2.10 ignored. Stubs on p. 439 print slightly below their figures (page skew); 13 stubs match 13 rows.</t>
        </is>
      </c>
    </row>
    <row r="31">
      <c r="A31" t="inlineStr">
        <is>
          <t>Total expenditures (sum of Seeds…Others): Soya 1929 parts 7.77 vs printed 7.55 — does NOT reconcile (diff 0.22); Soya 1930 4.42 vs 4.28 — does NOT reconcile (diff 0.14); Wheat 1929 7.56 vs 7.34 — does NOT reconcile (diff 0.22); Wheat 1930 3.90 vs 4.21 — does NOT reconcile (diff −0.31). (The first three differ by exactly the Taxes figure.) Using 0.24 for '024.'.</t>
        </is>
      </c>
    </row>
    <row r="32">
      <c r="A32" t="inlineStr">
        <is>
          <t>Total income (Seeds sold + Stems and others sold): Soya 1929 9.74, Soya 1930 4.66, Wheat 1929 9.63 reconcile; Wheat 1930 6.41 vs 6.20 — does NOT reconcile (diff 0.21).</t>
        </is>
      </c>
    </row>
    <row r="33">
      <c r="A33" t="inlineStr">
        <is>
          <t>Profit (Total income − Total expenditures, printed figures): Soya 1929 2.19 vs 2.10 — does NOT reconcile; Soya 1930 0.38, Wheat 1929 2.29, Wheat 1930 1.99 reconcile.</t>
        </is>
      </c>
    </row>
  </sheetData>
  <hyperlinks>
    <hyperlink xmlns:r="http://schemas.openxmlformats.org/officeDocument/2006/relationships" ref="A4" r:id="rId1"/>
  </hyperlink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K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20. Legalized Area for Poppy Growing</t>
        </is>
      </c>
    </row>
    <row r="2">
      <c r="A2" t="inlineStr">
        <is>
          <t>Agriculture · printed pp. 446</t>
        </is>
      </c>
    </row>
    <row r="3">
      <c r="A3" t="inlineStr">
        <is>
          <t>(Unit: 1,000 Hectares)</t>
        </is>
      </c>
    </row>
    <row r="4">
      <c r="A4" s="3" t="inlineStr">
        <is>
          <t>← Contents</t>
        </is>
      </c>
    </row>
    <row r="6">
      <c r="A6" s="5" t="inlineStr">
        <is>
          <t>Year</t>
        </is>
      </c>
      <c r="B6" s="5" t="inlineStr">
        <is>
          <t>Jehol</t>
        </is>
      </c>
      <c r="C6" s="5" t="inlineStr">
        <is>
          <t>Kirin</t>
        </is>
      </c>
      <c r="D6" s="5" t="inlineStr">
        <is>
          <t>West Hsingan</t>
        </is>
      </c>
      <c r="E6" s="5" t="inlineStr">
        <is>
          <t>Fengtien</t>
        </is>
      </c>
      <c r="F6" s="5" t="inlineStr">
        <is>
          <t>Chinchow</t>
        </is>
      </c>
      <c r="G6" s="5" t="inlineStr">
        <is>
          <t>Antung</t>
        </is>
      </c>
      <c r="H6" s="5" t="inlineStr">
        <is>
          <t>Chientao</t>
        </is>
      </c>
      <c r="I6" s="5" t="inlineStr">
        <is>
          <t>Pinkiang</t>
        </is>
      </c>
      <c r="J6" s="5" t="inlineStr">
        <is>
          <t>Sankiang</t>
        </is>
      </c>
      <c r="K6" s="5" t="inlineStr">
        <is>
          <t>Total</t>
        </is>
      </c>
    </row>
    <row r="7">
      <c r="A7" s="9" t="n">
        <v>1933</v>
      </c>
      <c r="B7" s="9" t="n">
        <v>580</v>
      </c>
      <c r="C7" s="9" t="n">
        <v>361</v>
      </c>
      <c r="D7" t="inlineStr">
        <is>
          <t>—</t>
        </is>
      </c>
      <c r="E7" t="inlineStr">
        <is>
          <t>—</t>
        </is>
      </c>
      <c r="F7" t="inlineStr">
        <is>
          <t>—</t>
        </is>
      </c>
      <c r="G7" t="inlineStr">
        <is>
          <t>—</t>
        </is>
      </c>
      <c r="H7" t="inlineStr">
        <is>
          <t>—</t>
        </is>
      </c>
      <c r="I7" t="inlineStr">
        <is>
          <t>—</t>
        </is>
      </c>
      <c r="J7" t="inlineStr">
        <is>
          <t>—</t>
        </is>
      </c>
      <c r="K7" s="9" t="n">
        <v>941</v>
      </c>
    </row>
    <row r="8">
      <c r="A8" s="9" t="n">
        <v>1934</v>
      </c>
      <c r="B8" s="9" t="n">
        <v>460</v>
      </c>
      <c r="C8" s="9" t="n">
        <v>486</v>
      </c>
      <c r="D8" s="9" t="n">
        <v>40</v>
      </c>
      <c r="E8" s="9" t="n">
        <v>80</v>
      </c>
      <c r="F8" t="inlineStr">
        <is>
          <t>—</t>
        </is>
      </c>
      <c r="G8" t="inlineStr">
        <is>
          <t>—</t>
        </is>
      </c>
      <c r="H8" t="inlineStr">
        <is>
          <t>—</t>
        </is>
      </c>
      <c r="I8" t="inlineStr">
        <is>
          <t>—</t>
        </is>
      </c>
      <c r="J8" t="inlineStr">
        <is>
          <t>—</t>
        </is>
      </c>
      <c r="K8" s="6" t="n">
        <v>1066</v>
      </c>
    </row>
    <row r="9">
      <c r="A9" s="9" t="n">
        <v>1935</v>
      </c>
      <c r="B9" s="9" t="n">
        <v>310</v>
      </c>
      <c r="C9" t="inlineStr">
        <is>
          <t>—</t>
        </is>
      </c>
      <c r="D9" s="9" t="n">
        <v>10</v>
      </c>
      <c r="E9" t="inlineStr">
        <is>
          <t>—</t>
        </is>
      </c>
      <c r="F9" s="9" t="n">
        <v>30</v>
      </c>
      <c r="G9" s="9" t="n">
        <v>10</v>
      </c>
      <c r="H9" s="9" t="n">
        <v>145</v>
      </c>
      <c r="I9" s="9" t="n">
        <v>50</v>
      </c>
      <c r="J9" s="9" t="n">
        <v>135</v>
      </c>
      <c r="K9" s="9" t="n">
        <v>690</v>
      </c>
    </row>
    <row r="10">
      <c r="A10" s="9" t="n">
        <v>1936</v>
      </c>
      <c r="B10" s="9" t="n">
        <v>600</v>
      </c>
      <c r="C10" t="inlineStr">
        <is>
          <t>—</t>
        </is>
      </c>
      <c r="D10" s="9" t="n">
        <v>50</v>
      </c>
      <c r="E10" t="inlineStr">
        <is>
          <t>—</t>
        </is>
      </c>
      <c r="F10" t="inlineStr">
        <is>
          <t>—</t>
        </is>
      </c>
      <c r="G10" t="inlineStr">
        <is>
          <t>—</t>
        </is>
      </c>
      <c r="H10" t="inlineStr">
        <is>
          <t>—</t>
        </is>
      </c>
      <c r="I10" s="9" t="n">
        <v>30</v>
      </c>
      <c r="J10" s="9" t="n">
        <v>200</v>
      </c>
      <c r="K10" s="9" t="n">
        <v>880</v>
      </c>
    </row>
    <row r="11">
      <c r="A11" s="9" t="n">
        <v>1937</v>
      </c>
      <c r="B11" s="9" t="n">
        <v>700</v>
      </c>
      <c r="C11" t="inlineStr">
        <is>
          <t>—</t>
        </is>
      </c>
      <c r="D11" s="9" t="n">
        <v>50</v>
      </c>
      <c r="E11" t="inlineStr">
        <is>
          <t>—</t>
        </is>
      </c>
      <c r="F11" t="inlineStr">
        <is>
          <t>—</t>
        </is>
      </c>
      <c r="G11" t="inlineStr">
        <is>
          <t>—</t>
        </is>
      </c>
      <c r="H11" t="inlineStr">
        <is>
          <t>—</t>
        </is>
      </c>
      <c r="I11" s="9" t="n">
        <v>30</v>
      </c>
      <c r="J11" s="9" t="n">
        <v>250</v>
      </c>
      <c r="K11" s="6" t="n">
        <v>1030</v>
      </c>
    </row>
    <row r="12">
      <c r="A12" s="9" t="n">
        <v>1938</v>
      </c>
      <c r="B12" s="9" t="n">
        <v>650</v>
      </c>
      <c r="C12" t="inlineStr">
        <is>
          <t>—</t>
        </is>
      </c>
      <c r="D12" s="9" t="n">
        <v>60</v>
      </c>
      <c r="E12" t="inlineStr">
        <is>
          <t>—</t>
        </is>
      </c>
      <c r="F12" t="inlineStr">
        <is>
          <t>—</t>
        </is>
      </c>
      <c r="G12" t="inlineStr">
        <is>
          <t>—</t>
        </is>
      </c>
      <c r="H12" t="inlineStr">
        <is>
          <t>—</t>
        </is>
      </c>
      <c r="I12" t="inlineStr">
        <is>
          <t>—</t>
        </is>
      </c>
      <c r="J12" t="inlineStr">
        <is>
          <t>—</t>
        </is>
      </c>
      <c r="K12" s="9" t="n">
        <v>710</v>
      </c>
    </row>
    <row r="14">
      <c r="A14" s="2" t="inlineStr">
        <is>
          <t>Transcriber's notes</t>
        </is>
      </c>
    </row>
    <row r="15">
      <c r="A15" t="inlineStr">
        <is>
          <t>Year '1936' printed with a blurred third digit (looks like '1956'); sequence 1933-1938 makes it 1936.</t>
        </is>
      </c>
    </row>
    <row r="16">
      <c r="A16" t="inlineStr">
        <is>
          <t>Figures print slightly below their stubs; one entry per stub per column, assigned in order.</t>
        </is>
      </c>
    </row>
    <row r="17">
      <c r="A17" t="inlineStr">
        <is>
          <t>Row totals: all six rows reconcile (941; 1,066; 690; 880; 1,030; 710).</t>
        </is>
      </c>
    </row>
  </sheetData>
  <hyperlinks>
    <hyperlink xmlns:r="http://schemas.openxmlformats.org/officeDocument/2006/relationships" ref="A4" r:id="rId1"/>
  </hyperlink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21. State Purchases and Sales of Opium</t>
        </is>
      </c>
    </row>
    <row r="2">
      <c r="A2" t="inlineStr">
        <is>
          <t>Agriculture · printed pp. 447</t>
        </is>
      </c>
    </row>
    <row r="3">
      <c r="A3" t="inlineStr">
        <is>
          <t>Quantity in liang (1 liang=50 grams); Value in M¥</t>
        </is>
      </c>
    </row>
    <row r="4">
      <c r="A4" s="3" t="inlineStr">
        <is>
          <t>← Contents</t>
        </is>
      </c>
    </row>
    <row r="6">
      <c r="A6" s="5" t="inlineStr">
        <is>
          <t>Year</t>
        </is>
      </c>
      <c r="B6" s="5" t="inlineStr">
        <is>
          <t>Purchased — Quantity</t>
        </is>
      </c>
      <c r="C6" s="5" t="inlineStr">
        <is>
          <t>Purchased — Value</t>
        </is>
      </c>
      <c r="D6" s="5" t="inlineStr">
        <is>
          <t>Sold — Quantity</t>
        </is>
      </c>
      <c r="E6" s="5" t="inlineStr">
        <is>
          <t>Sold — Value</t>
        </is>
      </c>
    </row>
    <row r="7">
      <c r="A7" s="9" t="n">
        <v>1933</v>
      </c>
      <c r="B7" s="6" t="n">
        <v>3429601</v>
      </c>
      <c r="C7" s="6" t="n">
        <v>7630775</v>
      </c>
      <c r="D7" s="6" t="n">
        <v>1220403</v>
      </c>
      <c r="E7" s="6" t="n">
        <v>5511033</v>
      </c>
    </row>
    <row r="8">
      <c r="A8" s="9" t="n">
        <v>1934</v>
      </c>
      <c r="B8" s="6" t="n">
        <v>6612951</v>
      </c>
      <c r="C8" s="6" t="n">
        <v>14999670</v>
      </c>
      <c r="D8" s="6" t="n">
        <v>3808499</v>
      </c>
      <c r="E8" s="6" t="n">
        <v>14372726</v>
      </c>
    </row>
    <row r="9">
      <c r="A9" s="9" t="n">
        <v>1935</v>
      </c>
      <c r="B9" s="6" t="n">
        <v>7601254</v>
      </c>
      <c r="C9" s="6" t="n">
        <v>15362449</v>
      </c>
      <c r="D9" s="6" t="n">
        <v>7780606</v>
      </c>
      <c r="E9" s="6" t="n">
        <v>28230347</v>
      </c>
    </row>
    <row r="10">
      <c r="A10" s="9" t="n">
        <v>1936</v>
      </c>
      <c r="B10" s="6" t="n">
        <v>10307943</v>
      </c>
      <c r="C10" s="6" t="n">
        <v>19834666</v>
      </c>
      <c r="D10" s="6" t="n">
        <v>10108223</v>
      </c>
      <c r="E10" s="6" t="n">
        <v>38667556</v>
      </c>
    </row>
    <row r="11">
      <c r="A11" s="9" t="n">
        <v>1937</v>
      </c>
      <c r="B11" s="6" t="n">
        <v>13500000</v>
      </c>
      <c r="C11" s="6" t="n">
        <v>29025000</v>
      </c>
      <c r="D11" s="6" t="n">
        <v>12300000</v>
      </c>
      <c r="E11" s="6" t="n">
        <v>47850000</v>
      </c>
    </row>
    <row r="13">
      <c r="A13" s="2" t="inlineStr">
        <is>
          <t>Transcriber's notes</t>
        </is>
      </c>
    </row>
    <row r="14">
      <c r="A14" t="inlineStr">
        <is>
          <t>Year stubs are printed half a row below the figures (page skew); 5 stubs match 5 rows, assigned in order. No totals printed.</t>
        </is>
      </c>
    </row>
  </sheetData>
  <hyperlinks>
    <hyperlink xmlns:r="http://schemas.openxmlformats.org/officeDocument/2006/relationships" ref="A4" r:id="rId1"/>
  </hyperlink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22. Imports of Agricultural Machineries, Implements, Tools, etc.</t>
        </is>
      </c>
    </row>
    <row r="2">
      <c r="A2" t="inlineStr">
        <is>
          <t>Agriculture · printed pp. 447</t>
        </is>
      </c>
    </row>
    <row r="3">
      <c r="A3" s="3" t="inlineStr">
        <is>
          <t>← Contents</t>
        </is>
      </c>
    </row>
    <row r="5">
      <c r="A5" s="5" t="inlineStr">
        <is>
          <t>Year</t>
        </is>
      </c>
      <c r="B5" s="5" t="inlineStr">
        <is>
          <t>Value (in M¥)</t>
        </is>
      </c>
    </row>
    <row r="6">
      <c r="A6" s="9" t="n">
        <v>1933</v>
      </c>
      <c r="B6" s="6" t="n">
        <v>122557</v>
      </c>
    </row>
    <row r="7">
      <c r="A7" s="9" t="n">
        <v>1934</v>
      </c>
      <c r="B7" s="6" t="n">
        <v>157836</v>
      </c>
    </row>
    <row r="8">
      <c r="A8" s="9" t="n">
        <v>1935</v>
      </c>
      <c r="B8" s="6" t="n">
        <v>606119</v>
      </c>
    </row>
    <row r="9">
      <c r="A9" s="9" t="n">
        <v>1936</v>
      </c>
      <c r="B9" s="6" t="n">
        <v>986847</v>
      </c>
    </row>
    <row r="10">
      <c r="A10" s="9" t="n">
        <v>1937</v>
      </c>
      <c r="B10" s="6" t="n">
        <v>2306741</v>
      </c>
    </row>
    <row r="11">
      <c r="A11" s="9" t="n">
        <v>1938</v>
      </c>
      <c r="B11" s="6" t="n">
        <v>1241273</v>
      </c>
    </row>
    <row r="12">
      <c r="A12" s="9" t="n">
        <v>1939</v>
      </c>
      <c r="B12" s="6" t="n">
        <v>2725517</v>
      </c>
    </row>
    <row r="14">
      <c r="A14" s="2" t="inlineStr">
        <is>
          <t>Transcriber's notes</t>
        </is>
      </c>
    </row>
    <row r="15">
      <c r="A15" t="inlineStr">
        <is>
          <t>Printed in two side-by-side blocks (1933-1935 | 1936-1939); merged. No totals.</t>
        </is>
      </c>
    </row>
  </sheetData>
  <hyperlinks>
    <hyperlink xmlns:r="http://schemas.openxmlformats.org/officeDocument/2006/relationships" ref="A3" r:id="rId1"/>
  </hyperlink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23. Statistics on Granaries</t>
        </is>
      </c>
    </row>
    <row r="2">
      <c r="A2" t="inlineStr">
        <is>
          <t>Agriculture · printed pp. 449</t>
        </is>
      </c>
    </row>
    <row r="3">
      <c r="A3" s="3" t="inlineStr">
        <is>
          <t>← Contents</t>
        </is>
      </c>
    </row>
    <row r="5">
      <c r="A5" s="5" t="inlineStr">
        <is>
          <t>Province</t>
        </is>
      </c>
      <c r="B5" s="5" t="inlineStr">
        <is>
          <t>Minimum* quantity cereal holdings (Koku)</t>
        </is>
      </c>
      <c r="C5" s="5" t="inlineStr">
        <is>
          <t>Minimum Capacity (Tsubo)</t>
        </is>
      </c>
      <c r="D5" s="5" t="inlineStr">
        <is>
          <t>State Subsidy — Construction expenses (M¥)</t>
        </is>
      </c>
      <c r="E5" s="5" t="inlineStr">
        <is>
          <t>State Subsidy — Other expenses (M¥)</t>
        </is>
      </c>
    </row>
    <row r="6">
      <c r="A6" t="inlineStr">
        <is>
          <t>Kirin Hsien</t>
        </is>
      </c>
      <c r="B6" s="6" t="n">
        <v>222750</v>
      </c>
      <c r="C6" s="8" t="n">
        <v>742.5</v>
      </c>
      <c r="D6" s="6" t="n">
        <v>51583</v>
      </c>
      <c r="E6" s="6" t="n">
        <v>88200</v>
      </c>
    </row>
    <row r="7">
      <c r="A7" t="inlineStr">
        <is>
          <t>Lungkiang Hsien</t>
        </is>
      </c>
      <c r="B7" s="6" t="n">
        <v>87750</v>
      </c>
      <c r="C7" s="8" t="n">
        <v>292.5</v>
      </c>
      <c r="D7" s="6" t="n">
        <v>29709</v>
      </c>
      <c r="E7" s="6" t="n">
        <v>42924</v>
      </c>
    </row>
    <row r="8">
      <c r="A8" t="inlineStr">
        <is>
          <t>Heiho Hsien</t>
        </is>
      </c>
      <c r="B8" s="6" t="n">
        <v>2400</v>
      </c>
      <c r="C8" s="8" t="n">
        <v>8</v>
      </c>
      <c r="D8" s="6" t="n">
        <v>1390</v>
      </c>
      <c r="E8" s="6" t="n">
        <v>2293</v>
      </c>
    </row>
    <row r="9">
      <c r="A9" t="inlineStr">
        <is>
          <t>Sankiang Hsien</t>
        </is>
      </c>
      <c r="B9" s="6" t="n">
        <v>39900</v>
      </c>
      <c r="C9" s="8" t="n">
        <v>133</v>
      </c>
      <c r="D9" s="6" t="n">
        <v>11920</v>
      </c>
      <c r="E9" s="6" t="n">
        <v>17052</v>
      </c>
    </row>
    <row r="10">
      <c r="A10" t="inlineStr">
        <is>
          <t>Pinkiang and Mutankiang Hsien (bracketed)</t>
        </is>
      </c>
      <c r="B10" s="6" t="n">
        <v>200250</v>
      </c>
      <c r="C10" s="8" t="n">
        <v>667.5</v>
      </c>
      <c r="D10" s="6" t="n">
        <v>52200</v>
      </c>
      <c r="E10" s="6" t="n">
        <v>91728</v>
      </c>
    </row>
    <row r="11">
      <c r="A11" t="inlineStr">
        <is>
          <t>Chientao Hsien</t>
        </is>
      </c>
      <c r="B11" s="6" t="n">
        <v>21000</v>
      </c>
      <c r="C11" s="8" t="n">
        <v>70</v>
      </c>
      <c r="D11" s="6" t="n">
        <v>4040</v>
      </c>
      <c r="E11" s="6" t="n">
        <v>9878</v>
      </c>
    </row>
    <row r="12">
      <c r="A12" t="inlineStr">
        <is>
          <t>Antung and Tunghua Hsien (bracketed)</t>
        </is>
      </c>
      <c r="B12" s="6" t="n">
        <v>141000</v>
      </c>
      <c r="C12" s="8" t="n">
        <v>470</v>
      </c>
      <c r="D12" s="6" t="n">
        <v>46440</v>
      </c>
      <c r="E12" s="6" t="n">
        <v>54096</v>
      </c>
    </row>
    <row r="13">
      <c r="A13" t="inlineStr">
        <is>
          <t>Fengtien Hsien</t>
        </is>
      </c>
      <c r="B13" t="inlineStr">
        <is>
          <t>411 450</t>
        </is>
      </c>
      <c r="C13" s="7" t="n">
        <v>1371.5</v>
      </c>
      <c r="D13" s="6" t="n">
        <v>122819</v>
      </c>
      <c r="E13" s="6" t="n">
        <v>167757</v>
      </c>
    </row>
    <row r="14">
      <c r="A14" t="inlineStr">
        <is>
          <t>Chinchow Hsien</t>
        </is>
      </c>
      <c r="B14" s="6" t="n">
        <v>144000</v>
      </c>
      <c r="C14" s="8" t="n">
        <v>480</v>
      </c>
      <c r="D14" s="6" t="n">
        <v>55100</v>
      </c>
      <c r="E14" s="6" t="n">
        <v>52272</v>
      </c>
    </row>
    <row r="15">
      <c r="A15" t="inlineStr">
        <is>
          <t>Jehol Hsien</t>
        </is>
      </c>
      <c r="B15" s="6" t="n">
        <v>106500</v>
      </c>
      <c r="C15" s="8" t="n">
        <v>355</v>
      </c>
      <c r="D15" s="6" t="n">
        <v>37964</v>
      </c>
      <c r="E15" s="6" t="n">
        <v>51744</v>
      </c>
    </row>
    <row r="16">
      <c r="A16" t="inlineStr">
        <is>
          <t>Hsingan Hsien</t>
        </is>
      </c>
      <c r="B16" s="6" t="n">
        <v>14250</v>
      </c>
      <c r="C16" s="8" t="n">
        <v>47.5</v>
      </c>
      <c r="D16" s="6" t="n">
        <v>5700</v>
      </c>
      <c r="E16" s="6" t="n">
        <v>7056</v>
      </c>
    </row>
    <row r="17">
      <c r="A17" t="inlineStr">
        <is>
          <t>Total</t>
        </is>
      </c>
      <c r="B17" s="6" t="n">
        <v>1391250</v>
      </c>
      <c r="C17" s="7" t="n">
        <v>4637.5</v>
      </c>
      <c r="D17" s="6" t="n">
        <v>418865</v>
      </c>
      <c r="E17" s="6" t="n">
        <v>585000</v>
      </c>
    </row>
    <row r="19">
      <c r="A19" s="2" t="inlineStr">
        <is>
          <t>Footnotes</t>
        </is>
      </c>
    </row>
    <row r="20">
      <c r="A20" t="inlineStr">
        <is>
          <t>Note: * Each hsien is furthermore required by law to command the financial resources to double its minimum quantity of stored cereals. The said quantity shall be determined by the Civil Affairs, Minister (at present the Minister of the Department of Agriculture).</t>
        </is>
      </c>
    </row>
    <row r="22">
      <c r="A22" s="2" t="inlineStr">
        <is>
          <t>Transcriber's notes</t>
        </is>
      </c>
    </row>
    <row r="23">
      <c r="A23" t="inlineStr">
        <is>
          <t>Stubs printed 'Kirin Hsien', then 'Lungkiang "' etc. (ditto for 'Hsien'); expanded. Pinkiang+Mutankiang and Antung+Tunghua share one bracketed set of figures each; recorded as combined rows.</t>
        </is>
      </c>
    </row>
    <row r="24">
      <c r="A24" t="inlineStr">
        <is>
          <t>Fengtien holdings printed '411 450' (comma missing); kept as printed.</t>
        </is>
      </c>
    </row>
    <row r="25">
      <c r="A25" t="inlineStr">
        <is>
          <t>Column totals: Holdings parts 1,391,250 — reconciles; Capacity 4,637.5 — reconciles; Construction 418,865 — reconciles; Other expenses 585,000 — reconciles.</t>
        </is>
      </c>
    </row>
  </sheetData>
  <hyperlinks>
    <hyperlink xmlns:r="http://schemas.openxmlformats.org/officeDocument/2006/relationships" ref="A3" r:id="rId1"/>
  </hyperlink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Distribution of Domestic Animals</t>
        </is>
      </c>
    </row>
    <row r="2">
      <c r="A2" t="inlineStr">
        <is>
          <t>Stock-Breeding · printed pp. 452</t>
        </is>
      </c>
    </row>
    <row r="3">
      <c r="A3" t="inlineStr">
        <is>
          <t>(Unit: 1,000)</t>
        </is>
      </c>
    </row>
    <row r="4">
      <c r="A4" s="3" t="inlineStr">
        <is>
          <t>← Contents</t>
        </is>
      </c>
    </row>
    <row r="6">
      <c r="A6" s="5" t="inlineStr">
        <is>
          <t>Province</t>
        </is>
      </c>
      <c r="B6" s="5" t="inlineStr">
        <is>
          <t>Horned cattle</t>
        </is>
      </c>
      <c r="C6" s="5" t="inlineStr">
        <is>
          <t>Sheep</t>
        </is>
      </c>
      <c r="D6" s="5" t="inlineStr">
        <is>
          <t>Goats</t>
        </is>
      </c>
      <c r="E6" s="5" t="inlineStr">
        <is>
          <t>Swine</t>
        </is>
      </c>
      <c r="F6" s="5" t="inlineStr">
        <is>
          <t>Camels</t>
        </is>
      </c>
      <c r="G6" s="5" t="inlineStr">
        <is>
          <t>Dogs</t>
        </is>
      </c>
      <c r="H6" s="5" t="inlineStr">
        <is>
          <t>Fowl</t>
        </is>
      </c>
    </row>
    <row r="7">
      <c r="A7" t="inlineStr">
        <is>
          <t>Kirin</t>
        </is>
      </c>
      <c r="B7" s="8" t="n">
        <v>77.3</v>
      </c>
      <c r="C7" s="8" t="n">
        <v>22.1</v>
      </c>
      <c r="D7" s="8" t="n">
        <v>15.4</v>
      </c>
      <c r="E7" s="8" t="n">
        <v>716.3</v>
      </c>
      <c r="F7" t="inlineStr">
        <is>
          <t>...</t>
        </is>
      </c>
      <c r="G7" s="8" t="n">
        <v>307.2</v>
      </c>
      <c r="H7" s="7" t="n">
        <v>1345.8</v>
      </c>
    </row>
    <row r="8">
      <c r="A8" t="inlineStr">
        <is>
          <t>Lungkiang</t>
        </is>
      </c>
      <c r="B8" s="8" t="n">
        <v>118.1</v>
      </c>
      <c r="C8" s="8" t="n">
        <v>53.6</v>
      </c>
      <c r="D8" s="8" t="n">
        <v>12.5</v>
      </c>
      <c r="E8" s="8" t="n">
        <v>664.4</v>
      </c>
      <c r="F8" t="inlineStr">
        <is>
          <t>...</t>
        </is>
      </c>
      <c r="G8" s="8" t="n">
        <v>178.7</v>
      </c>
      <c r="H8" s="8" t="n">
        <v>136.8</v>
      </c>
    </row>
    <row r="9">
      <c r="A9" t="inlineStr">
        <is>
          <t>Heiho</t>
        </is>
      </c>
      <c r="B9" s="8" t="n">
        <v>4.1</v>
      </c>
      <c r="C9" s="8" t="n">
        <v>0.3</v>
      </c>
      <c r="D9" t="inlineStr">
        <is>
          <t>—</t>
        </is>
      </c>
      <c r="E9" s="8" t="n">
        <v>16.7</v>
      </c>
      <c r="F9" t="inlineStr">
        <is>
          <t>...</t>
        </is>
      </c>
      <c r="G9" s="8" t="n">
        <v>4.4</v>
      </c>
      <c r="H9" s="8" t="n">
        <v>33.2</v>
      </c>
    </row>
    <row r="10">
      <c r="A10" t="inlineStr">
        <is>
          <t>Sankiang</t>
        </is>
      </c>
      <c r="B10" s="8" t="n">
        <v>48.5</v>
      </c>
      <c r="C10" s="8" t="n">
        <v>1.7</v>
      </c>
      <c r="D10" s="8" t="n">
        <v>0.5</v>
      </c>
      <c r="E10" s="8" t="n">
        <v>167.2</v>
      </c>
      <c r="F10" t="inlineStr">
        <is>
          <t>...</t>
        </is>
      </c>
      <c r="G10" s="8" t="n">
        <v>93</v>
      </c>
      <c r="H10" s="8" t="n">
        <v>208.5</v>
      </c>
    </row>
    <row r="11">
      <c r="A11" t="inlineStr">
        <is>
          <t>Mutankiang</t>
        </is>
      </c>
      <c r="B11" s="8" t="n">
        <v>17.2</v>
      </c>
      <c r="C11" s="8" t="n">
        <v>1.4</v>
      </c>
      <c r="D11" s="8" t="n">
        <v>1</v>
      </c>
      <c r="E11" s="8" t="n">
        <v>66.7</v>
      </c>
      <c r="F11" t="inlineStr">
        <is>
          <t>...</t>
        </is>
      </c>
      <c r="G11" s="8" t="n">
        <v>20.6</v>
      </c>
      <c r="H11" s="8" t="n">
        <v>82.2</v>
      </c>
    </row>
    <row r="12">
      <c r="A12" t="inlineStr">
        <is>
          <t>Pinkiang</t>
        </is>
      </c>
      <c r="B12" s="8" t="n">
        <v>89.5</v>
      </c>
      <c r="C12" s="8" t="n">
        <v>38</v>
      </c>
      <c r="D12" s="8" t="n">
        <v>3.4</v>
      </c>
      <c r="E12" s="8" t="n">
        <v>878.7</v>
      </c>
      <c r="F12" t="inlineStr">
        <is>
          <t>...</t>
        </is>
      </c>
      <c r="G12" s="8" t="n">
        <v>286.2</v>
      </c>
      <c r="H12" s="7" t="n">
        <v>1696.7</v>
      </c>
    </row>
    <row r="13">
      <c r="A13" t="inlineStr">
        <is>
          <t>Chientao</t>
        </is>
      </c>
      <c r="B13" s="8" t="n">
        <v>53.4</v>
      </c>
      <c r="C13" s="8" t="n">
        <v>1</v>
      </c>
      <c r="D13" s="8" t="n">
        <v>0.2</v>
      </c>
      <c r="E13" s="8" t="n">
        <v>93.09999999999999</v>
      </c>
      <c r="F13" t="inlineStr">
        <is>
          <t>...</t>
        </is>
      </c>
      <c r="G13" s="8" t="n">
        <v>32.7</v>
      </c>
      <c r="H13" s="8" t="n">
        <v>205.6</v>
      </c>
    </row>
    <row r="14">
      <c r="A14" t="inlineStr">
        <is>
          <t>Tunghua</t>
        </is>
      </c>
      <c r="B14" s="8" t="n">
        <v>19.2</v>
      </c>
      <c r="C14" s="8" t="n">
        <v>0.4</v>
      </c>
      <c r="D14" s="8" t="n">
        <v>1.1</v>
      </c>
      <c r="E14" s="8" t="n">
        <v>68.09999999999999</v>
      </c>
      <c r="F14" t="inlineStr">
        <is>
          <t>...</t>
        </is>
      </c>
      <c r="G14" s="8" t="n">
        <v>27.6</v>
      </c>
      <c r="H14" s="8" t="n">
        <v>71</v>
      </c>
    </row>
    <row r="15">
      <c r="A15" t="inlineStr">
        <is>
          <t>Antung</t>
        </is>
      </c>
      <c r="B15" s="8" t="n">
        <v>118.7</v>
      </c>
      <c r="C15" s="8" t="n">
        <v>0.2</v>
      </c>
      <c r="D15" s="8" t="n">
        <v>7.8</v>
      </c>
      <c r="E15" s="8" t="n">
        <v>252.8</v>
      </c>
      <c r="F15" t="inlineStr">
        <is>
          <t>...</t>
        </is>
      </c>
      <c r="G15" s="8" t="n">
        <v>91.40000000000001</v>
      </c>
      <c r="H15" s="8" t="n">
        <v>411</v>
      </c>
    </row>
    <row r="16">
      <c r="A16" t="inlineStr">
        <is>
          <t>Fengtien</t>
        </is>
      </c>
      <c r="B16" s="8" t="n">
        <v>158.4</v>
      </c>
      <c r="C16" s="8" t="n">
        <v>29.6</v>
      </c>
      <c r="D16" s="8" t="n">
        <v>16.6</v>
      </c>
      <c r="E16" s="7" t="n">
        <v>1073.2</v>
      </c>
      <c r="F16" t="inlineStr">
        <is>
          <t>...</t>
        </is>
      </c>
      <c r="G16" s="8" t="n">
        <v>483.4</v>
      </c>
      <c r="H16" s="7" t="n">
        <v>1922.7</v>
      </c>
    </row>
    <row r="17">
      <c r="A17" t="inlineStr">
        <is>
          <t>Chinchow</t>
        </is>
      </c>
      <c r="B17" s="8" t="n">
        <v>97.40000000000001</v>
      </c>
      <c r="C17" s="8" t="n">
        <v>196.3</v>
      </c>
      <c r="D17" s="8" t="n">
        <v>85.2</v>
      </c>
      <c r="E17" s="8" t="n">
        <v>562.8</v>
      </c>
      <c r="F17" t="inlineStr">
        <is>
          <t>...</t>
        </is>
      </c>
      <c r="G17" s="8" t="n">
        <v>301.1</v>
      </c>
      <c r="H17" s="8" t="n">
        <v>805.3</v>
      </c>
    </row>
    <row r="18">
      <c r="A18" t="inlineStr">
        <is>
          <t>Jehol</t>
        </is>
      </c>
      <c r="B18" s="8" t="n">
        <v>276.7</v>
      </c>
      <c r="C18" s="8" t="n">
        <v>247.7</v>
      </c>
      <c r="D18" s="8" t="n">
        <v>785.4</v>
      </c>
      <c r="E18" s="8" t="n">
        <v>549.5</v>
      </c>
      <c r="F18" s="8" t="n">
        <v>1.3</v>
      </c>
      <c r="G18" s="8" t="n">
        <v>299.4</v>
      </c>
      <c r="H18" s="8" t="n">
        <v>875.6</v>
      </c>
    </row>
    <row r="19">
      <c r="A19" t="inlineStr">
        <is>
          <t>Hsingan W.</t>
        </is>
      </c>
      <c r="B19" s="8" t="n">
        <v>183.1</v>
      </c>
      <c r="C19" s="8" t="n">
        <v>147.9</v>
      </c>
      <c r="D19" s="8" t="n">
        <v>182.6</v>
      </c>
      <c r="E19" s="8" t="n">
        <v>52.3</v>
      </c>
      <c r="F19" s="8" t="n">
        <v>1.7</v>
      </c>
      <c r="G19" s="8" t="n">
        <v>40.6</v>
      </c>
      <c r="H19" s="8" t="n">
        <v>98.8</v>
      </c>
    </row>
    <row r="20">
      <c r="A20" t="inlineStr">
        <is>
          <t>Hsingan S.</t>
        </is>
      </c>
      <c r="B20" s="8" t="n">
        <v>114.7</v>
      </c>
      <c r="C20" s="8" t="n">
        <v>83.3</v>
      </c>
      <c r="D20" s="8" t="n">
        <v>87.7</v>
      </c>
      <c r="E20" s="8" t="n">
        <v>164.6</v>
      </c>
      <c r="F20" s="8" t="n">
        <v>0.8</v>
      </c>
      <c r="G20" s="8" t="n">
        <v>81.8</v>
      </c>
      <c r="H20" s="8" t="n">
        <v>177.5</v>
      </c>
    </row>
    <row r="21">
      <c r="A21" t="inlineStr">
        <is>
          <t>Hsingan E.</t>
        </is>
      </c>
      <c r="B21" s="8" t="n">
        <v>11.7</v>
      </c>
      <c r="C21" s="8" t="n">
        <v>1.3</v>
      </c>
      <c r="D21" s="8" t="n">
        <v>0.1</v>
      </c>
      <c r="E21" s="8" t="n">
        <v>17.3</v>
      </c>
      <c r="F21" t="inlineStr">
        <is>
          <t>...</t>
        </is>
      </c>
      <c r="G21" s="8" t="n">
        <v>8.699999999999999</v>
      </c>
      <c r="H21" s="8" t="n">
        <v>34.5</v>
      </c>
    </row>
    <row r="22">
      <c r="A22" t="inlineStr">
        <is>
          <t>Hsingan N.</t>
        </is>
      </c>
      <c r="B22" s="8" t="n">
        <v>195.4</v>
      </c>
      <c r="C22" s="7" t="n">
        <v>1141.3</v>
      </c>
      <c r="D22" s="8" t="n">
        <v>52.5</v>
      </c>
      <c r="E22" s="8" t="n">
        <v>5.7</v>
      </c>
      <c r="F22" s="8" t="n">
        <v>9</v>
      </c>
      <c r="G22" s="8" t="n">
        <v>13.1</v>
      </c>
      <c r="H22" s="8" t="n">
        <v>20.7</v>
      </c>
    </row>
    <row r="23">
      <c r="A23" t="inlineStr">
        <is>
          <t>Hsinking</t>
        </is>
      </c>
      <c r="B23" s="8" t="n">
        <v>0.6</v>
      </c>
      <c r="C23" s="8" t="n">
        <v>0.1</v>
      </c>
      <c r="D23" t="inlineStr">
        <is>
          <t>—</t>
        </is>
      </c>
      <c r="E23" s="8" t="n">
        <v>5.4</v>
      </c>
      <c r="F23" t="inlineStr">
        <is>
          <t>...</t>
        </is>
      </c>
      <c r="G23" s="8" t="n">
        <v>2.9</v>
      </c>
      <c r="H23" s="8" t="n">
        <v>12.7</v>
      </c>
    </row>
    <row r="24">
      <c r="A24" t="inlineStr">
        <is>
          <t>TOTAL</t>
        </is>
      </c>
      <c r="B24" s="7" t="n">
        <v>1683.3</v>
      </c>
      <c r="C24" s="7" t="n">
        <v>1970</v>
      </c>
      <c r="D24" s="7" t="n">
        <v>1243.1</v>
      </c>
      <c r="E24" s="7" t="n">
        <v>5325.7</v>
      </c>
      <c r="F24" s="8" t="n">
        <v>12.7</v>
      </c>
      <c r="G24" s="7" t="n">
        <v>2272.8</v>
      </c>
      <c r="H24" s="7" t="n">
        <v>8137.7</v>
      </c>
    </row>
    <row r="26">
      <c r="A26" s="2" t="inlineStr">
        <is>
          <t>Footnotes</t>
        </is>
      </c>
    </row>
    <row r="27">
      <c r="A27" t="inlineStr">
        <is>
          <t>Note: Statistics are those of 1937 while figures of horses are not available.</t>
        </is>
      </c>
    </row>
    <row r="29">
      <c r="A29" s="2" t="inlineStr">
        <is>
          <t>Transcriber's notes</t>
        </is>
      </c>
    </row>
    <row r="30">
      <c r="A30" t="inlineStr">
        <is>
          <t>Hsingan S./E./N. printed with ditto marks; expanded. '...' kept as printed in Camels column.</t>
        </is>
      </c>
    </row>
    <row r="31">
      <c r="A31" t="inlineStr">
        <is>
          <t>Column totals: Horned cattle parts 1,584.0 vs printed 1,683.3 — does NOT reconcile (diff 99.3); Sheep 1,966.2 vs 1,970.0 — does NOT reconcile (diff 3.8); Goats 1,252.0 vs 1,243.1 — does NOT reconcile (diff −8.9); Swine 5,354.8 vs 5,325.7 — does NOT reconcile (diff −29.1); Camels 12.8 vs 12.7 (rounding); Dogs 2,272.8 reconciles; Fowl 8,138.6 vs 8,137.7 (diff 0.9, rounding). Cells re-read at high magnification.</t>
        </is>
      </c>
    </row>
  </sheetData>
  <hyperlinks>
    <hyperlink xmlns:r="http://schemas.openxmlformats.org/officeDocument/2006/relationships" ref="A4" r:id="rId1"/>
  </hyperlink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Wool Yield by Breeds</t>
        </is>
      </c>
    </row>
    <row r="2">
      <c r="A2" t="inlineStr">
        <is>
          <t>Stock-Breeding · printed pp. 455</t>
        </is>
      </c>
    </row>
    <row r="3">
      <c r="A3" s="3" t="inlineStr">
        <is>
          <t>← Contents</t>
        </is>
      </c>
    </row>
    <row r="5">
      <c r="A5" s="5" t="inlineStr">
        <is>
          <t>Breed</t>
        </is>
      </c>
      <c r="B5" s="5" t="inlineStr">
        <is>
          <t>Sex</t>
        </is>
      </c>
      <c r="C5" s="5" t="inlineStr">
        <is>
          <t>Age (Year) over</t>
        </is>
      </c>
      <c r="D5" s="5" t="inlineStr">
        <is>
          <t>No.</t>
        </is>
      </c>
      <c r="E5" s="5" t="inlineStr">
        <is>
          <t>Volume of wool per head (Grams)</t>
        </is>
      </c>
      <c r="F5" s="5" t="inlineStr">
        <is>
          <t>%</t>
        </is>
      </c>
    </row>
    <row r="6">
      <c r="A6" t="inlineStr">
        <is>
          <t>Mongolian breed</t>
        </is>
      </c>
      <c r="B6" t="inlineStr">
        <is>
          <t>Female</t>
        </is>
      </c>
      <c r="C6" t="inlineStr">
        <is>
          <t>2 or 3</t>
        </is>
      </c>
      <c r="D6" s="6" t="n">
        <v>2928</v>
      </c>
      <c r="E6" s="6" t="n">
        <v>1182</v>
      </c>
      <c r="F6" s="9" t="n">
        <v>100</v>
      </c>
    </row>
    <row r="7">
      <c r="A7" t="inlineStr">
        <is>
          <t>Merino-Mongolian cross-breed</t>
        </is>
      </c>
      <c r="B7" t="inlineStr">
        <is>
          <t>"</t>
        </is>
      </c>
      <c r="C7" t="inlineStr">
        <is>
          <t>"</t>
        </is>
      </c>
      <c r="D7" t="inlineStr">
        <is>
          <t>"</t>
        </is>
      </c>
      <c r="E7" s="6" t="n">
        <v>2456</v>
      </c>
      <c r="F7" s="9" t="n">
        <v>208</v>
      </c>
    </row>
    <row r="8">
      <c r="A8" t="inlineStr">
        <is>
          <t>Ditto, improved breed</t>
        </is>
      </c>
      <c r="B8" t="inlineStr">
        <is>
          <t>"</t>
        </is>
      </c>
      <c r="C8" t="inlineStr">
        <is>
          <t>"</t>
        </is>
      </c>
      <c r="D8" t="inlineStr">
        <is>
          <t>"</t>
        </is>
      </c>
      <c r="E8" s="6" t="n">
        <v>2863</v>
      </c>
      <c r="F8" s="9" t="n">
        <v>243</v>
      </c>
    </row>
    <row r="9">
      <c r="A9" t="inlineStr">
        <is>
          <t>Merino</t>
        </is>
      </c>
      <c r="B9" t="inlineStr">
        <is>
          <t>"</t>
        </is>
      </c>
      <c r="C9" s="9" t="n">
        <v>3</v>
      </c>
      <c r="D9" s="9" t="n">
        <v>427</v>
      </c>
      <c r="E9" s="6" t="n">
        <v>5860</v>
      </c>
      <c r="F9" s="9" t="n">
        <v>496</v>
      </c>
    </row>
    <row r="10">
      <c r="A10" t="inlineStr">
        <is>
          <t>Mongolian breed</t>
        </is>
      </c>
      <c r="B10" t="inlineStr">
        <is>
          <t>Male</t>
        </is>
      </c>
      <c r="C10" t="inlineStr">
        <is>
          <t>2 or 3</t>
        </is>
      </c>
      <c r="D10" s="9" t="n">
        <v>356</v>
      </c>
      <c r="E10" s="6" t="n">
        <v>1610</v>
      </c>
      <c r="F10" s="9" t="n">
        <v>136</v>
      </c>
    </row>
    <row r="11">
      <c r="A11" t="inlineStr">
        <is>
          <t>Merino-Mongolian cross-breed</t>
        </is>
      </c>
      <c r="B11" t="inlineStr">
        <is>
          <t>"</t>
        </is>
      </c>
      <c r="C11" t="inlineStr">
        <is>
          <t>"</t>
        </is>
      </c>
      <c r="D11" t="inlineStr">
        <is>
          <t>"</t>
        </is>
      </c>
      <c r="E11" s="6" t="n">
        <v>3421</v>
      </c>
      <c r="F11" s="9" t="n">
        <v>289</v>
      </c>
    </row>
    <row r="12">
      <c r="A12" t="inlineStr">
        <is>
          <t>Ditto, improved breed</t>
        </is>
      </c>
      <c r="B12" t="inlineStr">
        <is>
          <t>"</t>
        </is>
      </c>
      <c r="C12" t="inlineStr">
        <is>
          <t>"</t>
        </is>
      </c>
      <c r="D12" t="inlineStr">
        <is>
          <t>"</t>
        </is>
      </c>
      <c r="E12" s="6" t="n">
        <v>4581</v>
      </c>
      <c r="F12" s="9" t="n">
        <v>388</v>
      </c>
    </row>
    <row r="13">
      <c r="A13" t="inlineStr">
        <is>
          <t>Merino</t>
        </is>
      </c>
      <c r="B13" t="inlineStr">
        <is>
          <t>"</t>
        </is>
      </c>
      <c r="C13" s="9" t="n">
        <v>3</v>
      </c>
      <c r="D13" s="9" t="n">
        <v>193</v>
      </c>
      <c r="E13" s="6" t="n">
        <v>8060</v>
      </c>
      <c r="F13" s="9" t="n">
        <v>682</v>
      </c>
    </row>
    <row r="15">
      <c r="A15" s="2" t="inlineStr">
        <is>
          <t>Transcriber's notes</t>
        </is>
      </c>
    </row>
    <row r="16">
      <c r="A16" t="inlineStr">
        <is>
          <t>Ditto marks (") kept as printed. Numbered 7 but printed before Table 6 on the same page. % column is relative to female Mongolian breed = 100: 2,456/1,182=208, 2,863/1,182=242.2 (printed 243), 5,860/1,182=495.8 (496), 1,610/1,182=136.2, 3,421/1,182=289.4, 4,581/1,182=387.6 (388), 8,060/1,182=681.9 (682) — consistent within rounding (243 vs 242.2 slightly off). No totals.</t>
        </is>
      </c>
    </row>
  </sheetData>
  <hyperlinks>
    <hyperlink xmlns:r="http://schemas.openxmlformats.org/officeDocument/2006/relationships" ref="A3" r:id="rId1"/>
  </hyperlink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30-Year Plan for Sheep's Wool Production in Manchoukuo and Kwantung Province</t>
        </is>
      </c>
    </row>
    <row r="2">
      <c r="A2" t="inlineStr">
        <is>
          <t>Stock-Breeding · printed pp. 455, 456</t>
        </is>
      </c>
    </row>
    <row r="3">
      <c r="A3" s="3" t="inlineStr">
        <is>
          <t>← Contents</t>
        </is>
      </c>
    </row>
    <row r="5">
      <c r="A5" s="2" t="inlineStr">
        <is>
          <t>(a) No. of sheep (1,000 heads)</t>
        </is>
      </c>
    </row>
    <row r="6">
      <c r="A6" s="5" t="inlineStr">
        <is>
          <t>Year</t>
        </is>
      </c>
      <c r="B6" s="5" t="inlineStr">
        <is>
          <t>Manchoukuo — Thorough bred</t>
        </is>
      </c>
      <c r="C6" s="5" t="inlineStr">
        <is>
          <t>Manchoukuo — Improved bred</t>
        </is>
      </c>
      <c r="D6" s="5" t="inlineStr">
        <is>
          <t>Manchoukuo — Native bred</t>
        </is>
      </c>
      <c r="E6" s="5" t="inlineStr">
        <is>
          <t>Kwantung Province — Corriedale</t>
        </is>
      </c>
      <c r="F6" s="5" t="inlineStr">
        <is>
          <t>Kwantung Province — Improved bred</t>
        </is>
      </c>
      <c r="G6" s="5" t="inlineStr">
        <is>
          <t>Kwantung Province — Native bred</t>
        </is>
      </c>
    </row>
    <row r="7">
      <c r="A7" s="9" t="n">
        <v>1937</v>
      </c>
      <c r="B7" s="9" t="n">
        <v>8</v>
      </c>
      <c r="C7" s="9" t="n">
        <v>24</v>
      </c>
      <c r="D7" s="6" t="n">
        <v>3080</v>
      </c>
      <c r="E7" s="8" t="n">
        <v>1.6</v>
      </c>
      <c r="F7" s="8" t="n">
        <v>1.9</v>
      </c>
      <c r="G7" s="8" t="n">
        <v>0.9</v>
      </c>
    </row>
    <row r="8">
      <c r="A8" s="9" t="n">
        <v>1938</v>
      </c>
      <c r="B8" s="9" t="n">
        <v>14</v>
      </c>
      <c r="C8" s="9" t="n">
        <v>35</v>
      </c>
      <c r="D8" s="6" t="n">
        <v>3220</v>
      </c>
      <c r="E8" s="8" t="n">
        <v>2.1</v>
      </c>
      <c r="F8" s="8" t="n">
        <v>2.7</v>
      </c>
      <c r="G8" s="8" t="n">
        <v>0.9</v>
      </c>
    </row>
    <row r="9">
      <c r="A9" s="9" t="n">
        <v>1939</v>
      </c>
      <c r="B9" s="9" t="n">
        <v>20</v>
      </c>
      <c r="C9" s="9" t="n">
        <v>91</v>
      </c>
      <c r="D9" s="6" t="n">
        <v>3386</v>
      </c>
      <c r="E9" s="8" t="n">
        <v>3.2</v>
      </c>
      <c r="F9" s="8" t="n">
        <v>3.8</v>
      </c>
      <c r="G9" s="8" t="n">
        <v>0.9</v>
      </c>
    </row>
    <row r="10">
      <c r="A10" s="9" t="n">
        <v>1940</v>
      </c>
      <c r="B10" s="9" t="n">
        <v>26</v>
      </c>
      <c r="C10" s="9" t="n">
        <v>161</v>
      </c>
      <c r="D10" s="6" t="n">
        <v>3619</v>
      </c>
      <c r="E10" s="8" t="n">
        <v>4.3</v>
      </c>
      <c r="F10" s="8" t="n">
        <v>5.1</v>
      </c>
      <c r="G10" s="8" t="n">
        <v>0.8</v>
      </c>
    </row>
    <row r="11">
      <c r="A11" s="9" t="n">
        <v>1941</v>
      </c>
      <c r="B11" s="9" t="n">
        <v>35</v>
      </c>
      <c r="C11" s="9" t="n">
        <v>310</v>
      </c>
      <c r="D11" s="6" t="n">
        <v>3857</v>
      </c>
      <c r="E11" s="8" t="n">
        <v>5.8</v>
      </c>
      <c r="F11" s="8" t="n">
        <v>6.7</v>
      </c>
      <c r="G11" s="8" t="n">
        <v>0.8</v>
      </c>
    </row>
    <row r="12">
      <c r="A12" s="9" t="n">
        <v>1946</v>
      </c>
      <c r="B12" s="6" t="n">
        <v>3163</v>
      </c>
      <c r="C12" t="inlineStr"/>
      <c r="D12" s="6" t="n">
        <v>3115</v>
      </c>
      <c r="E12" s="8" t="n">
        <v>25.6</v>
      </c>
      <c r="F12" s="8" t="n">
        <v>24.7</v>
      </c>
      <c r="G12" s="8" t="n">
        <v>0.7</v>
      </c>
    </row>
    <row r="13">
      <c r="A13" s="9" t="n">
        <v>1951</v>
      </c>
      <c r="B13" s="6" t="n">
        <v>5982</v>
      </c>
      <c r="C13" t="inlineStr"/>
      <c r="D13" s="6" t="n">
        <v>2374</v>
      </c>
      <c r="E13" s="8" t="n">
        <v>113.8</v>
      </c>
      <c r="F13" t="inlineStr"/>
      <c r="G13" s="8" t="n">
        <v>0.5</v>
      </c>
    </row>
    <row r="14">
      <c r="A14" s="9" t="n">
        <v>1956</v>
      </c>
      <c r="B14" s="6" t="n">
        <v>8800</v>
      </c>
      <c r="C14" t="inlineStr"/>
      <c r="D14" s="6" t="n">
        <v>1632</v>
      </c>
      <c r="E14" s="8" t="n">
        <v>115.7</v>
      </c>
      <c r="F14" t="inlineStr"/>
      <c r="G14" s="8" t="n">
        <v>0.3</v>
      </c>
    </row>
    <row r="15">
      <c r="A15" s="9" t="n">
        <v>1961</v>
      </c>
      <c r="B15" s="6" t="n">
        <v>11618</v>
      </c>
      <c r="C15" t="inlineStr"/>
      <c r="D15" s="9" t="n">
        <v>890</v>
      </c>
      <c r="E15" s="8" t="n">
        <v>116.6</v>
      </c>
      <c r="F15" t="inlineStr"/>
      <c r="G15" s="8" t="n">
        <v>0.2</v>
      </c>
    </row>
    <row r="16">
      <c r="A16" s="9" t="n">
        <v>1966</v>
      </c>
      <c r="B16" s="6" t="n">
        <v>14436</v>
      </c>
      <c r="C16" t="inlineStr"/>
      <c r="D16" s="9" t="n">
        <v>148</v>
      </c>
      <c r="E16" s="8" t="n">
        <v>119.6</v>
      </c>
      <c r="F16" t="inlineStr"/>
      <c r="G16" s="8" t="n">
        <v>0</v>
      </c>
    </row>
    <row r="17">
      <c r="A17" s="9" t="n">
        <v>1967</v>
      </c>
      <c r="B17" s="6" t="n">
        <v>15000</v>
      </c>
      <c r="C17" t="inlineStr"/>
      <c r="D17" t="inlineStr">
        <is>
          <t>—</t>
        </is>
      </c>
      <c r="E17" s="8" t="n">
        <v>120</v>
      </c>
      <c r="F17" t="inlineStr"/>
      <c r="G17" t="inlineStr">
        <is>
          <t>—</t>
        </is>
      </c>
    </row>
    <row r="19">
      <c r="A19" s="2" t="inlineStr">
        <is>
          <t>(b) Wool production (1,000 pounds)</t>
        </is>
      </c>
    </row>
    <row r="20">
      <c r="A20" s="5" t="inlineStr">
        <is>
          <t>Year</t>
        </is>
      </c>
      <c r="B20" s="5" t="inlineStr">
        <is>
          <t>Manchoukuo — Thorough &amp; improved breed</t>
        </is>
      </c>
      <c r="C20" s="5" t="inlineStr">
        <is>
          <t>Manchoukuo — Native bred</t>
        </is>
      </c>
      <c r="D20" s="5" t="inlineStr">
        <is>
          <t>Kwantung Province — Corriedale &amp; improved bred</t>
        </is>
      </c>
      <c r="E20" s="5" t="inlineStr">
        <is>
          <t>Kwantung Province — Native bred</t>
        </is>
      </c>
      <c r="F20" s="5" t="n"/>
      <c r="G20" s="5" t="n"/>
    </row>
    <row r="21">
      <c r="A21" s="9" t="n">
        <v>1937</v>
      </c>
      <c r="B21" s="9" t="n">
        <v>209</v>
      </c>
      <c r="C21" s="6" t="n">
        <v>6790</v>
      </c>
      <c r="D21" s="8" t="n">
        <v>24.2</v>
      </c>
      <c r="E21" s="8" t="n">
        <v>2.1</v>
      </c>
    </row>
    <row r="22">
      <c r="A22" s="9" t="n">
        <v>1938</v>
      </c>
      <c r="B22" s="9" t="n">
        <v>329</v>
      </c>
      <c r="C22" s="6" t="n">
        <v>7099</v>
      </c>
      <c r="D22" s="8" t="n">
        <v>33.3</v>
      </c>
      <c r="E22" s="8" t="n">
        <v>2</v>
      </c>
    </row>
    <row r="23">
      <c r="A23" s="9" t="n">
        <v>1939</v>
      </c>
      <c r="B23" s="9" t="n">
        <v>670</v>
      </c>
      <c r="C23" s="6" t="n">
        <v>7465</v>
      </c>
      <c r="D23" s="8" t="n">
        <v>49.2</v>
      </c>
      <c r="E23" s="8" t="n">
        <v>1.9</v>
      </c>
    </row>
    <row r="24">
      <c r="A24" s="9" t="n">
        <v>1940</v>
      </c>
      <c r="B24" s="6" t="n">
        <v>1091</v>
      </c>
      <c r="C24" s="6" t="n">
        <v>7978</v>
      </c>
      <c r="D24" s="8" t="n">
        <v>66</v>
      </c>
      <c r="E24" s="8" t="n">
        <v>1.9</v>
      </c>
    </row>
    <row r="25">
      <c r="A25" s="9" t="n">
        <v>1941</v>
      </c>
      <c r="B25" s="6" t="n">
        <v>1955</v>
      </c>
      <c r="C25" s="6" t="n">
        <v>8503</v>
      </c>
      <c r="D25" s="8" t="n">
        <v>88.09999999999999</v>
      </c>
      <c r="E25" s="8" t="n">
        <v>1.8</v>
      </c>
    </row>
    <row r="26">
      <c r="A26" s="9" t="n">
        <v>1946</v>
      </c>
      <c r="B26" s="6" t="n">
        <v>22143</v>
      </c>
      <c r="C26" s="6" t="n">
        <v>6868</v>
      </c>
      <c r="D26" s="8" t="n">
        <v>351.7</v>
      </c>
      <c r="E26" s="8" t="n">
        <v>1.5</v>
      </c>
    </row>
    <row r="27">
      <c r="A27" s="9" t="n">
        <v>1951</v>
      </c>
      <c r="B27" s="6" t="n">
        <v>41871</v>
      </c>
      <c r="C27" s="6" t="n">
        <v>5233</v>
      </c>
      <c r="D27" s="8" t="n">
        <v>796.3</v>
      </c>
      <c r="E27" s="8" t="n">
        <v>1.1</v>
      </c>
    </row>
    <row r="28">
      <c r="A28" s="9" t="n">
        <v>1956</v>
      </c>
      <c r="B28" s="6" t="n">
        <v>61599</v>
      </c>
      <c r="C28" s="6" t="n">
        <v>3597</v>
      </c>
      <c r="D28" s="8" t="n">
        <v>809.9</v>
      </c>
      <c r="E28" s="8" t="n">
        <v>0.8</v>
      </c>
    </row>
    <row r="29">
      <c r="A29" s="9" t="n">
        <v>1961</v>
      </c>
      <c r="B29" s="6" t="n">
        <v>81326</v>
      </c>
      <c r="C29" s="6" t="n">
        <v>1962</v>
      </c>
      <c r="D29" s="8" t="n">
        <v>823.6</v>
      </c>
      <c r="E29" s="8" t="n">
        <v>0.4</v>
      </c>
    </row>
    <row r="30">
      <c r="A30" s="9" t="n">
        <v>1966</v>
      </c>
      <c r="B30" s="6" t="n">
        <v>101054</v>
      </c>
      <c r="C30" s="9" t="n">
        <v>327</v>
      </c>
      <c r="D30" s="8" t="n">
        <v>837.2</v>
      </c>
      <c r="E30" s="8" t="n">
        <v>0</v>
      </c>
    </row>
    <row r="31">
      <c r="A31" s="9" t="n">
        <v>1967</v>
      </c>
      <c r="B31" s="6" t="n">
        <v>105000</v>
      </c>
      <c r="C31" t="inlineStr">
        <is>
          <t>—</t>
        </is>
      </c>
      <c r="D31" s="8" t="n">
        <v>840</v>
      </c>
      <c r="E31" t="inlineStr">
        <is>
          <t>—</t>
        </is>
      </c>
    </row>
    <row r="33">
      <c r="A33" s="2" t="inlineStr">
        <is>
          <t>Transcriber's notes</t>
        </is>
      </c>
    </row>
    <row r="34">
      <c r="A34" t="inlineStr">
        <is>
          <t>Begins p. 455 (IMG_5686, 1937-1938) and continues p. 456 (IMG_5687) without a '(Continued)' label; merged.</t>
        </is>
      </c>
    </row>
    <row r="35">
      <c r="A35" t="inlineStr">
        <is>
          <t>Part (a): from 1946 Manchoukuo Thorough bred and Improved bred are printed as one combined figure under a brace; entered in 'Thorough bred' with 'Improved bred' empty. From 1951 Kwantung Corriedale and Improved bred likewise combined under a brace; entered in 'Corriedale'.</t>
        </is>
      </c>
    </row>
    <row r="36">
      <c r="A36" t="inlineStr">
        <is>
          <t>Part (a) Kwantung Native bred column is printed drifting half a row below the stubs; one figure per year assigned in order.</t>
        </is>
      </c>
    </row>
    <row r="37">
      <c r="A37" t="inlineStr">
        <is>
          <t>No totals printed.</t>
        </is>
      </c>
    </row>
  </sheetData>
  <hyperlinks>
    <hyperlink xmlns:r="http://schemas.openxmlformats.org/officeDocument/2006/relationships" ref="A3" r:id="rId1"/>
  </hyperlink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No. of Animals Slaughtered</t>
        </is>
      </c>
    </row>
    <row r="2">
      <c r="A2" t="inlineStr">
        <is>
          <t>Stock-Breeding · printed pp. 457</t>
        </is>
      </c>
    </row>
    <row r="3">
      <c r="A3" t="inlineStr">
        <is>
          <t>(1937)</t>
        </is>
      </c>
    </row>
    <row r="4">
      <c r="A4" s="3" t="inlineStr">
        <is>
          <t>← Contents</t>
        </is>
      </c>
    </row>
    <row r="6">
      <c r="A6" s="5" t="inlineStr">
        <is>
          <t>Animal</t>
        </is>
      </c>
      <c r="B6" s="5" t="inlineStr">
        <is>
          <t>No. of Heads</t>
        </is>
      </c>
      <c r="C6" s="5" t="inlineStr">
        <is>
          <t>Meat (Kilogram)</t>
        </is>
      </c>
      <c r="D6" s="5" t="inlineStr">
        <is>
          <t>Meat per Head (Kilogram)</t>
        </is>
      </c>
    </row>
    <row r="7">
      <c r="A7" t="inlineStr">
        <is>
          <t>Cattle</t>
        </is>
      </c>
      <c r="B7" s="6" t="n">
        <v>170717</v>
      </c>
      <c r="C7" s="6" t="n">
        <v>25607550</v>
      </c>
      <c r="D7" s="9" t="n">
        <v>150</v>
      </c>
    </row>
    <row r="8">
      <c r="A8" t="inlineStr">
        <is>
          <t>Horse &amp; Mule</t>
        </is>
      </c>
      <c r="B8" s="6" t="n">
        <v>7899</v>
      </c>
      <c r="C8" s="6" t="n">
        <v>631920</v>
      </c>
      <c r="D8" s="9" t="n">
        <v>80</v>
      </c>
    </row>
    <row r="9">
      <c r="A9" t="inlineStr">
        <is>
          <t>Ass</t>
        </is>
      </c>
      <c r="B9" s="6" t="n">
        <v>6558</v>
      </c>
      <c r="C9" s="6" t="n">
        <v>363480</v>
      </c>
      <c r="D9" s="9" t="n">
        <v>60</v>
      </c>
    </row>
    <row r="10">
      <c r="A10" t="inlineStr">
        <is>
          <t>Swine</t>
        </is>
      </c>
      <c r="B10" s="6" t="n">
        <v>1641851</v>
      </c>
      <c r="C10" s="6" t="n">
        <v>106720315</v>
      </c>
      <c r="D10" s="9" t="n">
        <v>65</v>
      </c>
    </row>
    <row r="11">
      <c r="A11" t="inlineStr">
        <is>
          <t>Sheep</t>
        </is>
      </c>
      <c r="B11" s="6" t="n">
        <v>179196</v>
      </c>
      <c r="C11" s="6" t="n">
        <v>268794</v>
      </c>
      <c r="D11" s="9" t="n">
        <v>15</v>
      </c>
    </row>
    <row r="12">
      <c r="A12" t="inlineStr">
        <is>
          <t>Goat</t>
        </is>
      </c>
      <c r="B12" s="6" t="n">
        <v>72868</v>
      </c>
      <c r="C12" s="6" t="n">
        <v>874504</v>
      </c>
      <c r="D12" s="9" t="n">
        <v>12</v>
      </c>
    </row>
    <row r="13">
      <c r="A13" t="inlineStr">
        <is>
          <t>Calf</t>
        </is>
      </c>
      <c r="B13" s="6" t="n">
        <v>10517</v>
      </c>
      <c r="C13" s="6" t="n">
        <v>473265</v>
      </c>
      <c r="D13" s="9" t="n">
        <v>45</v>
      </c>
    </row>
    <row r="14">
      <c r="A14" t="inlineStr">
        <is>
          <t>Colt</t>
        </is>
      </c>
      <c r="B14" s="9" t="n">
        <v>41</v>
      </c>
      <c r="C14" s="9" t="n">
        <v>825</v>
      </c>
      <c r="D14" s="9" t="n">
        <v>20</v>
      </c>
    </row>
    <row r="15">
      <c r="A15" t="inlineStr">
        <is>
          <t>Hogling</t>
        </is>
      </c>
      <c r="B15" s="6" t="n">
        <v>4058</v>
      </c>
      <c r="C15" s="10" t="n">
        <v>24.348</v>
      </c>
      <c r="D15" s="9" t="n">
        <v>6</v>
      </c>
    </row>
    <row r="17">
      <c r="A17" s="2" t="inlineStr">
        <is>
          <t>Transcriber's notes</t>
        </is>
      </c>
    </row>
    <row r="18">
      <c r="A18" t="inlineStr">
        <is>
          <t>Stubs printed half a row below the figures; 9 stubs match 9 rows, assigned in order.</t>
        </is>
      </c>
    </row>
    <row r="19">
      <c r="A19" t="inlineStr">
        <is>
          <t>Hogling meat printed '24.348' (point for comma); kept as printed.</t>
        </is>
      </c>
    </row>
    <row r="20">
      <c r="A20" t="inlineStr">
        <is>
          <t>No totals. Check Meat ÷ Heads vs printed Meat per Head: Cattle 150.0, Horse &amp; Mule 80.0, Swine 65.0, Goat 12.0, Calf 45.0, Colt 20.1, Hogling 6.0 (taking 24,348) agree; Ass 363,480/6,558 = 55.4 vs printed 60 — does NOT agree (6,058 heads × 60 would give 363,480); Sheep 268,794/179,196 = 1.5 vs printed 15 — does NOT agree (factor of 10). Transcribed as printed.</t>
        </is>
      </c>
    </row>
  </sheetData>
  <hyperlinks>
    <hyperlink xmlns:r="http://schemas.openxmlformats.org/officeDocument/2006/relationships" ref="A4" r:id="rId1"/>
  </hyperlink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Exports of Live Animals Classified</t>
        </is>
      </c>
    </row>
    <row r="2">
      <c r="A2" t="inlineStr">
        <is>
          <t>Stock-Breeding · printed pp. 457</t>
        </is>
      </c>
    </row>
    <row r="3">
      <c r="A3" t="inlineStr">
        <is>
          <t>(Value in M¥1,000)</t>
        </is>
      </c>
    </row>
    <row r="4">
      <c r="A4" s="3" t="inlineStr">
        <is>
          <t>← Contents</t>
        </is>
      </c>
    </row>
    <row r="6">
      <c r="A6" s="5" t="inlineStr">
        <is>
          <t>Year</t>
        </is>
      </c>
      <c r="B6" s="5" t="inlineStr">
        <is>
          <t>Cattle — No.</t>
        </is>
      </c>
      <c r="C6" s="5" t="inlineStr">
        <is>
          <t>Cattle — value</t>
        </is>
      </c>
      <c r="D6" s="5" t="inlineStr">
        <is>
          <t>Horse, Mule &amp; Ass — No.</t>
        </is>
      </c>
      <c r="E6" s="5" t="inlineStr">
        <is>
          <t>Horse, Mule &amp; Ass — value</t>
        </is>
      </c>
      <c r="F6" s="5" t="inlineStr">
        <is>
          <t>Pig — No.</t>
        </is>
      </c>
      <c r="G6" s="5" t="inlineStr">
        <is>
          <t>Pig — value</t>
        </is>
      </c>
      <c r="H6" s="5" t="inlineStr">
        <is>
          <t>Sheep &amp; Goat — No.</t>
        </is>
      </c>
      <c r="I6" s="5" t="inlineStr">
        <is>
          <t>Sheep &amp; Goat — value</t>
        </is>
      </c>
    </row>
    <row r="7">
      <c r="A7" s="9" t="n">
        <v>1936</v>
      </c>
      <c r="B7" s="6" t="n">
        <v>22150</v>
      </c>
      <c r="C7" s="9" t="n">
        <v>520</v>
      </c>
      <c r="D7" s="6" t="n">
        <v>1818</v>
      </c>
      <c r="E7" s="9" t="n">
        <v>83</v>
      </c>
      <c r="F7" s="6" t="n">
        <v>20275</v>
      </c>
      <c r="G7" s="9" t="n">
        <v>95</v>
      </c>
      <c r="H7" s="6" t="n">
        <v>134421</v>
      </c>
      <c r="I7" s="9" t="n">
        <v>497</v>
      </c>
    </row>
    <row r="8">
      <c r="A8" s="9" t="n">
        <v>1937</v>
      </c>
      <c r="B8" s="6" t="n">
        <v>24435</v>
      </c>
      <c r="C8" s="9" t="n">
        <v>588</v>
      </c>
      <c r="D8" s="6" t="n">
        <v>5998</v>
      </c>
      <c r="E8" s="9" t="n">
        <v>131</v>
      </c>
      <c r="F8" s="6" t="n">
        <v>24164</v>
      </c>
      <c r="G8" s="9" t="n">
        <v>116</v>
      </c>
      <c r="H8" s="6" t="n">
        <v>132897</v>
      </c>
      <c r="I8" s="9" t="n">
        <v>506</v>
      </c>
    </row>
    <row r="9">
      <c r="A9" s="9" t="n">
        <v>1938</v>
      </c>
      <c r="B9" s="6" t="n">
        <v>4674</v>
      </c>
      <c r="C9" s="9" t="n">
        <v>161</v>
      </c>
      <c r="D9" s="6" t="n">
        <v>3729</v>
      </c>
      <c r="E9" s="9" t="n">
        <v>166</v>
      </c>
      <c r="F9" s="6" t="n">
        <v>11966</v>
      </c>
      <c r="G9" s="9" t="n">
        <v>137</v>
      </c>
      <c r="H9" s="6" t="n">
        <v>69496</v>
      </c>
      <c r="I9" s="9" t="n">
        <v>516</v>
      </c>
    </row>
    <row r="10">
      <c r="A10" s="9" t="n">
        <v>1939</v>
      </c>
      <c r="B10" s="9" t="n">
        <v>416</v>
      </c>
      <c r="C10" s="9" t="n">
        <v>49</v>
      </c>
      <c r="D10" s="9" t="n">
        <v>535</v>
      </c>
      <c r="E10" s="9" t="n">
        <v>94</v>
      </c>
      <c r="F10" s="6" t="n">
        <v>18570</v>
      </c>
      <c r="G10" s="9" t="n">
        <v>230</v>
      </c>
      <c r="H10" s="6" t="n">
        <v>46735</v>
      </c>
      <c r="I10" s="9" t="n">
        <v>291</v>
      </c>
    </row>
    <row r="12">
      <c r="A12" s="2" t="inlineStr">
        <is>
          <t>Transcriber's notes</t>
        </is>
      </c>
    </row>
    <row r="13">
      <c r="A13" t="inlineStr">
        <is>
          <t>No totals printed.</t>
        </is>
      </c>
    </row>
  </sheetData>
  <hyperlinks>
    <hyperlink xmlns:r="http://schemas.openxmlformats.org/officeDocument/2006/relationships" ref="A4" r:id="rId1"/>
  </hyperlink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Q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Exports of Animal Products</t>
        </is>
      </c>
    </row>
    <row r="2">
      <c r="A2" t="inlineStr">
        <is>
          <t>Stock-Breeding · printed pp. 457, 458</t>
        </is>
      </c>
    </row>
    <row r="3">
      <c r="A3" t="inlineStr">
        <is>
          <t>(Value in M¥1,000)</t>
        </is>
      </c>
    </row>
    <row r="4">
      <c r="A4" s="3" t="inlineStr">
        <is>
          <t>← Contents</t>
        </is>
      </c>
    </row>
    <row r="6">
      <c r="A6" s="5" t="inlineStr">
        <is>
          <t>Year</t>
        </is>
      </c>
      <c r="B6" s="5" t="inlineStr">
        <is>
          <t>Bristle — (M. tons)</t>
        </is>
      </c>
      <c r="C6" s="5" t="inlineStr">
        <is>
          <t>Bristle — (Value)</t>
        </is>
      </c>
      <c r="D6" s="5" t="inlineStr">
        <is>
          <t>Horse Hair &amp; Others — (M. tons)</t>
        </is>
      </c>
      <c r="E6" s="5" t="inlineStr">
        <is>
          <t>Horse Hair &amp; Others — (Value)</t>
        </is>
      </c>
      <c r="F6" s="5" t="inlineStr">
        <is>
          <t>Butter (Value)</t>
        </is>
      </c>
      <c r="G6" s="5" t="inlineStr">
        <is>
          <t>Horn (Value)</t>
        </is>
      </c>
      <c r="H6" s="5" t="inlineStr">
        <is>
          <t>Animal Bone — (M. tons)</t>
        </is>
      </c>
      <c r="I6" s="5" t="inlineStr">
        <is>
          <t>Animal Bone — (Value)</t>
        </is>
      </c>
      <c r="J6" s="5" t="inlineStr">
        <is>
          <t>Animal Fat — (M. tons)</t>
        </is>
      </c>
      <c r="K6" s="5" t="inlineStr">
        <is>
          <t>Animal Fat — (Value)</t>
        </is>
      </c>
      <c r="L6" s="5" t="inlineStr">
        <is>
          <t>Beef (Value)</t>
        </is>
      </c>
      <c r="M6" s="5" t="inlineStr">
        <is>
          <t>Pheasant — (1,000)</t>
        </is>
      </c>
      <c r="N6" s="5" t="inlineStr">
        <is>
          <t>Pheasant — (Value)</t>
        </is>
      </c>
      <c r="O6" s="5" t="inlineStr">
        <is>
          <t>Hide &amp; Leather — (M. tons)</t>
        </is>
      </c>
      <c r="P6" s="5" t="inlineStr">
        <is>
          <t>Hide &amp; Leather — (Value)</t>
        </is>
      </c>
      <c r="Q6" s="5" t="inlineStr">
        <is>
          <t>Skins (Value)</t>
        </is>
      </c>
    </row>
    <row r="7">
      <c r="A7" s="9" t="n">
        <v>1936</v>
      </c>
      <c r="B7" s="9" t="n">
        <v>995</v>
      </c>
      <c r="C7" s="6" t="n">
        <v>4404</v>
      </c>
      <c r="D7" s="6" t="n">
        <v>2322</v>
      </c>
      <c r="E7" s="6" t="n">
        <v>1651</v>
      </c>
      <c r="F7" s="8" t="n">
        <v>12</v>
      </c>
      <c r="G7" s="8" t="n">
        <v>124.9</v>
      </c>
      <c r="H7" s="6" t="n">
        <v>13450</v>
      </c>
      <c r="I7" s="9" t="n">
        <v>372</v>
      </c>
      <c r="J7" s="8" t="n">
        <v>27.8</v>
      </c>
      <c r="K7" s="8" t="n">
        <v>7.2</v>
      </c>
      <c r="L7" s="9" t="n">
        <v>474</v>
      </c>
      <c r="M7" t="inlineStr">
        <is>
          <t>—</t>
        </is>
      </c>
      <c r="N7" s="9" t="n">
        <v>159</v>
      </c>
      <c r="O7" s="9" t="n">
        <v>930</v>
      </c>
      <c r="P7" s="9" t="n">
        <v>654</v>
      </c>
      <c r="Q7" s="6" t="n">
        <v>5132</v>
      </c>
    </row>
    <row r="8">
      <c r="A8" s="9" t="n">
        <v>1937</v>
      </c>
      <c r="B8" s="9" t="n">
        <v>870</v>
      </c>
      <c r="C8" s="6" t="n">
        <v>6541</v>
      </c>
      <c r="D8" s="6" t="n">
        <v>2320</v>
      </c>
      <c r="E8" s="6" t="n">
        <v>2122</v>
      </c>
      <c r="F8" s="8" t="n">
        <v>0.7</v>
      </c>
      <c r="G8" s="8" t="n">
        <v>64.40000000000001</v>
      </c>
      <c r="H8" s="6" t="n">
        <v>12979</v>
      </c>
      <c r="I8" s="9" t="n">
        <v>392</v>
      </c>
      <c r="J8" s="8" t="n">
        <v>29.8</v>
      </c>
      <c r="K8" s="8" t="n">
        <v>8.6</v>
      </c>
      <c r="L8" s="9" t="n">
        <v>472</v>
      </c>
      <c r="M8" t="inlineStr">
        <is>
          <t>—</t>
        </is>
      </c>
      <c r="N8" s="9" t="n">
        <v>235</v>
      </c>
      <c r="O8" s="9" t="n">
        <v>958</v>
      </c>
      <c r="P8" s="9" t="n">
        <v>733</v>
      </c>
      <c r="Q8" s="6" t="n">
        <v>4635</v>
      </c>
    </row>
    <row r="9">
      <c r="A9" s="9" t="n">
        <v>1938</v>
      </c>
      <c r="B9" s="9" t="n">
        <v>558</v>
      </c>
      <c r="C9" s="6" t="n">
        <v>5472</v>
      </c>
      <c r="D9" s="6" t="n">
        <v>1858</v>
      </c>
      <c r="E9" s="6" t="n">
        <v>2213</v>
      </c>
      <c r="F9" s="8" t="n">
        <v>15.3</v>
      </c>
      <c r="G9" s="8" t="n">
        <v>3.7</v>
      </c>
      <c r="H9" s="6" t="n">
        <v>44764</v>
      </c>
      <c r="I9" s="9" t="n">
        <v>149</v>
      </c>
      <c r="J9" s="8" t="n">
        <v>12</v>
      </c>
      <c r="K9" s="8" t="n">
        <v>4.4</v>
      </c>
      <c r="L9" s="9" t="n">
        <v>921</v>
      </c>
      <c r="M9" s="9" t="n">
        <v>417</v>
      </c>
      <c r="N9" s="9" t="n">
        <v>365</v>
      </c>
      <c r="O9" s="9" t="n">
        <v>738</v>
      </c>
      <c r="P9" s="6" t="n">
        <v>1208</v>
      </c>
      <c r="Q9" s="6" t="n">
        <v>4998</v>
      </c>
    </row>
    <row r="10">
      <c r="A10" s="9" t="n">
        <v>1939</v>
      </c>
      <c r="B10" s="9" t="n">
        <v>668</v>
      </c>
      <c r="C10" s="6" t="n">
        <v>6595</v>
      </c>
      <c r="D10" s="9" t="n">
        <v>802</v>
      </c>
      <c r="E10" s="6" t="n">
        <v>2278</v>
      </c>
      <c r="F10" s="8" t="n">
        <v>6.7</v>
      </c>
      <c r="G10" s="8" t="n">
        <v>3.2</v>
      </c>
      <c r="H10" s="6" t="n">
        <v>1790</v>
      </c>
      <c r="I10" s="9" t="n">
        <v>132</v>
      </c>
      <c r="J10" s="8" t="n">
        <v>32</v>
      </c>
      <c r="K10" s="8" t="n">
        <v>15.3</v>
      </c>
      <c r="L10" s="9" t="n">
        <v>405</v>
      </c>
      <c r="M10" s="9" t="n">
        <v>331</v>
      </c>
      <c r="N10" s="9" t="n">
        <v>339</v>
      </c>
      <c r="O10" s="9" t="n">
        <v>73</v>
      </c>
      <c r="P10" s="9" t="n">
        <v>723</v>
      </c>
      <c r="Q10" s="6" t="n">
        <v>3434</v>
      </c>
    </row>
    <row r="12">
      <c r="A12" s="2" t="inlineStr">
        <is>
          <t>Transcriber's notes</t>
        </is>
      </c>
    </row>
    <row r="13">
      <c r="A13" t="inlineStr">
        <is>
          <t>Table continues on p. 458 (IMG_5688) headed '(Continued)' with further columns for the same years (Animal Fat to Skins); merged as extra columns.</t>
        </is>
      </c>
    </row>
    <row r="14">
      <c r="A14" t="inlineStr">
        <is>
          <t>Hide &amp; Leather and Skins columns on p. 458 are printed drifting up to a row below the year stubs; one figure per year assigned in order.</t>
        </is>
      </c>
    </row>
    <row r="15">
      <c r="A15" t="inlineStr">
        <is>
          <t>No totals printed.</t>
        </is>
      </c>
    </row>
  </sheetData>
  <hyperlinks>
    <hyperlink xmlns:r="http://schemas.openxmlformats.org/officeDocument/2006/relationships" ref="A4" r:id="rId1"/>
  </hyperlink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Imports of Animal Products Classified</t>
        </is>
      </c>
    </row>
    <row r="2">
      <c r="A2" t="inlineStr">
        <is>
          <t>Stock-Breeding · printed pp. 458</t>
        </is>
      </c>
    </row>
    <row r="3">
      <c r="A3" t="inlineStr">
        <is>
          <t>(Value in M¥1,000)</t>
        </is>
      </c>
    </row>
    <row r="4">
      <c r="A4" s="3" t="inlineStr">
        <is>
          <t>← Contents</t>
        </is>
      </c>
    </row>
    <row r="6">
      <c r="A6" s="5" t="inlineStr">
        <is>
          <t>Year</t>
        </is>
      </c>
      <c r="B6" s="5" t="inlineStr">
        <is>
          <t>Butter &amp; Cheese (Value)</t>
        </is>
      </c>
      <c r="C6" s="5" t="inlineStr">
        <is>
          <t>Other Milk Products (Value)</t>
        </is>
      </c>
      <c r="D6" s="5" t="inlineStr">
        <is>
          <t>Egg, hens' — (M. tons)</t>
        </is>
      </c>
      <c r="E6" s="5" t="inlineStr">
        <is>
          <t>Egg, hens' — (Value)</t>
        </is>
      </c>
      <c r="F6" s="5" t="inlineStr">
        <is>
          <t>Hide (Value)</t>
        </is>
      </c>
      <c r="G6" s="5" t="inlineStr">
        <is>
          <t>Leather (Value)</t>
        </is>
      </c>
      <c r="H6" s="5" t="inlineStr">
        <is>
          <t>Fur (Value)</t>
        </is>
      </c>
    </row>
    <row r="7">
      <c r="A7" s="9" t="n">
        <v>1936</v>
      </c>
      <c r="B7" s="9" t="n">
        <v>137</v>
      </c>
      <c r="C7" s="9" t="n">
        <v>962</v>
      </c>
      <c r="D7" s="6" t="n">
        <v>1767</v>
      </c>
      <c r="E7" s="9" t="n">
        <v>597</v>
      </c>
      <c r="F7" s="6" t="n">
        <v>1695</v>
      </c>
      <c r="G7" s="6" t="n">
        <v>4041</v>
      </c>
      <c r="H7" s="6" t="n">
        <v>1474</v>
      </c>
    </row>
    <row r="8">
      <c r="A8" s="9" t="n">
        <v>1937</v>
      </c>
      <c r="B8" s="9" t="n">
        <v>175</v>
      </c>
      <c r="C8" s="6" t="n">
        <v>1268</v>
      </c>
      <c r="D8" s="6" t="n">
        <v>1060</v>
      </c>
      <c r="E8" s="9" t="n">
        <v>426</v>
      </c>
      <c r="F8" s="6" t="n">
        <v>1557</v>
      </c>
      <c r="G8" s="6" t="n">
        <v>3834</v>
      </c>
      <c r="H8" s="6" t="n">
        <v>1942</v>
      </c>
    </row>
    <row r="9">
      <c r="A9" s="9" t="n">
        <v>1938</v>
      </c>
      <c r="B9" s="9" t="n">
        <v>123</v>
      </c>
      <c r="C9" s="6" t="n">
        <v>1452</v>
      </c>
      <c r="D9" s="9" t="n">
        <v>210</v>
      </c>
      <c r="E9" s="9" t="n">
        <v>97</v>
      </c>
      <c r="F9" s="6" t="n">
        <v>1834</v>
      </c>
      <c r="G9" s="6" t="n">
        <v>5810</v>
      </c>
      <c r="H9" s="6" t="n">
        <v>2938</v>
      </c>
    </row>
    <row r="10">
      <c r="A10" s="9" t="n">
        <v>1939</v>
      </c>
      <c r="B10" s="9" t="n">
        <v>84</v>
      </c>
      <c r="C10" s="6" t="n">
        <v>1872</v>
      </c>
      <c r="D10" s="9" t="n">
        <v>282</v>
      </c>
      <c r="E10" s="9" t="n">
        <v>395</v>
      </c>
      <c r="F10" s="9" t="n">
        <v>187</v>
      </c>
      <c r="G10" s="6" t="n">
        <v>4660</v>
      </c>
      <c r="H10" s="6" t="n">
        <v>1587</v>
      </c>
    </row>
    <row r="12">
      <c r="A12" s="2" t="inlineStr">
        <is>
          <t>Transcriber's notes</t>
        </is>
      </c>
    </row>
    <row r="13">
      <c r="A13" t="inlineStr">
        <is>
          <t>No totals printed. Right-hand columns print slightly below the stubs; assigned in order.</t>
        </is>
      </c>
    </row>
  </sheetData>
  <hyperlinks>
    <hyperlink xmlns:r="http://schemas.openxmlformats.org/officeDocument/2006/relationships" ref="A4" r:id="rId1"/>
  </hyperlink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The Wealth of Forest by Provinces</t>
        </is>
      </c>
    </row>
    <row r="2">
      <c r="A2" t="inlineStr">
        <is>
          <t>Forestry · printed pp. 462</t>
        </is>
      </c>
    </row>
    <row r="3">
      <c r="A3" t="inlineStr">
        <is>
          <t>(1938)</t>
        </is>
      </c>
    </row>
    <row r="4">
      <c r="A4" s="3" t="inlineStr">
        <is>
          <t>← Contents</t>
        </is>
      </c>
    </row>
    <row r="6">
      <c r="A6" s="5" t="inlineStr">
        <is>
          <t>Provinces</t>
        </is>
      </c>
      <c r="B6" s="5" t="inlineStr">
        <is>
          <t>Area (1,000 hectares) — With Trees</t>
        </is>
      </c>
      <c r="C6" s="5" t="inlineStr">
        <is>
          <t>Area (1,000 hectares) — Without Trees</t>
        </is>
      </c>
      <c r="D6" s="5" t="inlineStr">
        <is>
          <t>Area (1,000 hectares) — Total</t>
        </is>
      </c>
      <c r="E6" s="5" t="inlineStr">
        <is>
          <t>Volume of Standing Trees (1,000 cubic meters) — Needle-leaf</t>
        </is>
      </c>
      <c r="F6" s="5" t="inlineStr">
        <is>
          <t>Volume of Standing Trees (1,000 cubic meters) — Broad-leaf</t>
        </is>
      </c>
      <c r="G6" s="5" t="inlineStr">
        <is>
          <t>Volume of Standing Trees (1,000 cubic meters) — Total</t>
        </is>
      </c>
    </row>
    <row r="7">
      <c r="A7" t="inlineStr">
        <is>
          <t>Kirin</t>
        </is>
      </c>
      <c r="B7" s="9" t="n">
        <v>997</v>
      </c>
      <c r="C7" s="6" t="n">
        <v>3613</v>
      </c>
      <c r="D7" s="6" t="n">
        <v>4610</v>
      </c>
      <c r="E7" s="6" t="n">
        <v>121640</v>
      </c>
      <c r="F7" s="6" t="n">
        <v>70732</v>
      </c>
      <c r="G7" s="6" t="n">
        <v>192372</v>
      </c>
    </row>
    <row r="8">
      <c r="A8" t="inlineStr">
        <is>
          <t>Lungkiang</t>
        </is>
      </c>
      <c r="B8" s="6" t="n">
        <v>1181</v>
      </c>
      <c r="C8" s="6" t="n">
        <v>6801</v>
      </c>
      <c r="D8" s="6" t="n">
        <v>7981</v>
      </c>
      <c r="E8" s="6" t="n">
        <v>38823</v>
      </c>
      <c r="F8" s="6" t="n">
        <v>142741</v>
      </c>
      <c r="G8" s="6" t="n">
        <v>181565</v>
      </c>
    </row>
    <row r="9">
      <c r="A9" t="inlineStr">
        <is>
          <t>Heiho</t>
        </is>
      </c>
      <c r="B9" s="6" t="n">
        <v>4681</v>
      </c>
      <c r="C9" s="6" t="n">
        <v>4184</v>
      </c>
      <c r="D9" s="6" t="n">
        <v>8865</v>
      </c>
      <c r="E9" s="6" t="n">
        <v>297294</v>
      </c>
      <c r="F9" s="6" t="n">
        <v>514609</v>
      </c>
      <c r="G9" s="6" t="n">
        <v>811903</v>
      </c>
    </row>
    <row r="10">
      <c r="A10" t="inlineStr">
        <is>
          <t>Sankiang</t>
        </is>
      </c>
      <c r="B10" s="6" t="n">
        <v>2603</v>
      </c>
      <c r="C10" s="6" t="n">
        <v>4675</v>
      </c>
      <c r="D10" s="6" t="n">
        <v>7277</v>
      </c>
      <c r="E10" s="6" t="n">
        <v>187146</v>
      </c>
      <c r="F10" s="6" t="n">
        <v>255389</v>
      </c>
      <c r="G10" s="6" t="n">
        <v>442535</v>
      </c>
    </row>
    <row r="11">
      <c r="A11" t="inlineStr">
        <is>
          <t>Pinkiang</t>
        </is>
      </c>
      <c r="B11" s="9" t="n">
        <v>881</v>
      </c>
      <c r="C11" s="6" t="n">
        <v>3123</v>
      </c>
      <c r="D11" s="6" t="n">
        <v>4004</v>
      </c>
      <c r="E11" s="6" t="n">
        <v>27697</v>
      </c>
      <c r="F11" s="6" t="n">
        <v>84235</v>
      </c>
      <c r="G11" s="6" t="n">
        <v>111933</v>
      </c>
    </row>
    <row r="12">
      <c r="A12" t="inlineStr">
        <is>
          <t>Mutankiang</t>
        </is>
      </c>
      <c r="B12" s="6" t="n">
        <v>1238</v>
      </c>
      <c r="C12" s="6" t="n">
        <v>2792</v>
      </c>
      <c r="D12" s="6" t="n">
        <v>4031</v>
      </c>
      <c r="E12" s="6" t="n">
        <v>21922</v>
      </c>
      <c r="F12" s="6" t="n">
        <v>81649</v>
      </c>
      <c r="G12" s="6" t="n">
        <v>163571</v>
      </c>
    </row>
    <row r="13">
      <c r="A13" t="inlineStr">
        <is>
          <t>Chientao</t>
        </is>
      </c>
      <c r="B13" s="6" t="n">
        <v>1234</v>
      </c>
      <c r="C13" s="9" t="n">
        <v>918</v>
      </c>
      <c r="D13" s="6" t="n">
        <v>2151</v>
      </c>
      <c r="E13" s="6" t="n">
        <v>85022</v>
      </c>
      <c r="F13" s="6" t="n">
        <v>84432</v>
      </c>
      <c r="G13" s="6" t="n">
        <v>169454</v>
      </c>
    </row>
    <row r="14">
      <c r="A14" t="inlineStr">
        <is>
          <t>Antung</t>
        </is>
      </c>
      <c r="B14" s="9" t="n">
        <v>58</v>
      </c>
      <c r="C14" s="6" t="n">
        <v>1481</v>
      </c>
      <c r="D14" s="6" t="n">
        <v>1539</v>
      </c>
      <c r="E14" t="inlineStr">
        <is>
          <t>—</t>
        </is>
      </c>
      <c r="F14" s="6" t="n">
        <v>4941</v>
      </c>
      <c r="G14" s="6" t="n">
        <v>4941</v>
      </c>
    </row>
    <row r="15">
      <c r="A15" t="inlineStr">
        <is>
          <t>Fengtien</t>
        </is>
      </c>
      <c r="B15" s="9" t="n">
        <v>34</v>
      </c>
      <c r="C15" s="6" t="n">
        <v>3393</v>
      </c>
      <c r="D15" s="6" t="n">
        <v>3387</v>
      </c>
      <c r="E15" t="inlineStr">
        <is>
          <t>—</t>
        </is>
      </c>
      <c r="F15" s="6" t="n">
        <v>2973</v>
      </c>
      <c r="G15" s="6" t="n">
        <v>2873</v>
      </c>
    </row>
    <row r="16">
      <c r="A16" t="inlineStr">
        <is>
          <t>Tunghua</t>
        </is>
      </c>
      <c r="B16" s="9" t="n">
        <v>778</v>
      </c>
      <c r="C16" s="6" t="n">
        <v>1559</v>
      </c>
      <c r="D16" s="6" t="n">
        <v>2337</v>
      </c>
      <c r="E16" s="6" t="n">
        <v>61874</v>
      </c>
      <c r="F16" s="6" t="n">
        <v>95034</v>
      </c>
      <c r="G16" s="6" t="n">
        <v>156907</v>
      </c>
    </row>
    <row r="17">
      <c r="A17" t="inlineStr">
        <is>
          <t>Chinchow</t>
        </is>
      </c>
      <c r="B17" t="inlineStr">
        <is>
          <t>—</t>
        </is>
      </c>
      <c r="C17" s="6" t="n">
        <v>2448</v>
      </c>
      <c r="D17" s="6" t="n">
        <v>2448</v>
      </c>
      <c r="E17" t="inlineStr">
        <is>
          <t>—</t>
        </is>
      </c>
      <c r="F17" t="inlineStr">
        <is>
          <t>—</t>
        </is>
      </c>
      <c r="G17" t="inlineStr">
        <is>
          <t>—</t>
        </is>
      </c>
    </row>
    <row r="18">
      <c r="A18" t="inlineStr">
        <is>
          <t>Jehol</t>
        </is>
      </c>
      <c r="B18" s="9" t="n">
        <v>62</v>
      </c>
      <c r="C18" s="6" t="n">
        <v>6589</v>
      </c>
      <c r="D18" s="6" t="n">
        <v>6651</v>
      </c>
      <c r="E18" s="6" t="n">
        <v>1671</v>
      </c>
      <c r="F18" s="6" t="n">
        <v>3984</v>
      </c>
      <c r="G18" s="6" t="n">
        <v>5655</v>
      </c>
    </row>
    <row r="19">
      <c r="A19" t="inlineStr">
        <is>
          <t>4 Hsingan Provs.</t>
        </is>
      </c>
      <c r="B19" s="6" t="n">
        <v>8197</v>
      </c>
      <c r="C19" s="6" t="n">
        <v>24261</v>
      </c>
      <c r="D19" s="6" t="n">
        <v>32458</v>
      </c>
      <c r="E19" s="6" t="n">
        <v>573557</v>
      </c>
      <c r="F19" s="6" t="n">
        <v>901831</v>
      </c>
      <c r="G19" s="6" t="n">
        <v>1475388</v>
      </c>
    </row>
    <row r="20">
      <c r="A20" t="inlineStr">
        <is>
          <t>Total</t>
        </is>
      </c>
      <c r="B20" s="6" t="n">
        <v>21943</v>
      </c>
      <c r="C20" s="6" t="n">
        <v>65797</v>
      </c>
      <c r="D20" s="6" t="n">
        <v>87740</v>
      </c>
      <c r="E20" s="6" t="n">
        <v>1476647</v>
      </c>
      <c r="F20" s="6" t="n">
        <v>2242450</v>
      </c>
      <c r="G20" s="6" t="n">
        <v>3719096</v>
      </c>
    </row>
    <row r="22">
      <c r="A22" s="2" t="inlineStr">
        <is>
          <t>Transcriber's notes</t>
        </is>
      </c>
    </row>
    <row r="23">
      <c r="A23" t="inlineStr">
        <is>
          <t>Antung Needle-leaf printed as a short double dash '- -'; recorded as '—'.</t>
        </is>
      </c>
    </row>
    <row r="24">
      <c r="A24" t="inlineStr">
        <is>
          <t>Row totals (area): reconcile except by ±1 for Lungkiang (7,982 vs 7,981), Sankiang (7,278 vs 7,277), Mutankiang (4,030 vs 4,031), Chientao (2,152 vs 2,151) — rounding; Fengtien 34 + 3,393 = 3,427 vs printed 3,387 — does NOT reconcile (diff 40).</t>
        </is>
      </c>
    </row>
    <row r="25">
      <c r="A25" t="inlineStr">
        <is>
          <t>Row totals (volume): Lungkiang, Pinkiang, Tunghua off by 1 (rounding); Mutankiang 21,922 + 81,649 = 103,571 vs printed 163,571 — does NOT reconcile (diff 60,000); Fengtien 2,973 vs printed total 2,873 — does NOT reconcile (diff 100).</t>
        </is>
      </c>
    </row>
    <row r="26">
      <c r="A26" t="inlineStr">
        <is>
          <t>Column totals: With Trees 21,944 vs 21,943 (rounding); Without Trees 65,837 vs 65,797 — does NOT reconcile (diff 40, matching the Fengtien anomaly); Area Total 87,739 vs 87,740 (rounding); Needle-leaf 1,416,646 vs 1,476,647 — does NOT reconcile (diff 60,001, matching the Mutankiang anomaly); Broad-leaf 2,242,550 vs 2,242,450 — does NOT reconcile (diff 100, matching Fengtien); Volume Total 3,719,097 vs 3,719,096 (rounding). Cells re-read; transcribed as printed. The printed Total row and the text (87,740,000 ha; 1,476,647,000 + 2,242,450,000 m³) agree.</t>
        </is>
      </c>
    </row>
  </sheetData>
  <hyperlinks>
    <hyperlink xmlns:r="http://schemas.openxmlformats.org/officeDocument/2006/relationships" ref="A4" r:id="rId1"/>
  </hyperlink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Demand and Supply of Timber</t>
        </is>
      </c>
    </row>
    <row r="2">
      <c r="A2" t="inlineStr">
        <is>
          <t>Forestry · printed pp. 464</t>
        </is>
      </c>
    </row>
    <row r="3">
      <c r="A3" t="inlineStr">
        <is>
          <t>(Unit: in 1,000 Cubic Meters)</t>
        </is>
      </c>
    </row>
    <row r="4">
      <c r="A4" s="3" t="inlineStr">
        <is>
          <t>← Contents</t>
        </is>
      </c>
    </row>
    <row r="6">
      <c r="A6" s="5" t="inlineStr">
        <is>
          <t>Year</t>
        </is>
      </c>
      <c r="B6" s="5" t="inlineStr">
        <is>
          <t>Output — Amount</t>
        </is>
      </c>
      <c r="C6" s="5" t="inlineStr">
        <is>
          <t>Output — Index</t>
        </is>
      </c>
      <c r="D6" s="5" t="inlineStr">
        <is>
          <t>Import — Amount</t>
        </is>
      </c>
      <c r="E6" s="5" t="inlineStr">
        <is>
          <t>Import — Index</t>
        </is>
      </c>
      <c r="F6" s="5" t="inlineStr">
        <is>
          <t>Export — Amount</t>
        </is>
      </c>
      <c r="G6" s="5" t="inlineStr">
        <is>
          <t>Export — Index</t>
        </is>
      </c>
      <c r="H6" s="5" t="inlineStr">
        <is>
          <t>Consumption — Amount</t>
        </is>
      </c>
      <c r="I6" s="5" t="inlineStr">
        <is>
          <t>Consumption — Index</t>
        </is>
      </c>
    </row>
    <row r="7">
      <c r="A7" s="9" t="n">
        <v>1932</v>
      </c>
      <c r="B7" s="9" t="n">
        <v>897</v>
      </c>
      <c r="C7" s="9" t="n">
        <v>67</v>
      </c>
      <c r="D7" s="9" t="n">
        <v>136</v>
      </c>
      <c r="E7" s="9" t="n">
        <v>19</v>
      </c>
      <c r="F7" s="9" t="n">
        <v>221</v>
      </c>
      <c r="G7" s="9" t="n">
        <v>163</v>
      </c>
      <c r="H7" s="9" t="n">
        <v>812</v>
      </c>
      <c r="I7" s="9" t="n">
        <v>43</v>
      </c>
    </row>
    <row r="8">
      <c r="A8" s="9" t="n">
        <v>1933</v>
      </c>
      <c r="B8" s="6" t="n">
        <v>1001</v>
      </c>
      <c r="C8" s="9" t="n">
        <v>74</v>
      </c>
      <c r="D8" s="9" t="n">
        <v>508</v>
      </c>
      <c r="E8" s="9" t="n">
        <v>72</v>
      </c>
      <c r="F8" s="9" t="n">
        <v>110</v>
      </c>
      <c r="G8" s="9" t="n">
        <v>67</v>
      </c>
      <c r="H8" s="6" t="n">
        <v>1400</v>
      </c>
      <c r="I8" s="9" t="n">
        <v>74</v>
      </c>
    </row>
    <row r="9">
      <c r="A9" s="9" t="n">
        <v>1934</v>
      </c>
      <c r="B9" s="6" t="n">
        <v>1346</v>
      </c>
      <c r="C9" s="9" t="n">
        <v>100</v>
      </c>
      <c r="D9" s="9" t="n">
        <v>709</v>
      </c>
      <c r="E9" s="9" t="n">
        <v>100</v>
      </c>
      <c r="F9" s="9" t="n">
        <v>163</v>
      </c>
      <c r="G9" s="9" t="n">
        <v>100</v>
      </c>
      <c r="H9" s="6" t="n">
        <v>1892</v>
      </c>
      <c r="I9" s="9" t="n">
        <v>100</v>
      </c>
    </row>
    <row r="10">
      <c r="A10" s="9" t="n">
        <v>1935</v>
      </c>
      <c r="B10" s="6" t="n">
        <v>1839</v>
      </c>
      <c r="C10" s="9" t="n">
        <v>137</v>
      </c>
      <c r="D10" s="9" t="n">
        <v>531</v>
      </c>
      <c r="E10" s="9" t="n">
        <v>75</v>
      </c>
      <c r="F10" s="9" t="n">
        <v>208</v>
      </c>
      <c r="G10" s="9" t="n">
        <v>128</v>
      </c>
      <c r="H10" s="6" t="n">
        <v>2161</v>
      </c>
      <c r="I10" s="9" t="n">
        <v>114</v>
      </c>
    </row>
    <row r="11">
      <c r="A11" s="9" t="n">
        <v>1936</v>
      </c>
      <c r="B11" s="6" t="n">
        <v>1845</v>
      </c>
      <c r="C11" s="9" t="n">
        <v>137</v>
      </c>
      <c r="D11" s="9" t="n">
        <v>403</v>
      </c>
      <c r="E11" s="9" t="n">
        <v>57</v>
      </c>
      <c r="F11" s="9" t="n">
        <v>164</v>
      </c>
      <c r="G11" s="9" t="n">
        <v>101</v>
      </c>
      <c r="H11" s="6" t="n">
        <v>2058</v>
      </c>
      <c r="I11" s="9" t="n">
        <v>110</v>
      </c>
    </row>
    <row r="12">
      <c r="A12" s="9" t="n">
        <v>1937</v>
      </c>
      <c r="B12" s="6" t="n">
        <v>2771</v>
      </c>
      <c r="C12" s="9" t="n">
        <v>206</v>
      </c>
      <c r="D12" s="9" t="n">
        <v>527</v>
      </c>
      <c r="E12" s="9" t="n">
        <v>74</v>
      </c>
      <c r="F12" s="9" t="n">
        <v>137</v>
      </c>
      <c r="G12" s="9" t="n">
        <v>84</v>
      </c>
      <c r="H12" s="6" t="n">
        <v>3161</v>
      </c>
      <c r="I12" s="9" t="n">
        <v>167</v>
      </c>
    </row>
    <row r="13">
      <c r="A13" s="9" t="n">
        <v>1938</v>
      </c>
      <c r="B13" s="6" t="n">
        <v>3557</v>
      </c>
      <c r="C13" s="9" t="n">
        <v>264</v>
      </c>
      <c r="D13" s="9" t="n">
        <v>731</v>
      </c>
      <c r="E13" s="9" t="n">
        <v>103</v>
      </c>
      <c r="F13" s="9" t="n">
        <v>124</v>
      </c>
      <c r="G13" s="9" t="n">
        <v>76</v>
      </c>
      <c r="H13" s="6" t="n">
        <v>4164</v>
      </c>
      <c r="I13" s="9" t="n">
        <v>220</v>
      </c>
    </row>
    <row r="14">
      <c r="A14" s="9" t="n">
        <v>1939</v>
      </c>
      <c r="B14" s="6" t="n">
        <v>4000</v>
      </c>
      <c r="C14" s="9" t="n">
        <v>300</v>
      </c>
      <c r="D14" t="inlineStr">
        <is>
          <t>—</t>
        </is>
      </c>
      <c r="E14" t="inlineStr">
        <is>
          <t>—</t>
        </is>
      </c>
      <c r="F14" t="inlineStr">
        <is>
          <t>—</t>
        </is>
      </c>
      <c r="G14" t="inlineStr">
        <is>
          <t>—</t>
        </is>
      </c>
      <c r="H14" s="6" t="n">
        <v>4900</v>
      </c>
      <c r="I14" s="9" t="n">
        <v>260</v>
      </c>
    </row>
    <row r="16">
      <c r="A16" s="2" t="inlineStr">
        <is>
          <t>Transcriber's notes</t>
        </is>
      </c>
    </row>
    <row r="17">
      <c r="A17" t="inlineStr">
        <is>
          <t>No totals. Check Output + Import − Export = Consumption: 1932, 1934, 1937, 1938 exact; 1933 1,399 vs 1,400 and 1935 2,162 vs 2,161 (rounding); 1936 2,084 vs printed 2,058 — does NOT reconcile (diff 26). Index base 1934 = 100.</t>
        </is>
      </c>
    </row>
  </sheetData>
  <hyperlinks>
    <hyperlink xmlns:r="http://schemas.openxmlformats.org/officeDocument/2006/relationships" ref="A4" r:id="rId1"/>
  </hyperlink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Forestry Output by Districts and Kinds</t>
        </is>
      </c>
    </row>
    <row r="2">
      <c r="A2" t="inlineStr">
        <is>
          <t>Forestry · printed pp. 464</t>
        </is>
      </c>
    </row>
    <row r="3">
      <c r="A3" t="inlineStr">
        <is>
          <t>(1938) (Unit in 1,000 new Manchoukuo "Koku"; one "Koku" 0.369 cubic m.)</t>
        </is>
      </c>
    </row>
    <row r="4">
      <c r="A4" s="3" t="inlineStr">
        <is>
          <t>← Contents</t>
        </is>
      </c>
    </row>
    <row r="6">
      <c r="A6" s="5" t="inlineStr">
        <is>
          <t>District</t>
        </is>
      </c>
      <c r="B6" s="5" t="inlineStr">
        <is>
          <t>General Lumber</t>
        </is>
      </c>
      <c r="C6" s="5" t="inlineStr">
        <is>
          <t>Special Lumber — Telegraph Poles</t>
        </is>
      </c>
      <c r="D6" s="5" t="inlineStr">
        <is>
          <t>Special Lumber — Spikes</t>
        </is>
      </c>
      <c r="E6" s="5" t="inlineStr">
        <is>
          <t>Special Lumber — Sleepers</t>
        </is>
      </c>
      <c r="F6" s="5" t="inlineStr">
        <is>
          <t>Special Lumber — Total incl. logs</t>
        </is>
      </c>
      <c r="G6" s="5" t="inlineStr">
        <is>
          <t>Grand Total</t>
        </is>
      </c>
      <c r="H6" s="5" t="inlineStr">
        <is>
          <t>Others (1,000 piculs) — Firewood</t>
        </is>
      </c>
      <c r="I6" s="5" t="inlineStr">
        <is>
          <t>Others (1,000 piculs) — Charcoal</t>
        </is>
      </c>
    </row>
    <row r="7">
      <c r="A7" t="inlineStr">
        <is>
          <t>Yalu District</t>
        </is>
      </c>
      <c r="B7" s="9" t="n">
        <v>377</v>
      </c>
      <c r="C7" s="8" t="n">
        <v>17.2</v>
      </c>
      <c r="D7" s="9" t="n">
        <v>147</v>
      </c>
      <c r="E7" s="9" t="n">
        <v>91</v>
      </c>
      <c r="F7" s="9" t="n">
        <v>316</v>
      </c>
      <c r="G7" s="9" t="n">
        <v>693</v>
      </c>
      <c r="H7" s="8" t="n">
        <v>81.5</v>
      </c>
      <c r="I7" s="9" t="n">
        <v>605</v>
      </c>
    </row>
    <row r="8">
      <c r="A8" t="inlineStr">
        <is>
          <t>Kirin District</t>
        </is>
      </c>
      <c r="B8" s="9" t="n">
        <v>988</v>
      </c>
      <c r="C8" s="8" t="n">
        <v>4.4</v>
      </c>
      <c r="D8" s="9" t="n">
        <v>82</v>
      </c>
      <c r="E8" s="9" t="n">
        <v>238</v>
      </c>
      <c r="F8" s="9" t="n">
        <v>385</v>
      </c>
      <c r="G8" s="6" t="n">
        <v>1373</v>
      </c>
      <c r="H8" s="8" t="n">
        <v>55.8</v>
      </c>
      <c r="I8" s="9" t="n">
        <v>191</v>
      </c>
    </row>
    <row r="9">
      <c r="A9" t="inlineStr">
        <is>
          <t>Chientao District</t>
        </is>
      </c>
      <c r="B9" s="9" t="n">
        <v>185</v>
      </c>
      <c r="C9" s="8" t="n">
        <v>3.2</v>
      </c>
      <c r="D9" s="9" t="n">
        <v>8</v>
      </c>
      <c r="E9" s="9" t="n">
        <v>20</v>
      </c>
      <c r="F9" s="9" t="n">
        <v>54</v>
      </c>
      <c r="G9" s="9" t="n">
        <v>239</v>
      </c>
      <c r="H9" s="8" t="n">
        <v>37.8</v>
      </c>
      <c r="I9" s="9" t="n">
        <v>114</v>
      </c>
    </row>
    <row r="10">
      <c r="A10" t="inlineStr">
        <is>
          <t>North Manchuria District</t>
        </is>
      </c>
      <c r="B10" s="6" t="n">
        <v>2782</v>
      </c>
      <c r="C10" s="8" t="n">
        <v>220</v>
      </c>
      <c r="D10" s="9" t="n">
        <v>220</v>
      </c>
      <c r="E10" s="9" t="n">
        <v>914</v>
      </c>
      <c r="F10" s="6" t="n">
        <v>1804</v>
      </c>
      <c r="G10" s="6" t="n">
        <v>4586</v>
      </c>
      <c r="H10" s="8" t="n">
        <v>177.4</v>
      </c>
      <c r="I10" s="9" t="n">
        <v>628</v>
      </c>
    </row>
    <row r="11">
      <c r="A11" t="inlineStr">
        <is>
          <t>Eastern Section</t>
        </is>
      </c>
      <c r="B11" s="9" t="n">
        <v>910</v>
      </c>
      <c r="C11" s="8" t="n">
        <v>22.1</v>
      </c>
      <c r="D11" s="9" t="n">
        <v>40</v>
      </c>
      <c r="E11" s="9" t="n">
        <v>99</v>
      </c>
      <c r="F11" s="9" t="n">
        <v>316</v>
      </c>
      <c r="G11" s="6" t="n">
        <v>1226</v>
      </c>
      <c r="H11" s="8" t="n">
        <v>34.8</v>
      </c>
      <c r="I11" s="9" t="n">
        <v>86</v>
      </c>
    </row>
    <row r="12">
      <c r="A12" t="inlineStr">
        <is>
          <t>Northern Section</t>
        </is>
      </c>
      <c r="B12" s="9" t="n">
        <v>545</v>
      </c>
      <c r="C12" s="8" t="n">
        <v>20.7</v>
      </c>
      <c r="D12" t="inlineStr">
        <is>
          <t>—</t>
        </is>
      </c>
      <c r="E12" s="9" t="n">
        <v>19</v>
      </c>
      <c r="F12" s="9" t="n">
        <v>90</v>
      </c>
      <c r="G12" s="9" t="n">
        <v>635</v>
      </c>
      <c r="H12" s="8" t="n">
        <v>31.6</v>
      </c>
      <c r="I12" s="9" t="n">
        <v>138</v>
      </c>
    </row>
    <row r="13">
      <c r="A13" t="inlineStr">
        <is>
          <t>Hsingan Section</t>
        </is>
      </c>
      <c r="B13" s="9" t="n">
        <v>283</v>
      </c>
      <c r="C13" s="8" t="n">
        <v>175.4</v>
      </c>
      <c r="D13" s="9" t="n">
        <v>105</v>
      </c>
      <c r="E13" s="9" t="n">
        <v>646</v>
      </c>
      <c r="F13" s="9" t="n">
        <v>962</v>
      </c>
      <c r="G13" s="6" t="n">
        <v>1246</v>
      </c>
      <c r="H13" s="8" t="n">
        <v>20.2</v>
      </c>
      <c r="I13" s="9" t="n">
        <v>87</v>
      </c>
    </row>
    <row r="14">
      <c r="A14" t="inlineStr">
        <is>
          <t>Sungari Section</t>
        </is>
      </c>
      <c r="B14" s="6" t="n">
        <v>1043</v>
      </c>
      <c r="C14" s="8" t="n">
        <v>1.8</v>
      </c>
      <c r="D14" s="9" t="n">
        <v>75</v>
      </c>
      <c r="E14" s="9" t="n">
        <v>150</v>
      </c>
      <c r="F14" s="9" t="n">
        <v>436</v>
      </c>
      <c r="G14" s="6" t="n">
        <v>1479</v>
      </c>
      <c r="H14" s="8" t="n">
        <v>90.8</v>
      </c>
      <c r="I14" s="9" t="n">
        <v>316</v>
      </c>
    </row>
    <row r="15">
      <c r="A15" t="inlineStr">
        <is>
          <t>Total</t>
        </is>
      </c>
      <c r="B15" s="6" t="n">
        <v>4331</v>
      </c>
      <c r="C15" s="8" t="n">
        <v>244.8</v>
      </c>
      <c r="D15" s="9" t="n">
        <v>467</v>
      </c>
      <c r="E15" s="6" t="n">
        <v>1264</v>
      </c>
      <c r="F15" s="6" t="n">
        <v>2559</v>
      </c>
      <c r="G15" s="6" t="n">
        <v>6890</v>
      </c>
      <c r="H15" s="8" t="n">
        <v>352.5</v>
      </c>
      <c r="I15" s="6" t="n">
        <v>1538</v>
      </c>
    </row>
    <row r="17">
      <c r="A17" s="2" t="inlineStr">
        <is>
          <t>Transcriber's notes</t>
        </is>
      </c>
    </row>
    <row r="18">
      <c r="A18" t="inlineStr">
        <is>
          <t>Stubs 'Kirin "', 'Chientao "' (ditto for District) and 'Northern "', 'Hsingan "', 'Sungari "' (ditto for Section) expanded. Eastern/Northern/Hsingan/Sungari Sections are indented under North Manchuria District.</t>
        </is>
      </c>
    </row>
    <row r="19">
      <c r="A19" t="inlineStr">
        <is>
          <t>North Manchuria District = sum of its four Sections: General Lumber 2,781 vs 2,782 (rounding); Poles, Spikes, Sleepers, Total incl. logs, Grand Total, Firewood reconcile; Charcoal 627 vs 628 (rounding).</t>
        </is>
      </c>
    </row>
    <row r="20">
      <c r="A20" t="inlineStr">
        <is>
          <t>Total = Yalu + Kirin + Chientao + North Manchuria: General Lumber 4,332 vs 4,331 (rounding); Poles 244.8 reconciles; Spikes 457 vs printed 467 — does NOT reconcile (diff 10); Sleepers 1,263 vs 1,264 (rounding); Total incl. logs 2,559 reconciles; Grand Total 6,891 vs 6,890 (rounding); Firewood 352.5 reconciles; Charcoal 1,538 reconciles.</t>
        </is>
      </c>
    </row>
    <row r="21">
      <c r="A21" t="inlineStr">
        <is>
          <t>Grand Total = General Lumber + Total incl. logs: reconciles in every row except Hsingan Section 1,245 vs 1,246 (rounding).</t>
        </is>
      </c>
    </row>
  </sheetData>
  <hyperlinks>
    <hyperlink xmlns:r="http://schemas.openxmlformats.org/officeDocument/2006/relationships" ref="A4" r:id="rId1"/>
  </hyperlink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Outline of Lumber Producers' Guilds in Manchoukuo</t>
        </is>
      </c>
    </row>
    <row r="2">
      <c r="A2" t="inlineStr">
        <is>
          <t>Forestry · printed pp. 465</t>
        </is>
      </c>
    </row>
    <row r="3">
      <c r="A3" t="inlineStr">
        <is>
          <t>(End of 1937) (Member Companies of Association of Manchuria Lumber Producers' Guilds)</t>
        </is>
      </c>
    </row>
    <row r="4">
      <c r="A4" s="3" t="inlineStr">
        <is>
          <t>← Contents</t>
        </is>
      </c>
    </row>
    <row r="6">
      <c r="A6" s="5" t="inlineStr">
        <is>
          <t>Guild</t>
        </is>
      </c>
      <c r="B6" s="5" t="inlineStr">
        <is>
          <t>Member cos.</t>
        </is>
      </c>
      <c r="C6" s="5" t="inlineStr">
        <is>
          <t>No. of mills</t>
        </is>
      </c>
      <c r="D6" s="5" t="inlineStr">
        <is>
          <t>Capital (M¥1,000)</t>
        </is>
      </c>
      <c r="E6" s="5" t="inlineStr">
        <is>
          <t>Lumbering machines</t>
        </is>
      </c>
      <c r="F6" s="5" t="inlineStr">
        <is>
          <t>No. of workers</t>
        </is>
      </c>
      <c r="G6" s="5" t="inlineStr">
        <is>
          <t>Lumbering capacity per day (cub. ft.)</t>
        </is>
      </c>
      <c r="H6" s="5" t="inlineStr">
        <is>
          <t>Output in 1937 — Volume (1,000 Cub. ft.)</t>
        </is>
      </c>
      <c r="I6" s="5" t="inlineStr">
        <is>
          <t>Output in 1937 — Value (M¥1,000)</t>
        </is>
      </c>
    </row>
    <row r="7">
      <c r="A7" t="inlineStr">
        <is>
          <t>Harbin</t>
        </is>
      </c>
      <c r="B7" s="9" t="n">
        <v>34</v>
      </c>
      <c r="C7" s="9" t="n">
        <v>4</v>
      </c>
      <c r="D7" s="6" t="n">
        <v>2000</v>
      </c>
      <c r="E7" s="9" t="n">
        <v>80</v>
      </c>
      <c r="F7" s="9" t="n">
        <v>839</v>
      </c>
      <c r="G7" s="6" t="n">
        <v>19800</v>
      </c>
      <c r="H7" s="6" t="n">
        <v>3200</v>
      </c>
      <c r="I7" s="6" t="n">
        <v>4300</v>
      </c>
    </row>
    <row r="8">
      <c r="A8" t="inlineStr">
        <is>
          <t>Tunhua</t>
        </is>
      </c>
      <c r="B8" s="9" t="n">
        <v>25</v>
      </c>
      <c r="C8" s="9" t="n">
        <v>3</v>
      </c>
      <c r="D8" s="9" t="n">
        <v>712</v>
      </c>
      <c r="E8" s="9" t="n">
        <v>40</v>
      </c>
      <c r="F8" s="9" t="n">
        <v>246</v>
      </c>
      <c r="G8" s="6" t="n">
        <v>7900</v>
      </c>
      <c r="H8" s="9" t="n">
        <v>810</v>
      </c>
      <c r="I8" s="6" t="n">
        <v>1025</v>
      </c>
    </row>
    <row r="9">
      <c r="A9" t="inlineStr">
        <is>
          <t>Tumen</t>
        </is>
      </c>
      <c r="B9" s="9" t="n">
        <v>18</v>
      </c>
      <c r="C9" s="9" t="n">
        <v>4</v>
      </c>
      <c r="D9" s="6" t="n">
        <v>3040</v>
      </c>
      <c r="E9" s="9" t="n">
        <v>60</v>
      </c>
      <c r="F9" s="9" t="n">
        <v>281</v>
      </c>
      <c r="G9" s="6" t="n">
        <v>8100</v>
      </c>
      <c r="H9" s="6" t="n">
        <v>1212</v>
      </c>
      <c r="I9" s="6" t="n">
        <v>1429</v>
      </c>
    </row>
    <row r="10">
      <c r="A10" t="inlineStr">
        <is>
          <t>Fushun</t>
        </is>
      </c>
      <c r="B10" s="9" t="n">
        <v>2</v>
      </c>
      <c r="C10" s="9" t="n">
        <v>2</v>
      </c>
      <c r="D10" s="9" t="n">
        <v>100</v>
      </c>
      <c r="E10" s="9" t="n">
        <v>11</v>
      </c>
      <c r="F10" s="9" t="n">
        <v>54</v>
      </c>
      <c r="G10" s="6" t="n">
        <v>1810</v>
      </c>
      <c r="H10" s="9" t="n">
        <v>315</v>
      </c>
      <c r="I10" s="6" t="n">
        <v>4725</v>
      </c>
    </row>
    <row r="11">
      <c r="A11" t="inlineStr">
        <is>
          <t>Anshan</t>
        </is>
      </c>
      <c r="B11" s="9" t="n">
        <v>4</v>
      </c>
      <c r="C11" t="inlineStr">
        <is>
          <t>—</t>
        </is>
      </c>
      <c r="D11" t="inlineStr">
        <is>
          <t>—</t>
        </is>
      </c>
      <c r="E11" t="inlineStr">
        <is>
          <t>—</t>
        </is>
      </c>
      <c r="F11" t="inlineStr">
        <is>
          <t>—</t>
        </is>
      </c>
      <c r="G11" t="inlineStr">
        <is>
          <t>—</t>
        </is>
      </c>
      <c r="H11" t="inlineStr">
        <is>
          <t>—</t>
        </is>
      </c>
      <c r="I11" t="inlineStr">
        <is>
          <t>—</t>
        </is>
      </c>
    </row>
    <row r="12">
      <c r="A12" t="inlineStr">
        <is>
          <t>Antung</t>
        </is>
      </c>
      <c r="B12" s="9" t="n">
        <v>23</v>
      </c>
      <c r="C12" s="9" t="n">
        <v>1</v>
      </c>
      <c r="D12" s="6" t="n">
        <v>1000</v>
      </c>
      <c r="E12" s="9" t="n">
        <v>229</v>
      </c>
      <c r="F12" s="6" t="n">
        <v>1241</v>
      </c>
      <c r="G12" s="6" t="n">
        <v>30000</v>
      </c>
      <c r="H12" s="6" t="n">
        <v>4800</v>
      </c>
      <c r="I12" s="6" t="n">
        <v>5182</v>
      </c>
    </row>
    <row r="13">
      <c r="A13" t="inlineStr">
        <is>
          <t>Kirin</t>
        </is>
      </c>
      <c r="B13" s="9" t="n">
        <v>68</v>
      </c>
      <c r="C13" s="9" t="n">
        <v>7</v>
      </c>
      <c r="D13" s="6" t="n">
        <v>2790</v>
      </c>
      <c r="E13" s="9" t="n">
        <v>133</v>
      </c>
      <c r="F13" s="9" t="n">
        <v>939</v>
      </c>
      <c r="G13" s="6" t="n">
        <v>19300</v>
      </c>
      <c r="H13" s="6" t="n">
        <v>4367</v>
      </c>
      <c r="I13" s="6" t="n">
        <v>5885</v>
      </c>
    </row>
    <row r="14">
      <c r="A14" t="inlineStr">
        <is>
          <t>Hsinking</t>
        </is>
      </c>
      <c r="B14" s="9" t="n">
        <v>25</v>
      </c>
      <c r="C14" s="9" t="n">
        <v>10</v>
      </c>
      <c r="D14" s="6" t="n">
        <v>1515</v>
      </c>
      <c r="E14" s="9" t="n">
        <v>145</v>
      </c>
      <c r="F14" s="9" t="n">
        <v>939</v>
      </c>
      <c r="G14" s="6" t="n">
        <v>24000</v>
      </c>
      <c r="H14" s="6" t="n">
        <v>4814</v>
      </c>
      <c r="I14" s="6" t="n">
        <v>6643</v>
      </c>
    </row>
    <row r="15">
      <c r="A15" t="inlineStr">
        <is>
          <t>Mutankiang</t>
        </is>
      </c>
      <c r="B15" s="9" t="n">
        <v>20</v>
      </c>
      <c r="C15" s="9" t="n">
        <v>4</v>
      </c>
      <c r="D15" s="6" t="n">
        <v>1155</v>
      </c>
      <c r="E15" s="9" t="n">
        <v>120</v>
      </c>
      <c r="F15" s="6" t="n">
        <v>1036</v>
      </c>
      <c r="G15" s="6" t="n">
        <v>22460</v>
      </c>
      <c r="H15" s="6" t="n">
        <v>2473</v>
      </c>
      <c r="I15" s="6" t="n">
        <v>3032</v>
      </c>
    </row>
    <row r="16">
      <c r="A16" t="inlineStr">
        <is>
          <t>Lungtsing</t>
        </is>
      </c>
      <c r="B16" s="9" t="n">
        <v>16</v>
      </c>
      <c r="C16" s="9" t="n">
        <v>2</v>
      </c>
      <c r="D16" s="9" t="n">
        <v>600</v>
      </c>
      <c r="E16" s="9" t="n">
        <v>39</v>
      </c>
      <c r="F16" s="9" t="n">
        <v>415</v>
      </c>
      <c r="G16" s="6" t="n">
        <v>4790</v>
      </c>
      <c r="H16" s="9" t="n">
        <v>5</v>
      </c>
      <c r="I16" s="9" t="n">
        <v>8</v>
      </c>
    </row>
    <row r="17">
      <c r="A17" t="inlineStr">
        <is>
          <t>Fengtien</t>
        </is>
      </c>
      <c r="B17" s="9" t="n">
        <v>13</v>
      </c>
      <c r="C17" s="9" t="n">
        <v>5</v>
      </c>
      <c r="D17" s="6" t="n">
        <v>4274</v>
      </c>
      <c r="E17" s="9" t="n">
        <v>64</v>
      </c>
      <c r="F17" s="9" t="n">
        <v>284</v>
      </c>
      <c r="G17" s="6" t="n">
        <v>8800</v>
      </c>
      <c r="H17" s="6" t="n">
        <v>1750</v>
      </c>
      <c r="I17" s="6" t="n">
        <v>2620</v>
      </c>
    </row>
    <row r="18">
      <c r="A18" t="inlineStr">
        <is>
          <t>Total</t>
        </is>
      </c>
      <c r="B18" s="9" t="n">
        <v>248</v>
      </c>
      <c r="C18" s="9" t="n">
        <v>42</v>
      </c>
      <c r="D18" s="6" t="n">
        <v>17185</v>
      </c>
      <c r="E18" s="9" t="n">
        <v>921</v>
      </c>
      <c r="F18" s="6" t="n">
        <v>6274</v>
      </c>
      <c r="G18" s="6" t="n">
        <v>146960</v>
      </c>
      <c r="H18" s="6" t="n">
        <v>23746</v>
      </c>
      <c r="I18" s="6" t="n">
        <v>30596</v>
      </c>
    </row>
    <row r="20">
      <c r="A20" s="2" t="inlineStr">
        <is>
          <t>Transcriber's notes</t>
        </is>
      </c>
    </row>
    <row r="21">
      <c r="A21" t="inlineStr">
        <is>
          <t>Column totals: Member cos. 248, mills 42, machines 921, workers 6,274, capacity 146,960, Volume 23,746 all reconcile; Capital 17,186 vs 17,185 (rounding); Value 34,849 vs printed 30,596 — does NOT reconcile (diff 4,253; Fushun value 4,725 against volume 315 looks anomalous). Cells re-read.</t>
        </is>
      </c>
    </row>
  </sheetData>
  <hyperlinks>
    <hyperlink xmlns:r="http://schemas.openxmlformats.org/officeDocument/2006/relationships" ref="A4" r:id="rId1"/>
  </hyperlink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Export of Timber and Wood</t>
        </is>
      </c>
    </row>
    <row r="2">
      <c r="A2" t="inlineStr">
        <is>
          <t>Forestry · printed pp. 466</t>
        </is>
      </c>
    </row>
    <row r="3">
      <c r="A3" s="3" t="inlineStr">
        <is>
          <t>← Contents</t>
        </is>
      </c>
    </row>
    <row r="5">
      <c r="A5" s="5" t="inlineStr">
        <is>
          <t>Item</t>
        </is>
      </c>
      <c r="B5" s="5" t="inlineStr">
        <is>
          <t>1938 — Volume (Cubic meters)</t>
        </is>
      </c>
      <c r="C5" s="5" t="inlineStr">
        <is>
          <t>1938 — Value (M¥)</t>
        </is>
      </c>
      <c r="D5" s="5" t="inlineStr">
        <is>
          <t>1939 — Volume (Cubic meters)</t>
        </is>
      </c>
      <c r="E5" s="5" t="inlineStr">
        <is>
          <t>1939 — Value (M¥)</t>
        </is>
      </c>
      <c r="F5" s="5" t="inlineStr">
        <is>
          <t>Increase or Decrease (M¥)</t>
        </is>
      </c>
    </row>
    <row r="6">
      <c r="A6" t="inlineStr">
        <is>
          <t>Timber:</t>
        </is>
      </c>
      <c r="B6" t="inlineStr"/>
      <c r="C6" t="inlineStr"/>
      <c r="D6" t="inlineStr"/>
      <c r="E6" t="inlineStr"/>
      <c r="F6" t="inlineStr"/>
    </row>
    <row r="7">
      <c r="A7" t="inlineStr">
        <is>
          <t>Logs &amp; Cants</t>
        </is>
      </c>
      <c r="B7" s="6" t="n">
        <v>83698</v>
      </c>
      <c r="C7" s="6" t="n">
        <v>2975026</v>
      </c>
      <c r="D7" s="6" t="n">
        <v>18796</v>
      </c>
      <c r="E7" s="6" t="n">
        <v>701309</v>
      </c>
      <c r="F7" s="6" t="n">
        <v>-2273717</v>
      </c>
    </row>
    <row r="8">
      <c r="A8" t="inlineStr">
        <is>
          <t>Sawn</t>
        </is>
      </c>
      <c r="B8" s="6" t="n">
        <v>39934</v>
      </c>
      <c r="C8" s="6" t="n">
        <v>2743067</v>
      </c>
      <c r="D8" s="6" t="n">
        <v>4178</v>
      </c>
      <c r="E8" s="6" t="n">
        <v>556730</v>
      </c>
      <c r="F8" s="6" t="n">
        <v>-1186337</v>
      </c>
    </row>
    <row r="9">
      <c r="A9" t="inlineStr">
        <is>
          <t>Others</t>
        </is>
      </c>
      <c r="B9" t="inlineStr">
        <is>
          <t>—</t>
        </is>
      </c>
      <c r="C9" s="6" t="n">
        <v>36085</v>
      </c>
      <c r="D9" t="inlineStr">
        <is>
          <t>—</t>
        </is>
      </c>
      <c r="E9" s="6" t="n">
        <v>2722</v>
      </c>
      <c r="F9" t="inlineStr">
        <is>
          <t>- 33,363</t>
        </is>
      </c>
    </row>
    <row r="10">
      <c r="A10" t="inlineStr">
        <is>
          <t>Total</t>
        </is>
      </c>
      <c r="B10" t="inlineStr">
        <is>
          <t>—</t>
        </is>
      </c>
      <c r="C10" s="6" t="n">
        <v>4754178</v>
      </c>
      <c r="D10" t="inlineStr">
        <is>
          <t>—</t>
        </is>
      </c>
      <c r="E10" s="6" t="n">
        <v>1260761</v>
      </c>
      <c r="F10" s="6" t="n">
        <v>-3493417</v>
      </c>
    </row>
    <row r="11">
      <c r="A11" t="inlineStr">
        <is>
          <t>Railway Sleeper (pieces)</t>
        </is>
      </c>
      <c r="B11" s="6" t="n">
        <v>123252</v>
      </c>
      <c r="C11" s="6" t="n">
        <v>192968</v>
      </c>
      <c r="D11" s="6" t="n">
        <v>34493</v>
      </c>
      <c r="E11" s="6" t="n">
        <v>66724</v>
      </c>
      <c r="F11" t="inlineStr">
        <is>
          <t>- 126,244</t>
        </is>
      </c>
    </row>
    <row r="12">
      <c r="A12" t="inlineStr">
        <is>
          <t>Plywood (kilograms)</t>
        </is>
      </c>
      <c r="B12" s="6" t="n">
        <v>175758</v>
      </c>
      <c r="C12" s="6" t="n">
        <v>38406</v>
      </c>
      <c r="D12" s="6" t="n">
        <v>257171</v>
      </c>
      <c r="E12" s="6" t="n">
        <v>83704</v>
      </c>
      <c r="F12" s="6" t="n">
        <v>45298</v>
      </c>
    </row>
    <row r="13">
      <c r="A13" t="inlineStr">
        <is>
          <t>Grand Total</t>
        </is>
      </c>
      <c r="B13" t="inlineStr">
        <is>
          <t>—</t>
        </is>
      </c>
      <c r="C13" s="6" t="n">
        <v>4985552</v>
      </c>
      <c r="D13" t="inlineStr">
        <is>
          <t>—</t>
        </is>
      </c>
      <c r="E13" s="6" t="n">
        <v>1411189</v>
      </c>
      <c r="F13" s="6" t="n">
        <v>-3574363</v>
      </c>
    </row>
    <row r="15">
      <c r="A15" s="2" t="inlineStr">
        <is>
          <t>Transcriber's notes</t>
        </is>
      </c>
    </row>
    <row r="16">
      <c r="A16" t="inlineStr">
        <is>
          <t>Minus signs kept as printed ('-2,273,717', and '- 33,363', '- 126,244' with a space).</t>
        </is>
      </c>
    </row>
    <row r="17">
      <c r="A17" t="inlineStr">
        <is>
          <t>Timber Total 1938 value: Logs &amp; Cants + Sawn + Others = 5,754,178 vs printed 4,754,178 — does NOT reconcile (diff exactly 1,000,000). Sawn 1938 value is clearly printed 2,743,067, but its Increase/Decrease (556,730 − 2,743,067 = −2,186,337 vs printed −1,186,337) also implies 1,743,067; transcribed as printed.</t>
        </is>
      </c>
    </row>
    <row r="18">
      <c r="A18" t="inlineStr">
        <is>
          <t>Timber Total 1939 value 1,260,761 and Increase/Decrease −3,493,417 reconcile. Grand Total (Timber Total + Sleeper + Plywood): 1938 4,985,552, 1939 1,411,189, Inc/Dec −3,574,363 all reconcile.</t>
        </is>
      </c>
    </row>
    <row r="19">
      <c r="A19" t="inlineStr">
        <is>
          <t>Increase/Decrease = 1939 value − 1938 value: reconciles for every row except Sawn (above).</t>
        </is>
      </c>
    </row>
  </sheetData>
  <hyperlinks>
    <hyperlink xmlns:r="http://schemas.openxmlformats.org/officeDocument/2006/relationships" ref="A3" r:id="rId1"/>
  </hyperlink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Import of Timber and Wood</t>
        </is>
      </c>
    </row>
    <row r="2">
      <c r="A2" t="inlineStr">
        <is>
          <t>Forestry · printed pp. 466</t>
        </is>
      </c>
    </row>
    <row r="3">
      <c r="A3" s="3" t="inlineStr">
        <is>
          <t>← Contents</t>
        </is>
      </c>
    </row>
    <row r="5">
      <c r="A5" s="5" t="inlineStr">
        <is>
          <t>Item</t>
        </is>
      </c>
      <c r="B5" s="5" t="inlineStr">
        <is>
          <t>1938 — Volume (Cubic meters)</t>
        </is>
      </c>
      <c r="C5" s="5" t="inlineStr">
        <is>
          <t>1938 — Value (M¥)</t>
        </is>
      </c>
      <c r="D5" s="5" t="inlineStr">
        <is>
          <t>1939 — Volume (Cubic meters)</t>
        </is>
      </c>
      <c r="E5" s="5" t="inlineStr">
        <is>
          <t>1939 — Value (M¥)</t>
        </is>
      </c>
      <c r="F5" s="5" t="inlineStr">
        <is>
          <t>Increase or Decrease (M¥)</t>
        </is>
      </c>
    </row>
    <row r="6">
      <c r="A6" t="inlineStr">
        <is>
          <t>Hardwood:</t>
        </is>
      </c>
      <c r="B6" t="inlineStr"/>
      <c r="C6" t="inlineStr"/>
      <c r="D6" t="inlineStr"/>
      <c r="E6" t="inlineStr"/>
      <c r="F6" t="inlineStr"/>
    </row>
    <row r="7">
      <c r="A7" t="inlineStr">
        <is>
          <t>Logs &amp; Cants</t>
        </is>
      </c>
      <c r="B7" s="6" t="n">
        <v>6926</v>
      </c>
      <c r="C7" s="6" t="n">
        <v>271194</v>
      </c>
      <c r="D7" s="6" t="n">
        <v>11844</v>
      </c>
      <c r="E7" s="6" t="n">
        <v>875725</v>
      </c>
      <c r="F7" s="6" t="n">
        <v>604531</v>
      </c>
    </row>
    <row r="8">
      <c r="A8" t="inlineStr">
        <is>
          <t>Sawn</t>
        </is>
      </c>
      <c r="B8" s="6" t="n">
        <v>12170</v>
      </c>
      <c r="C8" s="6" t="n">
        <v>767229</v>
      </c>
      <c r="D8" s="6" t="n">
        <v>14499</v>
      </c>
      <c r="E8" s="6" t="n">
        <v>1481805</v>
      </c>
      <c r="F8" s="6" t="n">
        <v>714576</v>
      </c>
    </row>
    <row r="9">
      <c r="A9" t="inlineStr">
        <is>
          <t>Iron wood, etc.</t>
        </is>
      </c>
      <c r="B9" t="inlineStr">
        <is>
          <t>—</t>
        </is>
      </c>
      <c r="C9" s="6" t="n">
        <v>92141</v>
      </c>
      <c r="D9" t="inlineStr">
        <is>
          <t>—</t>
        </is>
      </c>
      <c r="E9" s="6" t="n">
        <v>206253</v>
      </c>
      <c r="F9" s="6" t="n">
        <v>96112</v>
      </c>
    </row>
    <row r="10">
      <c r="A10" t="inlineStr">
        <is>
          <t>Others</t>
        </is>
      </c>
      <c r="B10" t="inlineStr">
        <is>
          <t>—</t>
        </is>
      </c>
      <c r="C10" s="6" t="n">
        <v>163349</v>
      </c>
      <c r="D10" t="inlineStr">
        <is>
          <t>—</t>
        </is>
      </c>
      <c r="E10" s="6" t="n">
        <v>180831</v>
      </c>
      <c r="F10" s="6" t="n">
        <v>17482</v>
      </c>
    </row>
    <row r="11">
      <c r="A11" t="inlineStr">
        <is>
          <t>Total</t>
        </is>
      </c>
      <c r="B11" t="inlineStr">
        <is>
          <t>—</t>
        </is>
      </c>
      <c r="C11" s="6" t="n">
        <v>1352591</v>
      </c>
      <c r="D11" t="inlineStr">
        <is>
          <t>—</t>
        </is>
      </c>
      <c r="E11" s="6" t="n">
        <v>2752089</v>
      </c>
      <c r="F11" s="6" t="n">
        <v>1399498</v>
      </c>
    </row>
    <row r="12">
      <c r="A12" t="inlineStr">
        <is>
          <t>Softwood:</t>
        </is>
      </c>
      <c r="B12" t="inlineStr"/>
      <c r="C12" t="inlineStr"/>
      <c r="D12" t="inlineStr"/>
      <c r="E12" t="inlineStr"/>
      <c r="F12" t="inlineStr"/>
    </row>
    <row r="13">
      <c r="A13" t="inlineStr">
        <is>
          <t>Scaffolding Poles</t>
        </is>
      </c>
      <c r="B13" s="6" t="n">
        <v>42079</v>
      </c>
      <c r="C13" s="6" t="n">
        <v>1322667</v>
      </c>
      <c r="D13" s="6" t="n">
        <v>108537</v>
      </c>
      <c r="E13" s="6" t="n">
        <v>4807232</v>
      </c>
      <c r="F13" s="6" t="n">
        <v>3484565</v>
      </c>
    </row>
    <row r="14">
      <c r="A14" t="inlineStr">
        <is>
          <t>Mine Pillars</t>
        </is>
      </c>
      <c r="B14" s="6" t="n">
        <v>124759</v>
      </c>
      <c r="C14" s="6" t="n">
        <v>1653177</v>
      </c>
      <c r="D14" s="6" t="n">
        <v>31959</v>
      </c>
      <c r="E14" s="6" t="n">
        <v>567397</v>
      </c>
      <c r="F14" s="6" t="n">
        <v>-1085780</v>
      </c>
    </row>
    <row r="15">
      <c r="A15" t="inlineStr">
        <is>
          <t>Other logs &amp; Cants</t>
        </is>
      </c>
      <c r="B15" s="6" t="n">
        <v>61617</v>
      </c>
      <c r="C15" s="6" t="n">
        <v>2255641</v>
      </c>
      <c r="D15" s="6" t="n">
        <v>147351</v>
      </c>
      <c r="E15" s="6" t="n">
        <v>7643414</v>
      </c>
      <c r="F15" s="6" t="n">
        <v>5387773</v>
      </c>
    </row>
    <row r="16">
      <c r="A16" t="inlineStr">
        <is>
          <t>Sawn</t>
        </is>
      </c>
      <c r="B16" s="6" t="n">
        <v>155921</v>
      </c>
      <c r="C16" s="6" t="n">
        <v>7421406</v>
      </c>
      <c r="D16" s="6" t="n">
        <v>742676</v>
      </c>
      <c r="E16" s="6" t="n">
        <v>46251381</v>
      </c>
      <c r="F16" s="6" t="n">
        <v>38829975</v>
      </c>
    </row>
    <row r="17">
      <c r="A17" t="inlineStr">
        <is>
          <t>Total incl. Others</t>
        </is>
      </c>
      <c r="B17" t="inlineStr">
        <is>
          <t>—</t>
        </is>
      </c>
      <c r="C17" s="6" t="n">
        <v>12816231</v>
      </c>
      <c r="D17" t="inlineStr">
        <is>
          <t>—</t>
        </is>
      </c>
      <c r="E17" s="6" t="n">
        <v>59450255</v>
      </c>
      <c r="F17" s="6" t="n">
        <v>46634024</v>
      </c>
    </row>
    <row r="18">
      <c r="A18" t="inlineStr">
        <is>
          <t>Railway Sleeper</t>
        </is>
      </c>
      <c r="B18" s="6" t="n">
        <v>9581</v>
      </c>
      <c r="C18" s="6" t="n">
        <v>242039</v>
      </c>
      <c r="D18" s="6" t="n">
        <v>52423</v>
      </c>
      <c r="E18" s="6" t="n">
        <v>2531661</v>
      </c>
      <c r="F18" s="6" t="n">
        <v>2289622</v>
      </c>
    </row>
    <row r="19">
      <c r="A19" t="inlineStr">
        <is>
          <t>Plywood (m. tons)</t>
        </is>
      </c>
      <c r="B19" s="6" t="n">
        <v>6914</v>
      </c>
      <c r="C19" s="6" t="n">
        <v>1806081</v>
      </c>
      <c r="D19" s="6" t="n">
        <v>15304</v>
      </c>
      <c r="E19" s="6" t="n">
        <v>5306088</v>
      </c>
      <c r="F19" s="6" t="n">
        <v>3500007</v>
      </c>
    </row>
    <row r="20">
      <c r="A20" t="inlineStr">
        <is>
          <t>Flooring</t>
        </is>
      </c>
      <c r="B20" t="inlineStr">
        <is>
          <t>—</t>
        </is>
      </c>
      <c r="C20" s="6" t="n">
        <v>412754</v>
      </c>
      <c r="D20" t="inlineStr">
        <is>
          <t>—</t>
        </is>
      </c>
      <c r="E20" s="6" t="n">
        <v>1145366</v>
      </c>
      <c r="F20" s="6" t="n">
        <v>732612</v>
      </c>
    </row>
    <row r="21">
      <c r="A21" t="inlineStr">
        <is>
          <t>Grand Total</t>
        </is>
      </c>
      <c r="B21" t="inlineStr">
        <is>
          <t>—</t>
        </is>
      </c>
      <c r="C21" s="6" t="n">
        <v>16599772</v>
      </c>
      <c r="D21" t="inlineStr">
        <is>
          <t>—</t>
        </is>
      </c>
      <c r="E21" s="6" t="n">
        <v>73240602</v>
      </c>
      <c r="F21" s="6" t="n">
        <v>56640830</v>
      </c>
    </row>
    <row r="23">
      <c r="A23" s="2" t="inlineStr">
        <is>
          <t>Transcriber's notes</t>
        </is>
      </c>
    </row>
    <row r="24">
      <c r="A24" t="inlineStr">
        <is>
          <t>Hardwood Total: parts (Logs &amp; Cants, Sawn, Iron wood, Others) sum 1938 1,293,913 vs printed 1,352,591 — does NOT reconcile (diff 58,678); 1939 2,744,614 vs 2,752,089 — does NOT reconcile (diff 7,475); Inc/Dec 1,432,701 vs 1,399,498 — does NOT reconcile (diff −33,203). Cells re-read.</t>
        </is>
      </c>
    </row>
    <row r="25">
      <c r="A25" t="inlineStr">
        <is>
          <t>Softwood 'Total incl. Others' includes an unlisted 'others' item, so listed parts (1938 12,652,891; 1939 59,269,424; Inc/Dec 46,616,533) are below the printed totals as expected.</t>
        </is>
      </c>
    </row>
    <row r="26">
      <c r="A26" t="inlineStr">
        <is>
          <t>Grand Total (Hardwood Total + Softwood Total + Railway Sleeper + Plywood + Flooring): 1938 16,629,696 vs printed 16,599,772 — does NOT reconcile (diff −29,924); 1939 71,185,459 vs 73,240,602 — does NOT reconcile (diff 2,055,143); Inc/Dec 54,555,763 vs 56,640,830 — does NOT reconcile (diff 2,085,067). (The Grand Total may include items not listed.)</t>
        </is>
      </c>
    </row>
    <row r="27">
      <c r="A27" t="inlineStr">
        <is>
          <t>Increase/Decrease = 1939 − 1938 value: reconciles for every row except Iron wood, etc. (206,253 − 92,141 = 114,112 vs printed 96,112) and Hardwood Total (2,752,089 − 1,352,591 = 1,399,498 reconciles).</t>
        </is>
      </c>
    </row>
  </sheetData>
  <hyperlinks>
    <hyperlink xmlns:r="http://schemas.openxmlformats.org/officeDocument/2006/relationships" ref="A3" r:id="rId1"/>
  </hyperlink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Indice of Timber Industry</t>
        </is>
      </c>
    </row>
    <row r="2">
      <c r="A2" t="inlineStr">
        <is>
          <t>Forestry · printed pp. 466</t>
        </is>
      </c>
    </row>
    <row r="3">
      <c r="A3" s="3" t="inlineStr">
        <is>
          <t>← Contents</t>
        </is>
      </c>
    </row>
    <row r="5">
      <c r="A5" s="5" t="inlineStr">
        <is>
          <t>Year</t>
        </is>
      </c>
      <c r="B5" s="5" t="inlineStr">
        <is>
          <t>Timber Wholesale price (Hsinking)</t>
        </is>
      </c>
      <c r="C5" s="5" t="inlineStr">
        <is>
          <t>Output</t>
        </is>
      </c>
      <c r="D5" s="5" t="inlineStr">
        <is>
          <t>Consumption</t>
        </is>
      </c>
      <c r="E5" s="5" t="inlineStr">
        <is>
          <t>Construction contract amount</t>
        </is>
      </c>
    </row>
    <row r="6">
      <c r="A6" s="9" t="n">
        <v>1934</v>
      </c>
      <c r="B6" s="8" t="n">
        <v>86</v>
      </c>
      <c r="C6" s="8" t="n">
        <v>90.7</v>
      </c>
      <c r="D6" s="8" t="n">
        <v>73</v>
      </c>
      <c r="E6" s="8" t="n">
        <v>114</v>
      </c>
    </row>
    <row r="7">
      <c r="A7" s="9" t="n">
        <v>1935</v>
      </c>
      <c r="B7" s="8" t="n">
        <v>84.7</v>
      </c>
      <c r="C7" s="8" t="n">
        <v>103.7</v>
      </c>
      <c r="D7" s="8" t="n">
        <v>99.7</v>
      </c>
      <c r="E7" s="8" t="n">
        <v>110.4</v>
      </c>
    </row>
    <row r="8">
      <c r="A8" s="9" t="n">
        <v>1936</v>
      </c>
      <c r="B8" s="8" t="n">
        <v>100</v>
      </c>
      <c r="C8" s="8" t="n">
        <v>100</v>
      </c>
      <c r="D8" s="8" t="n">
        <v>100</v>
      </c>
      <c r="E8" s="8" t="n">
        <v>100</v>
      </c>
    </row>
    <row r="9">
      <c r="A9" s="9" t="n">
        <v>1937</v>
      </c>
      <c r="B9" s="8" t="n">
        <v>133.9</v>
      </c>
      <c r="C9" s="8" t="n">
        <v>151.6</v>
      </c>
      <c r="D9" s="8" t="n">
        <v>150.2</v>
      </c>
      <c r="E9" s="8" t="n">
        <v>119.3</v>
      </c>
    </row>
    <row r="10">
      <c r="A10" s="9" t="n">
        <v>1938</v>
      </c>
      <c r="B10" s="8" t="n">
        <v>203.1</v>
      </c>
      <c r="C10" s="8" t="n">
        <v>199.7</v>
      </c>
      <c r="D10" s="8" t="n">
        <v>172.8</v>
      </c>
      <c r="E10" s="8" t="n">
        <v>215.8</v>
      </c>
    </row>
    <row r="11">
      <c r="A11" s="9" t="n">
        <v>1939</v>
      </c>
      <c r="B11" s="8" t="n">
        <v>251.1</v>
      </c>
      <c r="C11" t="inlineStr">
        <is>
          <t>—</t>
        </is>
      </c>
      <c r="D11" t="inlineStr">
        <is>
          <t>—</t>
        </is>
      </c>
      <c r="E11" t="inlineStr">
        <is>
          <t>—</t>
        </is>
      </c>
    </row>
    <row r="13">
      <c r="A13" s="2" t="inlineStr">
        <is>
          <t>Transcriber's notes</t>
        </is>
      </c>
    </row>
    <row r="14">
      <c r="A14" t="inlineStr">
        <is>
          <t>Construction contract amount column is printed half a row above the stubs; assigned in order (1936 = 100.0 base, consistent with other columns). No totals.</t>
        </is>
      </c>
    </row>
  </sheetData>
  <hyperlinks>
    <hyperlink xmlns:r="http://schemas.openxmlformats.org/officeDocument/2006/relationships" ref="A3" r:id="rId1"/>
  </hyperlink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8. Forestry Offices in Manchoukuo</t>
        </is>
      </c>
    </row>
    <row r="2">
      <c r="A2" t="inlineStr">
        <is>
          <t>Forestry · printed pp. 467</t>
        </is>
      </c>
    </row>
    <row r="3">
      <c r="A3" t="inlineStr">
        <is>
          <t>(Oct. 1941)</t>
        </is>
      </c>
    </row>
    <row r="4">
      <c r="A4" s="3" t="inlineStr">
        <is>
          <t>← Contents</t>
        </is>
      </c>
    </row>
    <row r="6">
      <c r="A6" s="5" t="inlineStr">
        <is>
          <t>Office</t>
        </is>
      </c>
      <c r="B6" s="5" t="inlineStr">
        <is>
          <t>Pref.</t>
        </is>
      </c>
      <c r="C6" s="5" t="inlineStr">
        <is>
          <t>Prov.</t>
        </is>
      </c>
    </row>
    <row r="7">
      <c r="A7" t="inlineStr">
        <is>
          <t>Chaoyangchen</t>
        </is>
      </c>
      <c r="B7" t="inlineStr">
        <is>
          <t>Hailung</t>
        </is>
      </c>
      <c r="C7" t="inlineStr">
        <is>
          <t>Fengtien</t>
        </is>
      </c>
    </row>
    <row r="8">
      <c r="A8" t="inlineStr">
        <is>
          <t>Antung</t>
        </is>
      </c>
      <c r="B8" t="inlineStr">
        <is>
          <t>Antung C.</t>
        </is>
      </c>
      <c r="C8" t="inlineStr">
        <is>
          <t>Antung</t>
        </is>
      </c>
    </row>
    <row r="9">
      <c r="A9" t="inlineStr">
        <is>
          <t>Tunghua</t>
        </is>
      </c>
      <c r="B9" t="inlineStr">
        <is>
          <t>Tunghua</t>
        </is>
      </c>
      <c r="C9" t="inlineStr">
        <is>
          <t>Tunghua</t>
        </is>
      </c>
    </row>
    <row r="10">
      <c r="A10" t="inlineStr">
        <is>
          <t>Fusung</t>
        </is>
      </c>
      <c r="B10" t="inlineStr">
        <is>
          <t>Fusung</t>
        </is>
      </c>
      <c r="C10" t="inlineStr">
        <is>
          <t>"</t>
        </is>
      </c>
    </row>
    <row r="11">
      <c r="A11" t="inlineStr">
        <is>
          <t>Hunchun</t>
        </is>
      </c>
      <c r="B11" t="inlineStr">
        <is>
          <t>Hunchun</t>
        </is>
      </c>
      <c r="C11" t="inlineStr">
        <is>
          <t>Chientao</t>
        </is>
      </c>
    </row>
    <row r="12">
      <c r="A12" t="inlineStr">
        <is>
          <t>Tumen</t>
        </is>
      </c>
      <c r="B12" t="inlineStr">
        <is>
          <t>Yenki</t>
        </is>
      </c>
      <c r="C12" t="inlineStr">
        <is>
          <t>"</t>
        </is>
      </c>
    </row>
    <row r="13">
      <c r="A13" t="inlineStr">
        <is>
          <t>Hwa-tien</t>
        </is>
      </c>
      <c r="B13" t="inlineStr">
        <is>
          <t>Hwa-tien</t>
        </is>
      </c>
      <c r="C13" t="inlineStr">
        <is>
          <t>Kirin</t>
        </is>
      </c>
    </row>
    <row r="14">
      <c r="A14" t="inlineStr">
        <is>
          <t>Lungtsing</t>
        </is>
      </c>
      <c r="B14" t="inlineStr">
        <is>
          <t>Yenki</t>
        </is>
      </c>
      <c r="C14" t="inlineStr">
        <is>
          <t>Chientao</t>
        </is>
      </c>
    </row>
    <row r="15">
      <c r="A15" t="inlineStr">
        <is>
          <t>Tunhua</t>
        </is>
      </c>
      <c r="B15" t="inlineStr">
        <is>
          <t>Kirin C.</t>
        </is>
      </c>
      <c r="C15" t="inlineStr">
        <is>
          <t>Kirin</t>
        </is>
      </c>
    </row>
    <row r="16">
      <c r="A16" t="inlineStr">
        <is>
          <t>Wuchang</t>
        </is>
      </c>
      <c r="B16" t="inlineStr">
        <is>
          <t>Wuchang</t>
        </is>
      </c>
      <c r="C16" t="inlineStr">
        <is>
          <t>Pinkiang</t>
        </is>
      </c>
    </row>
    <row r="17">
      <c r="A17" t="inlineStr">
        <is>
          <t>Harbin</t>
        </is>
      </c>
      <c r="B17" t="inlineStr">
        <is>
          <t>Harbin C.</t>
        </is>
      </c>
      <c r="C17" t="inlineStr">
        <is>
          <t>"</t>
        </is>
      </c>
    </row>
    <row r="18">
      <c r="A18" t="inlineStr">
        <is>
          <t>Imienpo</t>
        </is>
      </c>
      <c r="B18" t="inlineStr">
        <is>
          <t>Chuho</t>
        </is>
      </c>
      <c r="C18" t="inlineStr">
        <is>
          <t>"</t>
        </is>
      </c>
    </row>
    <row r="19">
      <c r="A19" t="inlineStr">
        <is>
          <t>Mutankiang</t>
        </is>
      </c>
      <c r="B19" t="inlineStr">
        <is>
          <t>Mutankiang C.</t>
        </is>
      </c>
      <c r="C19" t="inlineStr">
        <is>
          <t>Mutankiang</t>
        </is>
      </c>
    </row>
    <row r="20">
      <c r="A20" t="inlineStr">
        <is>
          <t>Ningan</t>
        </is>
      </c>
      <c r="B20" t="inlineStr">
        <is>
          <t>Ningan</t>
        </is>
      </c>
      <c r="C20" t="inlineStr">
        <is>
          <t>"</t>
        </is>
      </c>
    </row>
    <row r="21">
      <c r="A21" t="inlineStr">
        <is>
          <t>Mulin</t>
        </is>
      </c>
      <c r="B21" t="inlineStr">
        <is>
          <t>Mulin</t>
        </is>
      </c>
      <c r="C21" t="inlineStr">
        <is>
          <t>Mutankiang</t>
        </is>
      </c>
    </row>
    <row r="22">
      <c r="A22" t="inlineStr">
        <is>
          <t>Poli</t>
        </is>
      </c>
      <c r="B22" t="inlineStr">
        <is>
          <t>Poli</t>
        </is>
      </c>
      <c r="C22" t="inlineStr">
        <is>
          <t>Sankiang</t>
        </is>
      </c>
    </row>
    <row r="23">
      <c r="A23" t="inlineStr">
        <is>
          <t>Hulin</t>
        </is>
      </c>
      <c r="B23" t="inlineStr">
        <is>
          <t>Mishan</t>
        </is>
      </c>
      <c r="C23" t="inlineStr">
        <is>
          <t>Tungan</t>
        </is>
      </c>
    </row>
    <row r="24">
      <c r="A24" t="inlineStr">
        <is>
          <t>Chiamussu</t>
        </is>
      </c>
      <c r="B24" t="inlineStr">
        <is>
          <t>Chiamussu C.</t>
        </is>
      </c>
      <c r="C24" t="inlineStr">
        <is>
          <t>Sankiang</t>
        </is>
      </c>
    </row>
    <row r="25">
      <c r="A25" t="inlineStr">
        <is>
          <t>Tangyuan</t>
        </is>
      </c>
      <c r="B25" t="inlineStr">
        <is>
          <t>Tangyuan</t>
        </is>
      </c>
      <c r="C25" t="inlineStr">
        <is>
          <t>"</t>
        </is>
      </c>
    </row>
    <row r="26">
      <c r="A26" t="inlineStr">
        <is>
          <t>Tungho</t>
        </is>
      </c>
      <c r="B26" t="inlineStr">
        <is>
          <t>Tungho</t>
        </is>
      </c>
      <c r="C26" t="inlineStr">
        <is>
          <t>"</t>
        </is>
      </c>
    </row>
    <row r="27">
      <c r="A27" t="inlineStr">
        <is>
          <t>Suihua</t>
        </is>
      </c>
      <c r="B27" t="inlineStr">
        <is>
          <t>Suihua</t>
        </is>
      </c>
      <c r="C27" t="inlineStr">
        <is>
          <t>Peian</t>
        </is>
      </c>
    </row>
    <row r="28">
      <c r="A28" t="inlineStr">
        <is>
          <t>Peian</t>
        </is>
      </c>
      <c r="B28" t="inlineStr">
        <is>
          <t>Peian</t>
        </is>
      </c>
      <c r="C28" t="inlineStr">
        <is>
          <t>Peinan</t>
        </is>
      </c>
    </row>
    <row r="29">
      <c r="A29" t="inlineStr">
        <is>
          <t>Heiho</t>
        </is>
      </c>
      <c r="B29" t="inlineStr">
        <is>
          <t>Aigun</t>
        </is>
      </c>
      <c r="C29" t="inlineStr">
        <is>
          <t>Heiho</t>
        </is>
      </c>
    </row>
    <row r="30">
      <c r="A30" t="inlineStr">
        <is>
          <t>Tsitsihar</t>
        </is>
      </c>
      <c r="B30" t="inlineStr">
        <is>
          <t>Tsitsihar C.</t>
        </is>
      </c>
      <c r="C30" t="inlineStr">
        <is>
          <t>Lungkiang</t>
        </is>
      </c>
    </row>
    <row r="31">
      <c r="A31" t="inlineStr">
        <is>
          <t>Chalan-tun</t>
        </is>
      </c>
      <c r="B31" t="inlineStr">
        <is>
          <t>Chiterha Bnr.</t>
        </is>
      </c>
      <c r="C31" t="inlineStr">
        <is>
          <t>E. Hsingan</t>
        </is>
      </c>
    </row>
    <row r="32">
      <c r="A32" t="inlineStr">
        <is>
          <t>Sanho</t>
        </is>
      </c>
      <c r="B32" t="inlineStr">
        <is>
          <t>Noerkona L. Banner</t>
        </is>
      </c>
      <c r="C32" t="inlineStr">
        <is>
          <t>N. Hsingan</t>
        </is>
      </c>
    </row>
    <row r="33">
      <c r="A33" t="inlineStr">
        <is>
          <t>Hailar</t>
        </is>
      </c>
      <c r="B33" t="inlineStr">
        <is>
          <t>Hailar C.</t>
        </is>
      </c>
      <c r="C33" t="inlineStr">
        <is>
          <t>"</t>
        </is>
      </c>
    </row>
    <row r="34">
      <c r="A34" t="inlineStr">
        <is>
          <t>A-ar-shan</t>
        </is>
      </c>
      <c r="B34" t="inlineStr">
        <is>
          <t>Hsinpaerhu L. Banner</t>
        </is>
      </c>
      <c r="C34" t="inlineStr">
        <is>
          <t>"</t>
        </is>
      </c>
    </row>
    <row r="35">
      <c r="A35" t="inlineStr">
        <is>
          <t>Chengteh</t>
        </is>
      </c>
      <c r="B35" t="inlineStr">
        <is>
          <t>Chengteh</t>
        </is>
      </c>
      <c r="C35" t="inlineStr">
        <is>
          <t>Jehol</t>
        </is>
      </c>
    </row>
    <row r="37">
      <c r="A37" s="2" t="inlineStr">
        <is>
          <t>Transcriber's notes</t>
        </is>
      </c>
    </row>
    <row r="38">
      <c r="A38" t="inlineStr">
        <is>
          <t>Printed in two side-by-side blocks; merged (left block then right block). Ditto marks (") kept as printed.</t>
        </is>
      </c>
    </row>
    <row r="39">
      <c r="A39" t="inlineStr">
        <is>
          <t>Left-block office names are printed skewed about half a line below their Pref./Prov. entries; paired in order (15 offices, 15 prefs, 15 provs). 'Chaoyang-chen' printed hyphenated across two lines; joined.</t>
        </is>
      </c>
    </row>
    <row r="40">
      <c r="A40" t="inlineStr">
        <is>
          <t>Peian office Prov. printed 'Peinan' (sic).</t>
        </is>
      </c>
    </row>
  </sheetData>
  <hyperlinks>
    <hyperlink xmlns:r="http://schemas.openxmlformats.org/officeDocument/2006/relationships" ref="A4" r:id="rId1"/>
  </hyperlink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9. Pulp Companies in Manchoukuo and Kwantung</t>
        </is>
      </c>
    </row>
    <row r="2">
      <c r="A2" t="inlineStr">
        <is>
          <t>Forestry · printed pp. 468, 469</t>
        </is>
      </c>
    </row>
    <row r="3">
      <c r="A3" t="inlineStr">
        <is>
          <t>(End of Sept. 1940)</t>
        </is>
      </c>
    </row>
    <row r="4">
      <c r="A4" s="3" t="inlineStr">
        <is>
          <t>← Contents</t>
        </is>
      </c>
    </row>
    <row r="6">
      <c r="A6" s="5" t="inlineStr">
        <is>
          <t>Company</t>
        </is>
      </c>
      <c r="B6" s="5" t="inlineStr">
        <is>
          <t>Nominal Capital (M¥1,000)</t>
        </is>
      </c>
      <c r="C6" s="5" t="inlineStr">
        <is>
          <t>Capacity per year (M. tons)</t>
        </is>
      </c>
      <c r="D6" s="5" t="inlineStr">
        <is>
          <t>Affiliation</t>
        </is>
      </c>
      <c r="E6" s="5" t="inlineStr">
        <is>
          <t>Factory</t>
        </is>
      </c>
    </row>
    <row r="7">
      <c r="A7" t="inlineStr">
        <is>
          <t>Yalu Seishi Pulp Co.</t>
        </is>
      </c>
      <c r="B7" s="6" t="n">
        <v>5000</v>
      </c>
      <c r="C7" s="6" t="n">
        <v>18000</v>
      </c>
      <c r="D7" t="inlineStr">
        <is>
          <t>Oji Interest</t>
        </is>
      </c>
      <c r="E7" t="inlineStr">
        <is>
          <t>Antung</t>
        </is>
      </c>
    </row>
    <row r="8">
      <c r="A8" t="inlineStr">
        <is>
          <t>Manchuria Pulp Co.</t>
        </is>
      </c>
      <c r="B8" s="6" t="n">
        <v>10000</v>
      </c>
      <c r="C8" s="6" t="n">
        <v>15000</v>
      </c>
      <c r="D8" t="inlineStr">
        <is>
          <t>Mitsubishi "</t>
        </is>
      </c>
      <c r="E8" t="inlineStr">
        <is>
          <t>Hualin</t>
        </is>
      </c>
    </row>
    <row r="9">
      <c r="A9" t="inlineStr">
        <is>
          <t>Nichi-Man Pulp Co.</t>
        </is>
      </c>
      <c r="B9" s="6" t="n">
        <v>10000</v>
      </c>
      <c r="C9" s="6" t="n">
        <v>15000</v>
      </c>
      <c r="D9" t="inlineStr">
        <is>
          <t>Oji "</t>
        </is>
      </c>
      <c r="E9" t="inlineStr">
        <is>
          <t>Tunhua</t>
        </is>
      </c>
    </row>
    <row r="10">
      <c r="A10" t="inlineStr">
        <is>
          <t>Toyo Pulp Co.</t>
        </is>
      </c>
      <c r="B10" s="6" t="n">
        <v>10000</v>
      </c>
      <c r="C10" s="6" t="n">
        <v>15000</v>
      </c>
      <c r="D10" t="inlineStr">
        <is>
          <t>Kawanishi "</t>
        </is>
      </c>
      <c r="E10" t="inlineStr">
        <is>
          <t>Tungchingcheng</t>
        </is>
      </c>
    </row>
    <row r="11">
      <c r="A11" t="inlineStr">
        <is>
          <t>Toho Pulp Ind. Co.</t>
        </is>
      </c>
      <c r="B11" s="6" t="n">
        <v>30000</v>
      </c>
      <c r="C11" s="6" t="n">
        <v>15000</v>
      </c>
      <c r="D11" t="inlineStr">
        <is>
          <t>Kanebo "</t>
        </is>
      </c>
      <c r="E11" t="inlineStr">
        <is>
          <t>Kaishantun</t>
        </is>
      </c>
    </row>
    <row r="12">
      <c r="A12" t="inlineStr">
        <is>
          <t>Chinchow Pulp Co.</t>
        </is>
      </c>
      <c r="B12" s="6" t="n">
        <v>30000</v>
      </c>
      <c r="C12" s="6" t="n">
        <v>15000</v>
      </c>
      <c r="D12" t="inlineStr">
        <is>
          <t>Oji "</t>
        </is>
      </c>
      <c r="E12" t="inlineStr">
        <is>
          <t>Chinchow</t>
        </is>
      </c>
    </row>
    <row r="13">
      <c r="A13" t="inlineStr">
        <is>
          <t>Kangteh Reed Pulp Co.</t>
        </is>
      </c>
      <c r="B13" s="6" t="n">
        <v>5000</v>
      </c>
      <c r="C13" s="6" t="n">
        <v>15000</v>
      </c>
      <c r="D13" t="inlineStr">
        <is>
          <t>—</t>
        </is>
      </c>
      <c r="E13" t="inlineStr">
        <is>
          <t>Yingkow</t>
        </is>
      </c>
    </row>
    <row r="14">
      <c r="A14" t="inlineStr">
        <is>
          <t>Manchou Bean Pulp Co.</t>
        </is>
      </c>
      <c r="B14" s="6" t="n">
        <v>10000</v>
      </c>
      <c r="C14" s="6" t="n">
        <v>15000</v>
      </c>
      <c r="D14" t="inlineStr">
        <is>
          <t>Nomura "</t>
        </is>
      </c>
      <c r="E14" t="inlineStr">
        <is>
          <t>Fengtien</t>
        </is>
      </c>
    </row>
    <row r="15">
      <c r="A15" t="inlineStr">
        <is>
          <t>Total</t>
        </is>
      </c>
      <c r="B15" s="6" t="n">
        <v>110000</v>
      </c>
      <c r="C15" s="6" t="n">
        <v>138000</v>
      </c>
      <c r="D15" t="inlineStr">
        <is>
          <t>—</t>
        </is>
      </c>
      <c r="E15" t="inlineStr">
        <is>
          <t>—</t>
        </is>
      </c>
    </row>
    <row r="17">
      <c r="A17" s="2" t="inlineStr">
        <is>
          <t>Transcriber's notes</t>
        </is>
      </c>
    </row>
    <row r="18">
      <c r="A18" t="inlineStr">
        <is>
          <t>Begins p. 468 (3 companies), continues p. 469 with repeated headings (no '(Continued)' label); merged. Ditto (") after affiliations stands for 'Interest'; kept as printed.</t>
        </is>
      </c>
    </row>
    <row r="19">
      <c r="A19" t="inlineStr">
        <is>
          <t>Totals: Capital parts 110,000 — reconciles; Capacity parts 138,000 — reconciles (18,000 + 8 × 15,000).</t>
        </is>
      </c>
    </row>
  </sheetData>
  <hyperlinks>
    <hyperlink xmlns:r="http://schemas.openxmlformats.org/officeDocument/2006/relationships" ref="A4" r:id="rId1"/>
  </hyperlink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10. Area of Forests in Kwantung by Ownership</t>
        </is>
      </c>
    </row>
    <row r="2">
      <c r="A2" t="inlineStr">
        <is>
          <t>Forestry · printed pp. 469</t>
        </is>
      </c>
    </row>
    <row r="3">
      <c r="A3" t="inlineStr">
        <is>
          <t>(Unit in Cho; 1 Cho=2.45 acres)</t>
        </is>
      </c>
    </row>
    <row r="4">
      <c r="A4" s="3" t="inlineStr">
        <is>
          <t>← Contents</t>
        </is>
      </c>
    </row>
    <row r="6">
      <c r="A6" s="5" t="inlineStr">
        <is>
          <t>Year / District</t>
        </is>
      </c>
      <c r="B6" s="5" t="inlineStr">
        <is>
          <t>Area of Forest — Government</t>
        </is>
      </c>
      <c r="C6" s="5" t="inlineStr">
        <is>
          <t>Area of Forest — Private</t>
        </is>
      </c>
      <c r="D6" s="5" t="inlineStr">
        <is>
          <t>Area of Forest — Total</t>
        </is>
      </c>
      <c r="E6" s="5" t="inlineStr">
        <is>
          <t>Area of Afforestation — Gov't</t>
        </is>
      </c>
      <c r="F6" s="5" t="inlineStr">
        <is>
          <t>Area of Afforestation — Public</t>
        </is>
      </c>
      <c r="G6" s="5" t="inlineStr">
        <is>
          <t>Area of Afforestation — Private</t>
        </is>
      </c>
      <c r="H6" s="5" t="inlineStr">
        <is>
          <t>Area of Afforestation — Total</t>
        </is>
      </c>
    </row>
    <row r="7">
      <c r="A7" s="9" t="n">
        <v>1932</v>
      </c>
      <c r="B7" s="6" t="n">
        <v>78613</v>
      </c>
      <c r="C7" s="6" t="n">
        <v>15523</v>
      </c>
      <c r="D7" s="6" t="n">
        <v>94136</v>
      </c>
      <c r="E7" s="9" t="n">
        <v>301</v>
      </c>
      <c r="F7" s="9" t="n">
        <v>760</v>
      </c>
      <c r="G7" s="9" t="n">
        <v>952</v>
      </c>
      <c r="H7" s="6" t="n">
        <v>2014</v>
      </c>
    </row>
    <row r="8">
      <c r="A8" s="9" t="n">
        <v>1933</v>
      </c>
      <c r="B8" s="6" t="n">
        <v>78701</v>
      </c>
      <c r="C8" s="6" t="n">
        <v>15455</v>
      </c>
      <c r="D8" s="6" t="n">
        <v>94146</v>
      </c>
      <c r="E8" s="9" t="n">
        <v>303</v>
      </c>
      <c r="F8" s="9" t="n">
        <v>702</v>
      </c>
      <c r="G8" s="9" t="n">
        <v>685</v>
      </c>
      <c r="H8" s="6" t="n">
        <v>1690</v>
      </c>
    </row>
    <row r="9">
      <c r="A9" s="9" t="n">
        <v>1934</v>
      </c>
      <c r="B9" s="6" t="n">
        <v>78138</v>
      </c>
      <c r="C9" s="6" t="n">
        <v>15744</v>
      </c>
      <c r="D9" s="6" t="n">
        <v>93883</v>
      </c>
      <c r="E9" s="9" t="n">
        <v>276</v>
      </c>
      <c r="F9" s="9" t="n">
        <v>493</v>
      </c>
      <c r="G9" s="9" t="n">
        <v>724</v>
      </c>
      <c r="H9" s="6" t="n">
        <v>1494</v>
      </c>
    </row>
    <row r="10">
      <c r="A10" s="9" t="n">
        <v>1935</v>
      </c>
      <c r="B10" s="6" t="n">
        <v>72457</v>
      </c>
      <c r="C10" s="6" t="n">
        <v>20422</v>
      </c>
      <c r="D10" s="6" t="n">
        <v>92878</v>
      </c>
      <c r="E10" s="9" t="n">
        <v>111</v>
      </c>
      <c r="F10" s="9" t="n">
        <v>237</v>
      </c>
      <c r="G10" s="9" t="n">
        <v>648</v>
      </c>
      <c r="H10" s="9" t="n">
        <v>996</v>
      </c>
    </row>
    <row r="11">
      <c r="A11" s="9" t="n">
        <v>1936</v>
      </c>
      <c r="B11" s="6" t="n">
        <v>66535</v>
      </c>
      <c r="C11" s="6" t="n">
        <v>23899</v>
      </c>
      <c r="D11" s="6" t="n">
        <v>90434</v>
      </c>
      <c r="E11" s="9" t="n">
        <v>49</v>
      </c>
      <c r="F11" s="9" t="n">
        <v>241</v>
      </c>
      <c r="G11" s="9" t="n">
        <v>429</v>
      </c>
      <c r="H11" s="9" t="n">
        <v>718</v>
      </c>
    </row>
    <row r="12">
      <c r="A12" s="9" t="n">
        <v>1937</v>
      </c>
      <c r="B12" s="6" t="n">
        <v>59219</v>
      </c>
      <c r="C12" s="6" t="n">
        <v>30424</v>
      </c>
      <c r="D12" s="6" t="n">
        <v>89643</v>
      </c>
      <c r="E12" s="9" t="n">
        <v>256</v>
      </c>
      <c r="F12" s="9" t="n">
        <v>167</v>
      </c>
      <c r="G12" s="9" t="n">
        <v>383</v>
      </c>
      <c r="H12" s="9" t="n">
        <v>806</v>
      </c>
    </row>
    <row r="13">
      <c r="A13" s="9" t="n">
        <v>1938</v>
      </c>
      <c r="B13" s="6" t="n">
        <v>58209</v>
      </c>
      <c r="C13" s="6" t="n">
        <v>30394</v>
      </c>
      <c r="D13" s="6" t="n">
        <v>88593</v>
      </c>
      <c r="E13" s="9" t="n">
        <v>208</v>
      </c>
      <c r="F13" s="9" t="n">
        <v>195</v>
      </c>
      <c r="G13" s="9" t="n">
        <v>345</v>
      </c>
      <c r="H13" s="9" t="n">
        <v>748</v>
      </c>
    </row>
    <row r="14">
      <c r="A14" t="inlineStr">
        <is>
          <t>1938:</t>
        </is>
      </c>
      <c r="B14" t="inlineStr"/>
      <c r="C14" t="inlineStr"/>
      <c r="D14" t="inlineStr"/>
      <c r="E14" t="inlineStr"/>
      <c r="F14" t="inlineStr"/>
      <c r="G14" t="inlineStr"/>
      <c r="H14" t="inlineStr"/>
    </row>
    <row r="15">
      <c r="A15" t="inlineStr">
        <is>
          <t>Dairen</t>
        </is>
      </c>
      <c r="B15" s="6" t="n">
        <v>5437</v>
      </c>
      <c r="C15" s="9" t="n">
        <v>37</v>
      </c>
      <c r="D15" s="6" t="n">
        <v>5474</v>
      </c>
      <c r="E15" s="9" t="n">
        <v>78</v>
      </c>
      <c r="F15" t="inlineStr">
        <is>
          <t>—</t>
        </is>
      </c>
      <c r="G15" s="9" t="n">
        <v>17</v>
      </c>
      <c r="H15" s="9" t="n">
        <v>95</v>
      </c>
    </row>
    <row r="16">
      <c r="A16" t="inlineStr">
        <is>
          <t>Port Arthur</t>
        </is>
      </c>
      <c r="B16" s="6" t="n">
        <v>25700</v>
      </c>
      <c r="C16" s="6" t="n">
        <v>7201</v>
      </c>
      <c r="D16" s="6" t="n">
        <v>32901</v>
      </c>
      <c r="E16" s="9" t="n">
        <v>29</v>
      </c>
      <c r="F16" s="9" t="n">
        <v>23</v>
      </c>
      <c r="G16" s="9" t="n">
        <v>3</v>
      </c>
      <c r="H16" s="9" t="n">
        <v>55</v>
      </c>
    </row>
    <row r="17">
      <c r="A17" t="inlineStr">
        <is>
          <t>Chinchow</t>
        </is>
      </c>
      <c r="B17" s="6" t="n">
        <v>13414</v>
      </c>
      <c r="C17" s="6" t="n">
        <v>6900</v>
      </c>
      <c r="D17" s="6" t="n">
        <v>20104</v>
      </c>
      <c r="E17" s="9" t="n">
        <v>101</v>
      </c>
      <c r="F17" s="9" t="n">
        <v>11</v>
      </c>
      <c r="G17" s="9" t="n">
        <v>26</v>
      </c>
      <c r="H17" s="9" t="n">
        <v>138</v>
      </c>
    </row>
    <row r="18">
      <c r="A18" t="inlineStr">
        <is>
          <t>Pulantien</t>
        </is>
      </c>
      <c r="B18" s="6" t="n">
        <v>8921</v>
      </c>
      <c r="C18" s="6" t="n">
        <v>12041</v>
      </c>
      <c r="D18" s="6" t="n">
        <v>20962</v>
      </c>
      <c r="E18" t="inlineStr">
        <is>
          <t>—</t>
        </is>
      </c>
      <c r="F18" s="9" t="n">
        <v>145</v>
      </c>
      <c r="G18" s="9" t="n">
        <v>189</v>
      </c>
      <c r="H18" s="9" t="n">
        <v>334</v>
      </c>
    </row>
    <row r="19">
      <c r="A19" t="inlineStr">
        <is>
          <t>Pitsuwo</t>
        </is>
      </c>
      <c r="B19" s="6" t="n">
        <v>4737</v>
      </c>
      <c r="C19" s="6" t="n">
        <v>4215</v>
      </c>
      <c r="D19" s="6" t="n">
        <v>8952</v>
      </c>
      <c r="E19" t="inlineStr">
        <is>
          <t>—</t>
        </is>
      </c>
      <c r="F19" s="9" t="n">
        <v>16</v>
      </c>
      <c r="G19" s="9" t="n">
        <v>110</v>
      </c>
      <c r="H19" s="9" t="n">
        <v>126</v>
      </c>
    </row>
    <row r="21">
      <c r="A21" s="2" t="inlineStr">
        <is>
          <t>Transcriber's notes</t>
        </is>
      </c>
    </row>
    <row r="22">
      <c r="A22" t="inlineStr">
        <is>
          <t>Row totals, Area of Forest: 1937, Dairen, Port Arthur, Pulantien, Pitsuwo, 1936 reconcile; 1932 exact; 1934 93,882 vs 93,883 and 1935 92,879 vs 92,878 (±1); 1933 94,156 vs 94,146 — does NOT reconcile (diff 10); 1938 88,603 vs 88,593 — does NOT reconcile (diff 10); Chinchow 13,414 + 6,900 = 20,314 vs 20,104 — does NOT reconcile (diff 210).</t>
        </is>
      </c>
    </row>
    <row r="23">
      <c r="A23" t="inlineStr">
        <is>
          <t>Row totals, Afforestation: all reconcile except ±1 in 1932 (2,013/2,014), 1934 (1,493/1,494), 1936 (719/718).</t>
        </is>
      </c>
    </row>
    <row r="24">
      <c r="A24" t="inlineStr">
        <is>
          <t>1938 district rows vs 1938 total: Government 58,209, Private 30,394, Gov't 208, Public 195, Private 345, Total 748 all reconcile; Forest Total column sums to 88,393 vs 88,593 — does NOT reconcile (diff 200, consistent with the Chinchow anomaly).</t>
        </is>
      </c>
    </row>
  </sheetData>
  <hyperlinks>
    <hyperlink xmlns:r="http://schemas.openxmlformats.org/officeDocument/2006/relationships" ref="A4" r:id="rId1"/>
  </hyperlink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Length of Important Rivers</t>
        </is>
      </c>
    </row>
    <row r="2">
      <c r="A2" t="inlineStr">
        <is>
          <t>Fisheries · printed pp. 470</t>
        </is>
      </c>
    </row>
    <row r="3">
      <c r="A3" s="3" t="inlineStr">
        <is>
          <t>← Contents</t>
        </is>
      </c>
    </row>
    <row r="5">
      <c r="A5" s="5" t="inlineStr">
        <is>
          <t>River</t>
        </is>
      </c>
      <c r="B5" s="5" t="inlineStr">
        <is>
          <t>Main stream (kms.)</t>
        </is>
      </c>
      <c r="C5" s="5" t="inlineStr">
        <is>
          <t>Tributaries (kms.)</t>
        </is>
      </c>
    </row>
    <row r="6">
      <c r="A6" t="inlineStr">
        <is>
          <t>Sungari</t>
        </is>
      </c>
      <c r="B6" s="6" t="n">
        <v>1662</v>
      </c>
      <c r="C6" s="6" t="n">
        <v>3959</v>
      </c>
    </row>
    <row r="7">
      <c r="A7" t="inlineStr">
        <is>
          <t>Nonni</t>
        </is>
      </c>
      <c r="B7" s="6" t="n">
        <v>1080</v>
      </c>
      <c r="C7" s="6" t="n">
        <v>3544</v>
      </c>
    </row>
    <row r="8">
      <c r="A8" t="inlineStr">
        <is>
          <t>Argun</t>
        </is>
      </c>
      <c r="B8" s="6" t="n">
        <v>1423</v>
      </c>
      <c r="C8" s="6" t="n">
        <v>3294</v>
      </c>
    </row>
    <row r="9">
      <c r="A9" t="inlineStr">
        <is>
          <t>Amur</t>
        </is>
      </c>
      <c r="B9" s="6" t="n">
        <v>1810</v>
      </c>
      <c r="C9" s="6" t="n">
        <v>1882</v>
      </c>
    </row>
    <row r="10">
      <c r="A10" t="inlineStr">
        <is>
          <t>Ussuri</t>
        </is>
      </c>
      <c r="B10" s="9" t="n">
        <v>900</v>
      </c>
      <c r="C10" s="6" t="n">
        <v>1615</v>
      </c>
    </row>
    <row r="11">
      <c r="A11" t="inlineStr">
        <is>
          <t>Tumen</t>
        </is>
      </c>
      <c r="B11" s="9" t="n">
        <v>521</v>
      </c>
      <c r="C11" s="9" t="n">
        <v>575</v>
      </c>
    </row>
    <row r="12">
      <c r="A12" t="inlineStr">
        <is>
          <t>Suifen</t>
        </is>
      </c>
      <c r="B12" s="9" t="n">
        <v>424</v>
      </c>
      <c r="C12" s="9" t="n">
        <v>461</v>
      </c>
    </row>
    <row r="13">
      <c r="A13" t="inlineStr">
        <is>
          <t>Liao</t>
        </is>
      </c>
      <c r="B13" s="6" t="n">
        <v>1313</v>
      </c>
      <c r="C13" s="6" t="n">
        <v>3347</v>
      </c>
    </row>
    <row r="14">
      <c r="A14" t="inlineStr">
        <is>
          <t>Luan</t>
        </is>
      </c>
      <c r="B14" s="9" t="n">
        <v>884</v>
      </c>
      <c r="C14" s="6" t="n">
        <v>1565</v>
      </c>
    </row>
    <row r="15">
      <c r="A15" t="inlineStr">
        <is>
          <t>Yalu</t>
        </is>
      </c>
      <c r="B15" s="9" t="n">
        <v>790</v>
      </c>
      <c r="C15" s="9" t="n">
        <v>750</v>
      </c>
    </row>
    <row r="17">
      <c r="A17" s="2" t="inlineStr">
        <is>
          <t>Transcriber's notes</t>
        </is>
      </c>
    </row>
    <row r="18">
      <c r="A18" t="inlineStr">
        <is>
          <t>Page number not printed (chapter-opening page); 470 inferred from facing page 471. No totals.</t>
        </is>
      </c>
    </row>
  </sheetData>
  <hyperlinks>
    <hyperlink xmlns:r="http://schemas.openxmlformats.org/officeDocument/2006/relationships" ref="A3" r:id="rId1"/>
  </hyperlink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Water Expanse of Leading Lakes</t>
        </is>
      </c>
    </row>
    <row r="2">
      <c r="A2" t="inlineStr">
        <is>
          <t>Fisheries · printed pp. 470</t>
        </is>
      </c>
    </row>
    <row r="3">
      <c r="A3" s="3" t="inlineStr">
        <is>
          <t>← Contents</t>
        </is>
      </c>
    </row>
    <row r="5">
      <c r="A5" s="5" t="inlineStr">
        <is>
          <t>Lake</t>
        </is>
      </c>
      <c r="B5" s="5" t="inlineStr">
        <is>
          <t>kms.</t>
        </is>
      </c>
    </row>
    <row r="6">
      <c r="A6" t="inlineStr">
        <is>
          <t>Hanka</t>
        </is>
      </c>
      <c r="B6" s="6" t="n">
        <v>4500</v>
      </c>
    </row>
    <row r="7">
      <c r="A7" t="inlineStr">
        <is>
          <t>Dalai-nor</t>
        </is>
      </c>
      <c r="B7" s="6" t="n">
        <v>1595</v>
      </c>
    </row>
    <row r="8">
      <c r="A8" t="inlineStr">
        <is>
          <t>Buir-nor</t>
        </is>
      </c>
      <c r="B8" s="9" t="n">
        <v>568</v>
      </c>
    </row>
    <row r="9">
      <c r="A9" t="inlineStr">
        <is>
          <t>Tali-nor</t>
        </is>
      </c>
      <c r="B9" s="9" t="n">
        <v>386</v>
      </c>
    </row>
    <row r="10">
      <c r="A10" t="inlineStr">
        <is>
          <t>Pilteng</t>
        </is>
      </c>
      <c r="B10" s="9" t="n">
        <v>180</v>
      </c>
    </row>
    <row r="12">
      <c r="A12" s="2" t="inlineStr">
        <is>
          <t>Transcriber's notes</t>
        </is>
      </c>
    </row>
    <row r="13">
      <c r="A13" t="inlineStr">
        <is>
          <t>Unit printed as 'kms.' (as printed). No totals. Page 470 inferred.</t>
        </is>
      </c>
    </row>
  </sheetData>
  <hyperlinks>
    <hyperlink xmlns:r="http://schemas.openxmlformats.org/officeDocument/2006/relationships" ref="A3" r:id="rId1"/>
  </hyperlink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No. of Fishing Households and Population in Kwantung Province</t>
        </is>
      </c>
    </row>
    <row r="2">
      <c r="A2" t="inlineStr">
        <is>
          <t>Fisheries · printed pp. 473</t>
        </is>
      </c>
    </row>
    <row r="3">
      <c r="A3" s="3" t="inlineStr">
        <is>
          <t>← Contents</t>
        </is>
      </c>
    </row>
    <row r="5">
      <c r="A5" s="2" t="inlineStr">
        <is>
          <t>Permanently Occupied</t>
        </is>
      </c>
    </row>
    <row r="6">
      <c r="A6" s="5" t="inlineStr">
        <is>
          <t>Year</t>
        </is>
      </c>
      <c r="B6" s="5" t="inlineStr">
        <is>
          <t>Japanese — No. of households</t>
        </is>
      </c>
      <c r="C6" s="5" t="inlineStr">
        <is>
          <t>Japanese — Population</t>
        </is>
      </c>
      <c r="D6" s="5" t="inlineStr">
        <is>
          <t>Manchoukuoans — No. of households</t>
        </is>
      </c>
      <c r="E6" s="5" t="inlineStr">
        <is>
          <t>Manchoukuoans — Population</t>
        </is>
      </c>
      <c r="F6" s="5" t="inlineStr">
        <is>
          <t>Total — No. of households</t>
        </is>
      </c>
      <c r="G6" s="5" t="inlineStr">
        <is>
          <t>Total — Population</t>
        </is>
      </c>
    </row>
    <row r="7">
      <c r="A7" s="9" t="n">
        <v>1929</v>
      </c>
      <c r="B7" s="9" t="n">
        <v>82</v>
      </c>
      <c r="C7" s="9" t="n">
        <v>141</v>
      </c>
      <c r="D7" s="6" t="n">
        <v>5694</v>
      </c>
      <c r="E7" s="6" t="n">
        <v>19664</v>
      </c>
      <c r="F7" s="6" t="n">
        <v>5776</v>
      </c>
      <c r="G7" s="6" t="n">
        <v>19805</v>
      </c>
    </row>
    <row r="8">
      <c r="A8" s="9" t="n">
        <v>1930</v>
      </c>
      <c r="B8" s="9" t="n">
        <v>89</v>
      </c>
      <c r="C8" s="9" t="n">
        <v>328</v>
      </c>
      <c r="D8" s="6" t="n">
        <v>5648</v>
      </c>
      <c r="E8" s="6" t="n">
        <v>14583</v>
      </c>
      <c r="F8" s="6" t="n">
        <v>5737</v>
      </c>
      <c r="G8" s="6" t="n">
        <v>14911</v>
      </c>
    </row>
    <row r="9">
      <c r="A9" s="9" t="n">
        <v>1931</v>
      </c>
      <c r="B9" s="9" t="n">
        <v>87</v>
      </c>
      <c r="C9" s="9" t="n">
        <v>372</v>
      </c>
      <c r="D9" s="6" t="n">
        <v>5625</v>
      </c>
      <c r="E9" s="6" t="n">
        <v>14592</v>
      </c>
      <c r="F9" s="6" t="n">
        <v>5712</v>
      </c>
      <c r="G9" s="6" t="n">
        <v>14964</v>
      </c>
    </row>
    <row r="10">
      <c r="A10" s="9" t="n">
        <v>1932</v>
      </c>
      <c r="B10" s="9" t="n">
        <v>95</v>
      </c>
      <c r="C10" s="9" t="n">
        <v>419</v>
      </c>
      <c r="D10" s="6" t="n">
        <v>5299</v>
      </c>
      <c r="E10" s="6" t="n">
        <v>12108</v>
      </c>
      <c r="F10" s="6" t="n">
        <v>5394</v>
      </c>
      <c r="G10" s="6" t="n">
        <v>12527</v>
      </c>
    </row>
    <row r="11">
      <c r="A11" s="9" t="n">
        <v>1933</v>
      </c>
      <c r="B11" s="9" t="n">
        <v>114</v>
      </c>
      <c r="C11" s="9" t="n">
        <v>450</v>
      </c>
      <c r="D11" s="6" t="n">
        <v>4921</v>
      </c>
      <c r="E11" s="6" t="n">
        <v>13065</v>
      </c>
      <c r="F11" s="6" t="n">
        <v>5035</v>
      </c>
      <c r="G11" s="6" t="n">
        <v>13515</v>
      </c>
    </row>
    <row r="12">
      <c r="A12" s="9" t="n">
        <v>1934</v>
      </c>
      <c r="B12" s="9" t="n">
        <v>110</v>
      </c>
      <c r="C12" s="9" t="n">
        <v>449</v>
      </c>
      <c r="D12" s="6" t="n">
        <v>4891</v>
      </c>
      <c r="E12" s="6" t="n">
        <v>12942</v>
      </c>
      <c r="F12" s="6" t="n">
        <v>5001</v>
      </c>
      <c r="G12" s="6" t="n">
        <v>13391</v>
      </c>
    </row>
    <row r="13">
      <c r="A13" s="9" t="n">
        <v>1935</v>
      </c>
      <c r="B13" s="9" t="n">
        <v>105</v>
      </c>
      <c r="C13" s="9" t="n">
        <v>472</v>
      </c>
      <c r="D13" s="6" t="n">
        <v>4749</v>
      </c>
      <c r="E13" s="6" t="n">
        <v>12955</v>
      </c>
      <c r="F13" s="6" t="n">
        <v>4854</v>
      </c>
      <c r="G13" s="6" t="n">
        <v>13427</v>
      </c>
    </row>
    <row r="14">
      <c r="A14" s="9" t="n">
        <v>1936</v>
      </c>
      <c r="B14" s="9" t="n">
        <v>106</v>
      </c>
      <c r="C14" s="9" t="n">
        <v>523</v>
      </c>
      <c r="D14" s="6" t="n">
        <v>4541</v>
      </c>
      <c r="E14" s="6" t="n">
        <v>12604</v>
      </c>
      <c r="F14" s="6" t="n">
        <v>4647</v>
      </c>
      <c r="G14" s="6" t="n">
        <v>13127</v>
      </c>
    </row>
    <row r="15">
      <c r="A15" s="9" t="n">
        <v>1937</v>
      </c>
      <c r="B15" s="9" t="n">
        <v>174</v>
      </c>
      <c r="C15" s="9" t="n">
        <v>803</v>
      </c>
      <c r="D15" s="6" t="n">
        <v>4272</v>
      </c>
      <c r="E15" s="6" t="n">
        <v>11469</v>
      </c>
      <c r="F15" s="6" t="n">
        <v>4446</v>
      </c>
      <c r="G15" s="6" t="n">
        <v>12272</v>
      </c>
    </row>
    <row r="16">
      <c r="A16" s="9" t="n">
        <v>1938</v>
      </c>
      <c r="B16" s="9" t="n">
        <v>161</v>
      </c>
      <c r="C16" s="9" t="n">
        <v>998</v>
      </c>
      <c r="D16" s="6" t="n">
        <v>3460</v>
      </c>
      <c r="E16" s="6" t="n">
        <v>11159</v>
      </c>
      <c r="F16" s="6" t="n">
        <v>3621</v>
      </c>
      <c r="G16" s="6" t="n">
        <v>12157</v>
      </c>
    </row>
    <row r="18">
      <c r="A18" s="2" t="inlineStr">
        <is>
          <t>Partially Occupied</t>
        </is>
      </c>
    </row>
    <row r="19">
      <c r="A19" s="5" t="inlineStr">
        <is>
          <t>Year</t>
        </is>
      </c>
      <c r="B19" s="5" t="inlineStr">
        <is>
          <t>Japanese — No. of households</t>
        </is>
      </c>
      <c r="C19" s="5" t="inlineStr">
        <is>
          <t>Japanese — Population</t>
        </is>
      </c>
      <c r="D19" s="5" t="inlineStr">
        <is>
          <t>Manchoukuoans — No. of households</t>
        </is>
      </c>
      <c r="E19" s="5" t="inlineStr">
        <is>
          <t>Manchoukuoans — Population</t>
        </is>
      </c>
      <c r="F19" s="5" t="inlineStr">
        <is>
          <t>Total — No. of households</t>
        </is>
      </c>
      <c r="G19" s="5" t="inlineStr">
        <is>
          <t>Total — Population</t>
        </is>
      </c>
    </row>
    <row r="20">
      <c r="A20" s="9" t="n">
        <v>1929</v>
      </c>
      <c r="B20" s="9" t="n">
        <v>9</v>
      </c>
      <c r="C20" s="9" t="n">
        <v>15</v>
      </c>
      <c r="D20" s="6" t="n">
        <v>3555</v>
      </c>
      <c r="E20" s="6" t="n">
        <v>10246</v>
      </c>
      <c r="F20" s="6" t="n">
        <v>3564</v>
      </c>
      <c r="G20" s="6" t="n">
        <v>10261</v>
      </c>
    </row>
    <row r="21">
      <c r="A21" s="9" t="n">
        <v>1930</v>
      </c>
      <c r="B21" s="9" t="n">
        <v>27</v>
      </c>
      <c r="C21" s="9" t="n">
        <v>38</v>
      </c>
      <c r="D21" s="6" t="n">
        <v>3795</v>
      </c>
      <c r="E21" s="6" t="n">
        <v>9375</v>
      </c>
      <c r="F21" s="6" t="n">
        <v>3822</v>
      </c>
      <c r="G21" s="6" t="n">
        <v>9413</v>
      </c>
    </row>
    <row r="22">
      <c r="A22" s="9" t="n">
        <v>1931</v>
      </c>
      <c r="B22" s="9" t="n">
        <v>30</v>
      </c>
      <c r="C22" s="9" t="n">
        <v>29</v>
      </c>
      <c r="D22" s="6" t="n">
        <v>3757</v>
      </c>
      <c r="E22" s="6" t="n">
        <v>8413</v>
      </c>
      <c r="F22" s="6" t="n">
        <v>3787</v>
      </c>
      <c r="G22" s="6" t="n">
        <v>8442</v>
      </c>
    </row>
    <row r="23">
      <c r="A23" s="9" t="n">
        <v>1932</v>
      </c>
      <c r="B23" s="9" t="n">
        <v>24</v>
      </c>
      <c r="C23" s="9" t="n">
        <v>24</v>
      </c>
      <c r="D23" s="6" t="n">
        <v>2963</v>
      </c>
      <c r="E23" s="6" t="n">
        <v>5715</v>
      </c>
      <c r="F23" s="6" t="n">
        <v>2987</v>
      </c>
      <c r="G23" s="6" t="n">
        <v>5739</v>
      </c>
    </row>
    <row r="24">
      <c r="A24" s="9" t="n">
        <v>1933</v>
      </c>
      <c r="B24" s="9" t="n">
        <v>20</v>
      </c>
      <c r="C24" s="9" t="n">
        <v>27</v>
      </c>
      <c r="D24" s="6" t="n">
        <v>4012</v>
      </c>
      <c r="E24" s="6" t="n">
        <v>9614</v>
      </c>
      <c r="F24" s="6" t="n">
        <v>4032</v>
      </c>
      <c r="G24" s="6" t="n">
        <v>9641</v>
      </c>
    </row>
    <row r="25">
      <c r="A25" s="9" t="n">
        <v>1934</v>
      </c>
      <c r="B25" s="9" t="n">
        <v>20</v>
      </c>
      <c r="C25" s="9" t="n">
        <v>22</v>
      </c>
      <c r="D25" s="6" t="n">
        <v>3901</v>
      </c>
      <c r="E25" s="6" t="n">
        <v>9925</v>
      </c>
      <c r="F25" s="6" t="n">
        <v>3921</v>
      </c>
      <c r="G25" s="6" t="n">
        <v>9947</v>
      </c>
    </row>
    <row r="26">
      <c r="A26" s="9" t="n">
        <v>1935</v>
      </c>
      <c r="B26" s="9" t="n">
        <v>12</v>
      </c>
      <c r="C26" s="9" t="n">
        <v>12</v>
      </c>
      <c r="D26" s="6" t="n">
        <v>3895</v>
      </c>
      <c r="E26" s="6" t="n">
        <v>9983</v>
      </c>
      <c r="F26" s="6" t="n">
        <v>3907</v>
      </c>
      <c r="G26" s="6" t="n">
        <v>9995</v>
      </c>
    </row>
    <row r="27">
      <c r="A27" s="9" t="n">
        <v>1936</v>
      </c>
      <c r="B27" s="9" t="n">
        <v>23</v>
      </c>
      <c r="C27" s="9" t="n">
        <v>23</v>
      </c>
      <c r="D27" s="6" t="n">
        <v>4151</v>
      </c>
      <c r="E27" s="6" t="n">
        <v>10426</v>
      </c>
      <c r="F27" s="6" t="n">
        <v>4174</v>
      </c>
      <c r="G27" s="6" t="n">
        <v>10449</v>
      </c>
    </row>
    <row r="28">
      <c r="A28" s="9" t="n">
        <v>1937</v>
      </c>
      <c r="B28" s="9" t="n">
        <v>26</v>
      </c>
      <c r="C28" s="9" t="n">
        <v>42</v>
      </c>
      <c r="D28" s="6" t="n">
        <v>4085</v>
      </c>
      <c r="E28" s="6" t="n">
        <v>10669</v>
      </c>
      <c r="F28" s="6" t="n">
        <v>4111</v>
      </c>
      <c r="G28" s="6" t="n">
        <v>10711</v>
      </c>
    </row>
    <row r="29">
      <c r="A29" s="9" t="n">
        <v>1938</v>
      </c>
      <c r="B29" s="9" t="n">
        <v>26</v>
      </c>
      <c r="C29" s="9" t="n">
        <v>76</v>
      </c>
      <c r="D29" s="6" t="n">
        <v>4052</v>
      </c>
      <c r="E29" s="6" t="n">
        <v>13113</v>
      </c>
      <c r="F29" s="6" t="n">
        <v>4078</v>
      </c>
      <c r="G29" s="6" t="n">
        <v>13189</v>
      </c>
    </row>
    <row r="31">
      <c r="A31" s="2" t="inlineStr">
        <is>
          <t>Transcriber's notes</t>
        </is>
      </c>
    </row>
    <row r="32">
      <c r="A32" t="inlineStr">
        <is>
          <t>Permanently Occupied: year stubs printed about half a row below the figures; 10 stubs match 10 rows, assigned in order.</t>
        </is>
      </c>
    </row>
    <row r="33">
      <c r="A33" t="inlineStr">
        <is>
          <t>Totals (Japanese + Manchoukuoans) reconcile for households and population in every row of both parts.</t>
        </is>
      </c>
    </row>
  </sheetData>
  <hyperlinks>
    <hyperlink xmlns:r="http://schemas.openxmlformats.org/officeDocument/2006/relationships" ref="A3" r:id="rId1"/>
  </hyperlink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Fishery Catch Classified</t>
        </is>
      </c>
    </row>
    <row r="2">
      <c r="A2" t="inlineStr">
        <is>
          <t>Fisheries · printed pp. 473, 474</t>
        </is>
      </c>
    </row>
    <row r="3">
      <c r="A3" t="inlineStr">
        <is>
          <t>(1938)</t>
        </is>
      </c>
    </row>
    <row r="4">
      <c r="A4" s="3" t="inlineStr">
        <is>
          <t>← Contents</t>
        </is>
      </c>
    </row>
    <row r="6">
      <c r="A6" s="5" t="inlineStr">
        <is>
          <t>River / Lake</t>
        </is>
      </c>
      <c r="B6" s="5" t="inlineStr">
        <is>
          <t>Qty. (M. tons)</t>
        </is>
      </c>
    </row>
    <row r="7">
      <c r="A7" t="inlineStr">
        <is>
          <t>Nonni River</t>
        </is>
      </c>
      <c r="B7" s="6" t="n">
        <v>27500</v>
      </c>
    </row>
    <row r="8">
      <c r="A8" t="inlineStr">
        <is>
          <t>Sungari River main stream</t>
        </is>
      </c>
      <c r="B8" s="6" t="n">
        <v>16500</v>
      </c>
    </row>
    <row r="9">
      <c r="A9" t="inlineStr">
        <is>
          <t>Dalai-nor System</t>
        </is>
      </c>
      <c r="B9" s="9" t="n">
        <v>300</v>
      </c>
    </row>
    <row r="10">
      <c r="A10" t="inlineStr">
        <is>
          <t>Liao River</t>
        </is>
      </c>
      <c r="B10" s="6" t="n">
        <v>2100</v>
      </c>
    </row>
    <row r="11">
      <c r="A11" t="inlineStr">
        <is>
          <t>Ussuri River</t>
        </is>
      </c>
      <c r="B11" s="6" t="n">
        <v>1790</v>
      </c>
    </row>
    <row r="12">
      <c r="A12" t="inlineStr">
        <is>
          <t>Amur River</t>
        </is>
      </c>
      <c r="B12" s="9" t="n">
        <v>950</v>
      </c>
    </row>
    <row r="13">
      <c r="A13" t="inlineStr">
        <is>
          <t>Yalu River</t>
        </is>
      </c>
      <c r="B13" s="6" t="n">
        <v>1250</v>
      </c>
    </row>
    <row r="14">
      <c r="A14" t="inlineStr">
        <is>
          <t>Total incl. other rivers</t>
        </is>
      </c>
      <c r="B14" s="6" t="n">
        <v>50904</v>
      </c>
    </row>
    <row r="15">
      <c r="A15" t="inlineStr">
        <is>
          <t>Pilteng Lake</t>
        </is>
      </c>
      <c r="B15" s="9" t="n">
        <v>150</v>
      </c>
    </row>
    <row r="16">
      <c r="A16" t="inlineStr">
        <is>
          <t>Talinor</t>
        </is>
      </c>
      <c r="B16" s="9" t="n">
        <v>150</v>
      </c>
    </row>
    <row r="17">
      <c r="A17" t="inlineStr">
        <is>
          <t>Dalai-nor</t>
        </is>
      </c>
      <c r="B17" s="6" t="n">
        <v>4500</v>
      </c>
    </row>
    <row r="18">
      <c r="A18" t="inlineStr">
        <is>
          <t>Hanka Lake</t>
        </is>
      </c>
      <c r="B18" s="9" t="n">
        <v>125</v>
      </c>
    </row>
    <row r="19">
      <c r="A19" t="inlineStr">
        <is>
          <t>Total incl. others lakes</t>
        </is>
      </c>
      <c r="B19" s="6" t="n">
        <v>57890</v>
      </c>
    </row>
    <row r="21">
      <c r="A21" s="2" t="inlineStr">
        <is>
          <t>Transcriber's notes</t>
        </is>
      </c>
    </row>
    <row r="22">
      <c r="A22" t="inlineStr">
        <is>
          <t>Continues on p. 474 (IMG_5696) headed '(Continued)' with lakes; merged.</t>
        </is>
      </c>
    </row>
    <row r="23">
      <c r="A23" t="inlineStr">
        <is>
          <t>Rivers: listed rivers sum to 50,390; printed 'Total incl. other rivers' 50,904 includes unlisted rivers (difference 514) — consistent.</t>
        </is>
      </c>
    </row>
    <row r="24">
      <c r="A24" t="inlineStr">
        <is>
          <t>Lakes: listed lakes sum to 4,925 vs printed 'Total incl. others lakes' 57,890 (diff 52,965). Rivers total + listed lakes = 55,829; the lakes total may be a grand total of rivers and lakes; cannot reconcile — transcribed as printed.</t>
        </is>
      </c>
    </row>
    <row r="25">
      <c r="A25" t="inlineStr">
        <is>
          <t>On p. 474 the quantities print half a row below their stubs; 4 lake stubs match 4 figures, assigned in order.</t>
        </is>
      </c>
    </row>
  </sheetData>
  <hyperlinks>
    <hyperlink xmlns:r="http://schemas.openxmlformats.org/officeDocument/2006/relationships" ref="A4" r:id="rId1"/>
  </hyperlink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No. of Fishing Crafts in Kwantung Province</t>
        </is>
      </c>
    </row>
    <row r="2">
      <c r="A2" t="inlineStr">
        <is>
          <t>Fisheries · printed pp. 474</t>
        </is>
      </c>
    </row>
    <row r="3">
      <c r="A3" s="3" t="inlineStr">
        <is>
          <t>← Contents</t>
        </is>
      </c>
    </row>
    <row r="5">
      <c r="A5" s="5" t="inlineStr">
        <is>
          <t>Year</t>
        </is>
      </c>
      <c r="B5" s="5" t="inlineStr">
        <is>
          <t>Junks</t>
        </is>
      </c>
      <c r="C5" s="5" t="inlineStr">
        <is>
          <t>Sampans</t>
        </is>
      </c>
      <c r="D5" s="5" t="inlineStr">
        <is>
          <t>Japanese type</t>
        </is>
      </c>
      <c r="E5" s="5" t="inlineStr">
        <is>
          <t>Foreign type</t>
        </is>
      </c>
      <c r="F5" s="5" t="inlineStr">
        <is>
          <t>With engines</t>
        </is>
      </c>
      <c r="G5" s="5" t="inlineStr">
        <is>
          <t>Transport boats</t>
        </is>
      </c>
      <c r="H5" s="5" t="inlineStr">
        <is>
          <t>Total</t>
        </is>
      </c>
    </row>
    <row r="6">
      <c r="A6" s="9" t="n">
        <v>1929</v>
      </c>
      <c r="B6" s="9" t="n">
        <v>957</v>
      </c>
      <c r="C6" s="6" t="n">
        <v>4999</v>
      </c>
      <c r="D6" s="9" t="n">
        <v>195</v>
      </c>
      <c r="E6" t="inlineStr">
        <is>
          <t>—</t>
        </is>
      </c>
      <c r="F6" s="9" t="n">
        <v>82</v>
      </c>
      <c r="G6" s="9" t="n">
        <v>49</v>
      </c>
      <c r="H6" s="6" t="n">
        <v>6282</v>
      </c>
    </row>
    <row r="7">
      <c r="A7" s="9" t="n">
        <v>1930</v>
      </c>
      <c r="B7" s="6" t="n">
        <v>1093</v>
      </c>
      <c r="C7" s="6" t="n">
        <v>4791</v>
      </c>
      <c r="D7" s="9" t="n">
        <v>161</v>
      </c>
      <c r="E7" s="9" t="n">
        <v>1</v>
      </c>
      <c r="F7" s="9" t="n">
        <v>115</v>
      </c>
      <c r="G7" s="9" t="n">
        <v>68</v>
      </c>
      <c r="H7" s="6" t="n">
        <v>6229</v>
      </c>
    </row>
    <row r="8">
      <c r="A8" s="9" t="n">
        <v>1931</v>
      </c>
      <c r="B8" s="6" t="n">
        <v>1092</v>
      </c>
      <c r="C8" s="6" t="n">
        <v>4679</v>
      </c>
      <c r="D8" s="9" t="n">
        <v>179</v>
      </c>
      <c r="E8" t="inlineStr">
        <is>
          <t>—</t>
        </is>
      </c>
      <c r="F8" s="9" t="n">
        <v>133</v>
      </c>
      <c r="G8" s="9" t="n">
        <v>72</v>
      </c>
      <c r="H8" s="6" t="n">
        <v>6155</v>
      </c>
    </row>
    <row r="9">
      <c r="A9" s="9" t="n">
        <v>1932</v>
      </c>
      <c r="B9" s="9" t="n">
        <v>965</v>
      </c>
      <c r="C9" s="6" t="n">
        <v>4839</v>
      </c>
      <c r="D9" s="9" t="n">
        <v>142</v>
      </c>
      <c r="E9" t="inlineStr">
        <is>
          <t>—</t>
        </is>
      </c>
      <c r="F9" s="9" t="n">
        <v>150</v>
      </c>
      <c r="G9" s="9" t="n">
        <v>64</v>
      </c>
      <c r="H9" s="6" t="n">
        <v>6160</v>
      </c>
    </row>
    <row r="10">
      <c r="A10" s="9" t="n">
        <v>1933</v>
      </c>
      <c r="B10" s="9" t="n">
        <v>911</v>
      </c>
      <c r="C10" s="6" t="n">
        <v>4898</v>
      </c>
      <c r="D10" s="9" t="n">
        <v>131</v>
      </c>
      <c r="E10" t="inlineStr">
        <is>
          <t>—</t>
        </is>
      </c>
      <c r="F10" s="9" t="n">
        <v>162</v>
      </c>
      <c r="G10" s="9" t="n">
        <v>69</v>
      </c>
      <c r="H10" s="6" t="n">
        <v>6171</v>
      </c>
    </row>
    <row r="11">
      <c r="A11" s="9" t="n">
        <v>1934</v>
      </c>
      <c r="B11" s="9" t="n">
        <v>875</v>
      </c>
      <c r="C11" s="6" t="n">
        <v>4931</v>
      </c>
      <c r="D11" s="9" t="n">
        <v>115</v>
      </c>
      <c r="E11" t="inlineStr">
        <is>
          <t>—</t>
        </is>
      </c>
      <c r="F11" s="9" t="n">
        <v>167</v>
      </c>
      <c r="G11" s="9" t="n">
        <v>59</v>
      </c>
      <c r="H11" s="6" t="n">
        <v>6147</v>
      </c>
    </row>
    <row r="12">
      <c r="A12" s="9" t="n">
        <v>1935</v>
      </c>
      <c r="B12" s="9" t="n">
        <v>858</v>
      </c>
      <c r="C12" s="6" t="n">
        <v>4823</v>
      </c>
      <c r="D12" s="9" t="n">
        <v>106</v>
      </c>
      <c r="E12" t="inlineStr">
        <is>
          <t>—</t>
        </is>
      </c>
      <c r="F12" s="9" t="n">
        <v>170</v>
      </c>
      <c r="G12" s="9" t="n">
        <v>149</v>
      </c>
      <c r="H12" s="6" t="n">
        <v>6106</v>
      </c>
    </row>
    <row r="13">
      <c r="A13" s="9" t="n">
        <v>1936</v>
      </c>
      <c r="B13" s="9" t="n">
        <v>854</v>
      </c>
      <c r="C13" s="6" t="n">
        <v>4719</v>
      </c>
      <c r="D13" s="9" t="n">
        <v>115</v>
      </c>
      <c r="E13" t="inlineStr">
        <is>
          <t>—</t>
        </is>
      </c>
      <c r="F13" s="9" t="n">
        <v>176</v>
      </c>
      <c r="G13" s="9" t="n">
        <v>113</v>
      </c>
      <c r="H13" s="6" t="n">
        <v>5977</v>
      </c>
    </row>
    <row r="14">
      <c r="A14" s="9" t="n">
        <v>1937</v>
      </c>
      <c r="B14" s="9" t="n">
        <v>753</v>
      </c>
      <c r="C14" s="6" t="n">
        <v>4550</v>
      </c>
      <c r="D14" s="9" t="n">
        <v>80</v>
      </c>
      <c r="E14" t="inlineStr">
        <is>
          <t>—</t>
        </is>
      </c>
      <c r="F14" s="9" t="n">
        <v>189</v>
      </c>
      <c r="G14" s="9" t="n">
        <v>253</v>
      </c>
      <c r="H14" s="6" t="n">
        <v>5825</v>
      </c>
    </row>
    <row r="15">
      <c r="A15" s="9" t="n">
        <v>1938</v>
      </c>
      <c r="B15" s="6" t="n">
        <v>4765</v>
      </c>
      <c r="C15" t="inlineStr"/>
      <c r="D15" t="inlineStr"/>
      <c r="E15" t="inlineStr"/>
      <c r="F15" s="9" t="n">
        <v>247</v>
      </c>
      <c r="G15" s="9" t="n">
        <v>288</v>
      </c>
      <c r="H15" s="6" t="n">
        <v>5300</v>
      </c>
    </row>
    <row r="17">
      <c r="A17" s="2" t="inlineStr">
        <is>
          <t>Transcriber's notes</t>
        </is>
      </c>
    </row>
    <row r="18">
      <c r="A18" t="inlineStr">
        <is>
          <t>1938: Junks, Sampans, Japanese type and Foreign type printed as one combined figure 4,765 under a brace; entered in 'Junks', others empty.</t>
        </is>
      </c>
    </row>
    <row r="19">
      <c r="A19" t="inlineStr">
        <is>
          <t>Transport boats and Total columns print drifting below the stubs; one figure per year assigned in order.</t>
        </is>
      </c>
    </row>
    <row r="20">
      <c r="A20" t="inlineStr">
        <is>
          <t>Row totals reconcile for every year 1929-1938.</t>
        </is>
      </c>
    </row>
  </sheetData>
  <hyperlinks>
    <hyperlink xmlns:r="http://schemas.openxmlformats.org/officeDocument/2006/relationships" ref="A3" r:id="rId1"/>
  </hyperlink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X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Marine Catches in Kwantung Province</t>
        </is>
      </c>
    </row>
    <row r="2">
      <c r="A2" t="inlineStr">
        <is>
          <t>Fisheries · printed pp. 474</t>
        </is>
      </c>
    </row>
    <row r="3">
      <c r="A3" t="inlineStr">
        <is>
          <t>(Unit: Volume in 1,000 Kwan; 1 Kwan=3.75 kilograms; Value in M¥1,000)</t>
        </is>
      </c>
    </row>
    <row r="4">
      <c r="A4" s="3" t="inlineStr">
        <is>
          <t>← Contents</t>
        </is>
      </c>
    </row>
    <row r="6">
      <c r="A6" s="5" t="inlineStr">
        <is>
          <t>Year</t>
        </is>
      </c>
      <c r="B6" s="5" t="inlineStr">
        <is>
          <t>Sea-bream — Vol.</t>
        </is>
      </c>
      <c r="C6" s="5" t="inlineStr">
        <is>
          <t>Sea-bream — Val.</t>
        </is>
      </c>
      <c r="D6" s="5" t="inlineStr">
        <is>
          <t>Cod — Vol.</t>
        </is>
      </c>
      <c r="E6" s="5" t="inlineStr">
        <is>
          <t>Cod — Val.</t>
        </is>
      </c>
      <c r="F6" s="5" t="inlineStr">
        <is>
          <t>Hair-tail — Vol.</t>
        </is>
      </c>
      <c r="G6" s="5" t="inlineStr">
        <is>
          <t>Hair-tail — Val.</t>
        </is>
      </c>
      <c r="H6" s="5" t="inlineStr">
        <is>
          <t>Guchi — Vol.</t>
        </is>
      </c>
      <c r="I6" s="5" t="inlineStr">
        <is>
          <t>Guchi — Val.</t>
        </is>
      </c>
      <c r="J6" s="5" t="inlineStr">
        <is>
          <t>Scomberemorus — Vol.</t>
        </is>
      </c>
      <c r="K6" s="5" t="inlineStr">
        <is>
          <t>Scomberemorus — Val.</t>
        </is>
      </c>
      <c r="L6" s="5" t="inlineStr">
        <is>
          <t>Halibut — Vol.</t>
        </is>
      </c>
      <c r="M6" s="5" t="inlineStr">
        <is>
          <t>Halibut — Val.</t>
        </is>
      </c>
      <c r="N6" s="5" t="inlineStr">
        <is>
          <t>Lateolabrax — Vol.</t>
        </is>
      </c>
      <c r="O6" s="5" t="inlineStr">
        <is>
          <t>Lateolabrax — Val.</t>
        </is>
      </c>
      <c r="P6" s="5" t="inlineStr">
        <is>
          <t>Batoidei — Vol.</t>
        </is>
      </c>
      <c r="Q6" s="5" t="inlineStr">
        <is>
          <t>Batoidei — Val.</t>
        </is>
      </c>
      <c r="R6" s="5" t="inlineStr">
        <is>
          <t>Lepidotrigla* — Vol.</t>
        </is>
      </c>
      <c r="S6" s="5" t="inlineStr">
        <is>
          <t>Lepidotrigla* — Val.</t>
        </is>
      </c>
      <c r="T6" s="5" t="inlineStr">
        <is>
          <t>Sea-Cucumber — Vol.</t>
        </is>
      </c>
      <c r="U6" s="5" t="inlineStr">
        <is>
          <t>Sea-Cucumber — Val.</t>
        </is>
      </c>
      <c r="V6" s="5" t="inlineStr">
        <is>
          <t>Prawn &amp; Shrimp — Vol.</t>
        </is>
      </c>
      <c r="W6" s="5" t="inlineStr">
        <is>
          <t>Prawn &amp; Shrimp — Val.</t>
        </is>
      </c>
      <c r="X6" s="5" t="inlineStr">
        <is>
          <t>Total incl. Others Value</t>
        </is>
      </c>
    </row>
    <row r="7">
      <c r="A7" s="9" t="n">
        <v>1932</v>
      </c>
      <c r="B7" s="9" t="n">
        <v>797</v>
      </c>
      <c r="C7" s="9" t="n">
        <v>183</v>
      </c>
      <c r="D7" s="6" t="n">
        <v>2622</v>
      </c>
      <c r="E7" s="9" t="n">
        <v>734</v>
      </c>
      <c r="F7" s="9" t="n">
        <v>917</v>
      </c>
      <c r="G7" s="9" t="n">
        <v>350</v>
      </c>
      <c r="H7" s="6" t="n">
        <v>2445</v>
      </c>
      <c r="I7" s="9" t="n">
        <v>748</v>
      </c>
      <c r="J7" s="9" t="n">
        <v>386</v>
      </c>
      <c r="K7" s="9" t="n">
        <v>357</v>
      </c>
      <c r="L7" s="6" t="n">
        <v>1595</v>
      </c>
      <c r="M7" s="9" t="n">
        <v>440</v>
      </c>
      <c r="N7" s="9" t="n">
        <v>54</v>
      </c>
      <c r="O7" s="9" t="n">
        <v>46</v>
      </c>
      <c r="P7" s="9" t="n">
        <v>523</v>
      </c>
      <c r="Q7" s="9" t="n">
        <v>101</v>
      </c>
      <c r="R7" s="9" t="n">
        <v>448</v>
      </c>
      <c r="S7" s="9" t="n">
        <v>94</v>
      </c>
      <c r="T7" s="9" t="n">
        <v>132</v>
      </c>
      <c r="U7" s="9" t="n">
        <v>103</v>
      </c>
      <c r="V7" s="9" t="n">
        <v>334</v>
      </c>
      <c r="W7" s="9" t="n">
        <v>407</v>
      </c>
      <c r="X7" s="6" t="n">
        <v>4104</v>
      </c>
    </row>
    <row r="8">
      <c r="A8" s="9" t="n">
        <v>1934</v>
      </c>
      <c r="B8" s="9" t="n">
        <v>30</v>
      </c>
      <c r="C8" s="9" t="n">
        <v>169</v>
      </c>
      <c r="D8" s="6" t="n">
        <v>1399</v>
      </c>
      <c r="E8" s="9" t="n">
        <v>395</v>
      </c>
      <c r="F8" s="6" t="n">
        <v>1340</v>
      </c>
      <c r="G8" s="9" t="n">
        <v>437</v>
      </c>
      <c r="H8" s="6" t="n">
        <v>3492</v>
      </c>
      <c r="I8" s="6" t="n">
        <v>1176</v>
      </c>
      <c r="J8" s="9" t="n">
        <v>365</v>
      </c>
      <c r="K8" s="9" t="n">
        <v>361</v>
      </c>
      <c r="L8" s="6" t="n">
        <v>1424</v>
      </c>
      <c r="M8" s="9" t="n">
        <v>598</v>
      </c>
      <c r="N8" s="9" t="n">
        <v>53</v>
      </c>
      <c r="O8" s="9" t="n">
        <v>63</v>
      </c>
      <c r="P8" s="9" t="n">
        <v>755</v>
      </c>
      <c r="Q8" s="9" t="n">
        <v>124</v>
      </c>
      <c r="R8" s="9" t="n">
        <v>342</v>
      </c>
      <c r="S8" s="9" t="n">
        <v>118</v>
      </c>
      <c r="T8" s="9" t="n">
        <v>115</v>
      </c>
      <c r="U8" s="9" t="n">
        <v>115</v>
      </c>
      <c r="V8" s="9" t="n">
        <v>404</v>
      </c>
      <c r="W8" s="9" t="n">
        <v>662</v>
      </c>
      <c r="X8" s="6" t="n">
        <v>5016</v>
      </c>
    </row>
    <row r="9">
      <c r="A9" s="9" t="n">
        <v>1935</v>
      </c>
      <c r="B9" s="9" t="n">
        <v>62</v>
      </c>
      <c r="C9" s="9" t="n">
        <v>229</v>
      </c>
      <c r="D9" s="6" t="n">
        <v>1329</v>
      </c>
      <c r="E9" s="9" t="n">
        <v>381</v>
      </c>
      <c r="F9" s="6" t="n">
        <v>1223</v>
      </c>
      <c r="G9" s="9" t="n">
        <v>395</v>
      </c>
      <c r="H9" s="6" t="n">
        <v>3379</v>
      </c>
      <c r="I9" s="6" t="n">
        <v>1292</v>
      </c>
      <c r="J9" s="9" t="n">
        <v>375</v>
      </c>
      <c r="K9" s="9" t="n">
        <v>358</v>
      </c>
      <c r="L9" s="6" t="n">
        <v>1938</v>
      </c>
      <c r="M9" s="9" t="n">
        <v>755</v>
      </c>
      <c r="N9" s="9" t="n">
        <v>68</v>
      </c>
      <c r="O9" s="9" t="n">
        <v>78</v>
      </c>
      <c r="P9" s="9" t="n">
        <v>881</v>
      </c>
      <c r="Q9" s="9" t="n">
        <v>156</v>
      </c>
      <c r="R9" s="9" t="n">
        <v>580</v>
      </c>
      <c r="S9" s="9" t="n">
        <v>161</v>
      </c>
      <c r="T9" s="9" t="n">
        <v>118</v>
      </c>
      <c r="U9" s="9" t="n">
        <v>121</v>
      </c>
      <c r="V9" s="9" t="n">
        <v>286</v>
      </c>
      <c r="W9" s="9" t="n">
        <v>596</v>
      </c>
      <c r="X9" s="6" t="n">
        <v>5519</v>
      </c>
    </row>
    <row r="10">
      <c r="A10" s="9" t="n">
        <v>1936</v>
      </c>
      <c r="B10" s="9" t="n">
        <v>45</v>
      </c>
      <c r="C10" s="9" t="n">
        <v>162</v>
      </c>
      <c r="D10" s="6" t="n">
        <v>1832</v>
      </c>
      <c r="E10" s="9" t="n">
        <v>507</v>
      </c>
      <c r="F10" s="6" t="n">
        <v>1100</v>
      </c>
      <c r="G10" s="9" t="n">
        <v>338</v>
      </c>
      <c r="H10" s="6" t="n">
        <v>5015</v>
      </c>
      <c r="I10" s="6" t="n">
        <v>1716</v>
      </c>
      <c r="J10" s="9" t="n">
        <v>282</v>
      </c>
      <c r="K10" s="9" t="n">
        <v>319</v>
      </c>
      <c r="L10" s="6" t="n">
        <v>2298</v>
      </c>
      <c r="M10" s="9" t="n">
        <v>796</v>
      </c>
      <c r="N10" s="9" t="n">
        <v>68</v>
      </c>
      <c r="O10" s="9" t="n">
        <v>75</v>
      </c>
      <c r="P10" s="6" t="n">
        <v>1079</v>
      </c>
      <c r="Q10" s="9" t="n">
        <v>165</v>
      </c>
      <c r="R10" s="9" t="n">
        <v>625</v>
      </c>
      <c r="S10" s="9" t="n">
        <v>148</v>
      </c>
      <c r="T10" s="9" t="n">
        <v>133</v>
      </c>
      <c r="U10" s="9" t="n">
        <v>139</v>
      </c>
      <c r="V10" s="9" t="n">
        <v>260</v>
      </c>
      <c r="W10" s="9" t="n">
        <v>538</v>
      </c>
      <c r="X10" s="6" t="n">
        <v>5783</v>
      </c>
    </row>
    <row r="11">
      <c r="A11" s="9" t="n">
        <v>1937</v>
      </c>
      <c r="B11" s="9" t="n">
        <v>30</v>
      </c>
      <c r="C11" s="9" t="n">
        <v>141</v>
      </c>
      <c r="D11" s="6" t="n">
        <v>1916</v>
      </c>
      <c r="E11" s="9" t="n">
        <v>461</v>
      </c>
      <c r="F11" s="6" t="n">
        <v>1378</v>
      </c>
      <c r="G11" s="9" t="n">
        <v>480</v>
      </c>
      <c r="H11" s="6" t="n">
        <v>5259</v>
      </c>
      <c r="I11" s="6" t="n">
        <v>2110</v>
      </c>
      <c r="J11" s="9" t="n">
        <v>174</v>
      </c>
      <c r="K11" s="9" t="n">
        <v>260</v>
      </c>
      <c r="L11" s="6" t="n">
        <v>2104</v>
      </c>
      <c r="M11" s="9" t="n">
        <v>797</v>
      </c>
      <c r="N11" s="9" t="n">
        <v>49</v>
      </c>
      <c r="O11" s="9" t="n">
        <v>66</v>
      </c>
      <c r="P11" s="9" t="n">
        <v>968</v>
      </c>
      <c r="Q11" s="9" t="n">
        <v>152</v>
      </c>
      <c r="R11" s="9" t="n">
        <v>620</v>
      </c>
      <c r="S11" s="9" t="n">
        <v>159</v>
      </c>
      <c r="T11" s="9" t="n">
        <v>185</v>
      </c>
      <c r="U11" s="9" t="n">
        <v>150</v>
      </c>
      <c r="V11" s="9" t="n">
        <v>568</v>
      </c>
      <c r="W11" s="6" t="n">
        <v>1547</v>
      </c>
      <c r="X11" s="6" t="n">
        <v>7462</v>
      </c>
    </row>
    <row r="12">
      <c r="A12" s="9" t="n">
        <v>1938</v>
      </c>
      <c r="B12" t="inlineStr">
        <is>
          <t>—</t>
        </is>
      </c>
      <c r="C12" s="9" t="n">
        <v>177</v>
      </c>
      <c r="D12" t="inlineStr">
        <is>
          <t>—</t>
        </is>
      </c>
      <c r="E12" s="9" t="n">
        <v>870</v>
      </c>
      <c r="F12" t="inlineStr">
        <is>
          <t>—</t>
        </is>
      </c>
      <c r="G12" s="9" t="n">
        <v>607</v>
      </c>
      <c r="H12" t="inlineStr">
        <is>
          <t>—</t>
        </is>
      </c>
      <c r="I12" s="6" t="n">
        <v>2512</v>
      </c>
      <c r="J12" t="inlineStr">
        <is>
          <t>—</t>
        </is>
      </c>
      <c r="K12" s="9" t="n">
        <v>325</v>
      </c>
      <c r="L12" t="inlineStr">
        <is>
          <t>—</t>
        </is>
      </c>
      <c r="M12" s="9" t="n">
        <v>947</v>
      </c>
      <c r="N12" t="inlineStr">
        <is>
          <t>—</t>
        </is>
      </c>
      <c r="O12" s="9" t="n">
        <v>99</v>
      </c>
      <c r="P12" t="inlineStr">
        <is>
          <t>—</t>
        </is>
      </c>
      <c r="Q12" s="9" t="n">
        <v>151</v>
      </c>
      <c r="R12" t="inlineStr">
        <is>
          <t>—</t>
        </is>
      </c>
      <c r="S12" s="9" t="n">
        <v>215</v>
      </c>
      <c r="T12" t="inlineStr">
        <is>
          <t>—</t>
        </is>
      </c>
      <c r="U12" s="9" t="n">
        <v>69</v>
      </c>
      <c r="V12" t="inlineStr">
        <is>
          <t>—</t>
        </is>
      </c>
      <c r="W12" s="6" t="n">
        <v>1914</v>
      </c>
      <c r="X12" s="6" t="n">
        <v>9245</v>
      </c>
    </row>
    <row r="14">
      <c r="A14" s="2" t="inlineStr">
        <is>
          <t>Footnotes</t>
        </is>
      </c>
    </row>
    <row r="15">
      <c r="A15" t="inlineStr">
        <is>
          <t>Note: * Includes gurnet.</t>
        </is>
      </c>
    </row>
    <row r="17">
      <c r="A17" s="2" t="inlineStr">
        <is>
          <t>Transcriber's notes</t>
        </is>
      </c>
    </row>
    <row r="18">
      <c r="A18" t="inlineStr">
        <is>
          <t>Printed in two blocks on the same page (second headed '(Continued)'); merged as extra columns. No 1933 row is printed (years 1932, 1934-1938).</t>
        </is>
      </c>
    </row>
    <row r="19">
      <c r="A19" t="inlineStr">
        <is>
          <t>'Scom-beremorus', 'Lateola-brax', 'Lepido-trigla' hyphenated across lines in the heading; joined.</t>
        </is>
      </c>
    </row>
    <row r="20">
      <c r="A20" t="inlineStr">
        <is>
          <t>Total incl. Others Value exceeds the sum of listed values in every year as expected (listed sums: 1932 3,563 / 4,104; 1934 4,218 / 5,016; 1935 4,522 / 5,519; 1936 4,903 / 5,783; 1937 6,323 / 7,462; 1938 7,886 / 9,245).</t>
        </is>
      </c>
    </row>
  </sheetData>
  <hyperlinks>
    <hyperlink xmlns:r="http://schemas.openxmlformats.org/officeDocument/2006/relationships" ref="A4" r:id="rId1"/>
  </hyperlink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Amount and Value of Marine Manufactures in Kwantung Province</t>
        </is>
      </c>
    </row>
    <row r="2">
      <c r="A2" t="inlineStr">
        <is>
          <t>Fisheries · printed pp. 475</t>
        </is>
      </c>
    </row>
    <row r="3">
      <c r="A3" s="3" t="inlineStr">
        <is>
          <t>← Contents</t>
        </is>
      </c>
    </row>
    <row r="5">
      <c r="A5" s="5" t="inlineStr">
        <is>
          <t>Year</t>
        </is>
      </c>
      <c r="B5" s="5" t="inlineStr">
        <is>
          <t>Preserved and dried articles — Quantity (Kwan)</t>
        </is>
      </c>
      <c r="C5" s="5" t="inlineStr">
        <is>
          <t>Preserved and dried articles — Value (Yen)</t>
        </is>
      </c>
      <c r="D5" s="5" t="inlineStr">
        <is>
          <t>Finished articles — Quantity (Kwan)</t>
        </is>
      </c>
      <c r="E5" s="5" t="inlineStr">
        <is>
          <t>Finished articles — Value (Yen)</t>
        </is>
      </c>
      <c r="F5" s="5" t="inlineStr">
        <is>
          <t>Total — Quantity (Kwan)</t>
        </is>
      </c>
      <c r="G5" s="5" t="inlineStr">
        <is>
          <t>Total — Value (Yen)</t>
        </is>
      </c>
    </row>
    <row r="6">
      <c r="A6" s="9" t="n">
        <v>1929</v>
      </c>
      <c r="B6" s="6" t="n">
        <v>1657245</v>
      </c>
      <c r="C6" s="6" t="n">
        <v>1141895</v>
      </c>
      <c r="D6" s="6" t="n">
        <v>99351</v>
      </c>
      <c r="E6" s="6" t="n">
        <v>192343</v>
      </c>
      <c r="F6" s="6" t="n">
        <v>1774596</v>
      </c>
      <c r="G6" s="6" t="n">
        <v>1334238</v>
      </c>
    </row>
    <row r="7">
      <c r="A7" s="9" t="n">
        <v>1930</v>
      </c>
      <c r="B7" s="6" t="n">
        <v>1623218</v>
      </c>
      <c r="C7" s="6" t="n">
        <v>1151380</v>
      </c>
      <c r="D7" s="6" t="n">
        <v>84790</v>
      </c>
      <c r="E7" s="6" t="n">
        <v>188194</v>
      </c>
      <c r="F7" s="6" t="n">
        <v>1708008</v>
      </c>
      <c r="G7" s="6" t="n">
        <v>1339574</v>
      </c>
    </row>
    <row r="8">
      <c r="A8" s="9" t="n">
        <v>1931</v>
      </c>
      <c r="B8" s="6" t="n">
        <v>1562667</v>
      </c>
      <c r="C8" s="6" t="n">
        <v>911492</v>
      </c>
      <c r="D8" s="6" t="n">
        <v>86783</v>
      </c>
      <c r="E8" s="6" t="n">
        <v>189839</v>
      </c>
      <c r="F8" s="6" t="n">
        <v>1649450</v>
      </c>
      <c r="G8" s="6" t="n">
        <v>1101331</v>
      </c>
    </row>
    <row r="9">
      <c r="A9" s="9" t="n">
        <v>1932</v>
      </c>
      <c r="B9" s="6" t="n">
        <v>1500213</v>
      </c>
      <c r="C9" s="6" t="n">
        <v>959782</v>
      </c>
      <c r="D9" s="6" t="n">
        <v>85074</v>
      </c>
      <c r="E9" s="6" t="n">
        <v>201654</v>
      </c>
      <c r="F9" s="6" t="n">
        <v>1585287</v>
      </c>
      <c r="G9" s="6" t="n">
        <v>1161436</v>
      </c>
    </row>
    <row r="10">
      <c r="A10" s="9" t="n">
        <v>1933</v>
      </c>
      <c r="B10" s="6" t="n">
        <v>1588508</v>
      </c>
      <c r="C10" s="6" t="n">
        <v>965482</v>
      </c>
      <c r="D10" s="6" t="n">
        <v>85907</v>
      </c>
      <c r="E10" s="6" t="n">
        <v>214942</v>
      </c>
      <c r="F10" s="6" t="n">
        <v>1674415</v>
      </c>
      <c r="G10" s="6" t="n">
        <v>1180424</v>
      </c>
    </row>
    <row r="11">
      <c r="A11" s="9" t="n">
        <v>1934</v>
      </c>
      <c r="B11" s="6" t="n">
        <v>914741</v>
      </c>
      <c r="C11" s="6" t="n">
        <v>798130</v>
      </c>
      <c r="D11" s="6" t="n">
        <v>88876</v>
      </c>
      <c r="E11" s="6" t="n">
        <v>223074</v>
      </c>
      <c r="F11" s="6" t="n">
        <v>1003617</v>
      </c>
      <c r="G11" s="6" t="n">
        <v>1021204</v>
      </c>
    </row>
    <row r="12">
      <c r="A12" s="9" t="n">
        <v>1935</v>
      </c>
      <c r="B12" s="6" t="n">
        <v>1056159</v>
      </c>
      <c r="C12" s="6" t="n">
        <v>667429</v>
      </c>
      <c r="D12" s="6" t="n">
        <v>87224</v>
      </c>
      <c r="E12" s="6" t="n">
        <v>210010</v>
      </c>
      <c r="F12" s="6" t="n">
        <v>1143383</v>
      </c>
      <c r="G12" s="6" t="n">
        <v>877439</v>
      </c>
    </row>
    <row r="13">
      <c r="A13" s="9" t="n">
        <v>1936</v>
      </c>
      <c r="B13" s="6" t="n">
        <v>911643</v>
      </c>
      <c r="C13" s="6" t="n">
        <v>625092</v>
      </c>
      <c r="D13" s="6" t="n">
        <v>92491</v>
      </c>
      <c r="E13" s="6" t="n">
        <v>225127</v>
      </c>
      <c r="F13" s="6" t="n">
        <v>1004134</v>
      </c>
      <c r="G13" s="6" t="n">
        <v>850217</v>
      </c>
    </row>
    <row r="14">
      <c r="A14" s="9" t="n">
        <v>1937</v>
      </c>
      <c r="B14" s="6" t="n">
        <v>891573</v>
      </c>
      <c r="C14" s="6" t="n">
        <v>576581</v>
      </c>
      <c r="D14" s="6" t="n">
        <v>50172</v>
      </c>
      <c r="E14" s="6" t="n">
        <v>114912</v>
      </c>
      <c r="F14" s="6" t="n">
        <v>941745</v>
      </c>
      <c r="G14" s="6" t="n">
        <v>691493</v>
      </c>
    </row>
    <row r="15">
      <c r="A15" s="9" t="n">
        <v>1938</v>
      </c>
      <c r="B15" t="inlineStr">
        <is>
          <t>—</t>
        </is>
      </c>
      <c r="C15" s="6" t="n">
        <v>664306</v>
      </c>
      <c r="D15" t="inlineStr">
        <is>
          <t>—</t>
        </is>
      </c>
      <c r="E15" s="6" t="n">
        <v>540725</v>
      </c>
      <c r="F15" t="inlineStr">
        <is>
          <t>—</t>
        </is>
      </c>
      <c r="G15" s="6" t="n">
        <v>1205031</v>
      </c>
    </row>
    <row r="17">
      <c r="A17" s="2" t="inlineStr">
        <is>
          <t>Transcriber's notes</t>
        </is>
      </c>
    </row>
    <row r="18">
      <c r="A18" t="inlineStr">
        <is>
          <t>Year stubs print about half a row below the figures; 10 stubs match 10 rows.</t>
        </is>
      </c>
    </row>
    <row r="19">
      <c r="A19" t="inlineStr">
        <is>
          <t>Totals reconcile in every row except: 1929 Quantity 1,657,245 + 99,351 = 1,756,596 vs printed 1,774,596 — does NOT reconcile (diff 18,000); 1936 Value 625,092 + 225,127 = 850,219 vs printed 850,217 (diff 2).</t>
        </is>
      </c>
    </row>
  </sheetData>
  <hyperlinks>
    <hyperlink xmlns:r="http://schemas.openxmlformats.org/officeDocument/2006/relationships" ref="A3" r:id="rId1"/>
  </hyperlink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8. Exports &amp; Imports of Marine Products</t>
        </is>
      </c>
    </row>
    <row r="2">
      <c r="A2" t="inlineStr">
        <is>
          <t>Fisheries · printed pp. 475</t>
        </is>
      </c>
    </row>
    <row r="3">
      <c r="A3" s="3" t="inlineStr">
        <is>
          <t>← Contents</t>
        </is>
      </c>
    </row>
    <row r="5">
      <c r="A5" s="5" t="inlineStr">
        <is>
          <t>Year</t>
        </is>
      </c>
      <c r="B5" s="5" t="inlineStr">
        <is>
          <t>Import — Quantity (Piculs)</t>
        </is>
      </c>
      <c r="C5" s="5" t="inlineStr">
        <is>
          <t>Import — Value (Hk. Tls.)</t>
        </is>
      </c>
      <c r="D5" s="5" t="inlineStr">
        <is>
          <t>Export — Quantity (Piculs)</t>
        </is>
      </c>
      <c r="E5" s="5" t="inlineStr">
        <is>
          <t>Export — Value (Hk. Tls.)</t>
        </is>
      </c>
      <c r="F5" s="5" t="inlineStr">
        <is>
          <t>Excess of Import — Quantity (Piculs)</t>
        </is>
      </c>
      <c r="G5" s="5" t="inlineStr">
        <is>
          <t>Excess of Import — Value (Hk. Tls.)</t>
        </is>
      </c>
      <c r="H5" s="5" t="inlineStr">
        <is>
          <t>% — Import</t>
        </is>
      </c>
      <c r="I5" s="5" t="inlineStr">
        <is>
          <t>% — Export</t>
        </is>
      </c>
    </row>
    <row r="6">
      <c r="A6" s="9" t="n">
        <v>1928</v>
      </c>
      <c r="B6" s="6" t="n">
        <v>497105</v>
      </c>
      <c r="C6" s="6" t="n">
        <v>4501101</v>
      </c>
      <c r="D6" s="6" t="n">
        <v>105763</v>
      </c>
      <c r="E6" s="6" t="n">
        <v>720208</v>
      </c>
      <c r="F6" s="6" t="n">
        <v>391342</v>
      </c>
      <c r="G6" s="6" t="n">
        <v>3780893</v>
      </c>
      <c r="H6" s="8" t="n">
        <v>86.2</v>
      </c>
      <c r="I6" s="8" t="n">
        <v>13.8</v>
      </c>
    </row>
    <row r="7">
      <c r="A7" s="9" t="n">
        <v>1929</v>
      </c>
      <c r="B7" s="6" t="n">
        <v>489637</v>
      </c>
      <c r="C7" s="6" t="n">
        <v>4403861</v>
      </c>
      <c r="D7" s="6" t="n">
        <v>160626</v>
      </c>
      <c r="E7" s="6" t="n">
        <v>859229</v>
      </c>
      <c r="F7" s="6" t="n">
        <v>239011</v>
      </c>
      <c r="G7" s="6" t="n">
        <v>3544632</v>
      </c>
      <c r="H7" s="8" t="n">
        <v>83.7</v>
      </c>
      <c r="I7" s="8" t="n">
        <v>16.3</v>
      </c>
    </row>
    <row r="8">
      <c r="A8" s="9" t="n">
        <v>1930</v>
      </c>
      <c r="B8" s="6" t="n">
        <v>375284</v>
      </c>
      <c r="C8" s="6" t="n">
        <v>4415827</v>
      </c>
      <c r="D8" s="6" t="n">
        <v>107413</v>
      </c>
      <c r="E8" s="6" t="n">
        <v>725010</v>
      </c>
      <c r="F8" s="6" t="n">
        <v>267871</v>
      </c>
      <c r="G8" s="6" t="n">
        <v>3690817</v>
      </c>
      <c r="H8" s="8" t="n">
        <v>85.90000000000001</v>
      </c>
      <c r="I8" s="8" t="n">
        <v>14.1</v>
      </c>
    </row>
    <row r="9">
      <c r="A9" s="9" t="n">
        <v>1931</v>
      </c>
      <c r="B9" s="6" t="n">
        <v>158228</v>
      </c>
      <c r="C9" s="6" t="n">
        <v>2974735</v>
      </c>
      <c r="D9" s="6" t="n">
        <v>138823</v>
      </c>
      <c r="E9" s="6" t="n">
        <v>1065842</v>
      </c>
      <c r="F9" s="6" t="n">
        <v>19405</v>
      </c>
      <c r="G9" s="6" t="n">
        <v>1908893</v>
      </c>
      <c r="H9" s="8" t="n">
        <v>73.59999999999999</v>
      </c>
      <c r="I9" s="8" t="n">
        <v>26.4</v>
      </c>
    </row>
    <row r="10">
      <c r="A10" s="9" t="n">
        <v>1932</v>
      </c>
      <c r="B10" s="6" t="n">
        <v>324297</v>
      </c>
      <c r="C10" t="inlineStr">
        <is>
          <t>7,394,836*</t>
        </is>
      </c>
      <c r="D10" s="6" t="n">
        <v>99826</v>
      </c>
      <c r="E10" t="inlineStr">
        <is>
          <t>1,947,744*</t>
        </is>
      </c>
      <c r="F10" s="6" t="n">
        <v>224471</v>
      </c>
      <c r="G10" t="inlineStr">
        <is>
          <t>5,447,092*</t>
        </is>
      </c>
      <c r="H10" s="8" t="n">
        <v>79.09999999999999</v>
      </c>
      <c r="I10" s="8" t="n">
        <v>20.9</v>
      </c>
    </row>
    <row r="11">
      <c r="A11" s="9" t="n">
        <v>1933</v>
      </c>
      <c r="B11" s="6" t="n">
        <v>460411</v>
      </c>
      <c r="C11" t="inlineStr">
        <is>
          <t>8,169,789*</t>
        </is>
      </c>
      <c r="D11" s="6" t="n">
        <v>122839</v>
      </c>
      <c r="E11" t="inlineStr">
        <is>
          <t>480,780*</t>
        </is>
      </c>
      <c r="F11" s="6" t="n">
        <v>337572</v>
      </c>
      <c r="G11" t="inlineStr">
        <is>
          <t>7,689,009*</t>
        </is>
      </c>
      <c r="H11" s="8" t="n">
        <v>94.90000000000001</v>
      </c>
      <c r="I11" s="8" t="n">
        <v>5.1</v>
      </c>
    </row>
    <row r="12">
      <c r="A12" s="9" t="n">
        <v>1934</v>
      </c>
      <c r="B12" s="6" t="n">
        <v>401315</v>
      </c>
      <c r="C12" t="inlineStr">
        <is>
          <t>8,237,951*</t>
        </is>
      </c>
      <c r="D12" s="6" t="n">
        <v>64686</v>
      </c>
      <c r="E12" t="inlineStr">
        <is>
          <t>406,173*</t>
        </is>
      </c>
      <c r="F12" s="6" t="n">
        <v>336629</v>
      </c>
      <c r="G12" t="inlineStr">
        <is>
          <t>7,831,778*</t>
        </is>
      </c>
      <c r="H12" s="8" t="n">
        <v>95.3</v>
      </c>
      <c r="I12" s="8" t="n">
        <v>4.7</v>
      </c>
    </row>
    <row r="13">
      <c r="A13" s="9" t="n">
        <v>1935</v>
      </c>
      <c r="B13" s="6" t="n">
        <v>381259</v>
      </c>
      <c r="C13" t="inlineStr">
        <is>
          <t>8,552,935*</t>
        </is>
      </c>
      <c r="D13" s="6" t="n">
        <v>71556</v>
      </c>
      <c r="E13" t="inlineStr">
        <is>
          <t>543,429*</t>
        </is>
      </c>
      <c r="F13" s="6" t="n">
        <v>309703</v>
      </c>
      <c r="G13" t="inlineStr">
        <is>
          <t>8,009,506*</t>
        </is>
      </c>
      <c r="H13" s="8" t="n">
        <v>94</v>
      </c>
      <c r="I13" s="8" t="n">
        <v>6</v>
      </c>
    </row>
    <row r="14">
      <c r="A14" s="9" t="n">
        <v>1936</v>
      </c>
      <c r="B14" t="inlineStr">
        <is>
          <t>—</t>
        </is>
      </c>
      <c r="C14" t="inlineStr">
        <is>
          <t>12,004,674*</t>
        </is>
      </c>
      <c r="D14" t="inlineStr">
        <is>
          <t>—</t>
        </is>
      </c>
      <c r="E14" t="inlineStr">
        <is>
          <t>356,634*</t>
        </is>
      </c>
      <c r="F14" t="inlineStr">
        <is>
          <t>—</t>
        </is>
      </c>
      <c r="G14" t="inlineStr">
        <is>
          <t>11,648,040*</t>
        </is>
      </c>
      <c r="H14" s="8" t="n">
        <v>97.3</v>
      </c>
      <c r="I14" s="8" t="n">
        <v>2.7</v>
      </c>
    </row>
    <row r="15">
      <c r="A15" s="9" t="n">
        <v>1937</v>
      </c>
      <c r="B15" t="inlineStr">
        <is>
          <t>—</t>
        </is>
      </c>
      <c r="C15" t="inlineStr">
        <is>
          <t>20,584,738*</t>
        </is>
      </c>
      <c r="D15" t="inlineStr">
        <is>
          <t>—</t>
        </is>
      </c>
      <c r="E15" t="inlineStr">
        <is>
          <t>422,192*</t>
        </is>
      </c>
      <c r="F15" t="inlineStr">
        <is>
          <t>—</t>
        </is>
      </c>
      <c r="G15" t="inlineStr">
        <is>
          <t>20,162,546*</t>
        </is>
      </c>
      <c r="H15" s="8" t="n">
        <v>97.90000000000001</v>
      </c>
      <c r="I15" s="8" t="n">
        <v>2.1</v>
      </c>
    </row>
    <row r="16">
      <c r="A16" s="9" t="n">
        <v>1938</v>
      </c>
      <c r="B16" t="inlineStr">
        <is>
          <t>—</t>
        </is>
      </c>
      <c r="C16" t="inlineStr">
        <is>
          <t>17,136,000*</t>
        </is>
      </c>
      <c r="D16" t="inlineStr">
        <is>
          <t>—</t>
        </is>
      </c>
      <c r="E16" t="inlineStr">
        <is>
          <t>815,567*</t>
        </is>
      </c>
      <c r="F16" t="inlineStr">
        <is>
          <t>—</t>
        </is>
      </c>
      <c r="G16" t="inlineStr">
        <is>
          <t>16,321,000*</t>
        </is>
      </c>
      <c r="H16" s="8" t="n">
        <v>95.2</v>
      </c>
      <c r="I16" s="8" t="n">
        <v>4.8</v>
      </c>
    </row>
    <row r="17">
      <c r="A17" s="9" t="n">
        <v>1939</v>
      </c>
      <c r="B17" t="inlineStr">
        <is>
          <t>—</t>
        </is>
      </c>
      <c r="C17" t="inlineStr">
        <is>
          <t>47,858,000*</t>
        </is>
      </c>
      <c r="D17" t="inlineStr">
        <is>
          <t>—</t>
        </is>
      </c>
      <c r="E17" t="inlineStr">
        <is>
          <t>1,429,353*</t>
        </is>
      </c>
      <c r="F17" t="inlineStr">
        <is>
          <t>—</t>
        </is>
      </c>
      <c r="G17" t="inlineStr">
        <is>
          <t>46,429,000*</t>
        </is>
      </c>
      <c r="H17" s="8" t="n">
        <v>97.09999999999999</v>
      </c>
      <c r="I17" s="8" t="n">
        <v>2.9</v>
      </c>
    </row>
    <row r="19">
      <c r="A19" s="2" t="inlineStr">
        <is>
          <t>Footnotes</t>
        </is>
      </c>
    </row>
    <row r="20">
      <c r="A20" t="inlineStr">
        <is>
          <t>Note: * represent M¥</t>
        </is>
      </c>
    </row>
    <row r="22">
      <c r="A22" s="2" t="inlineStr">
        <is>
          <t>Transcriber's notes</t>
        </is>
      </c>
    </row>
    <row r="23">
      <c r="A23" t="inlineStr">
        <is>
          <t>Excess of Import = Import − Export: reconciles in every row except 1929 Quantity 489,637 − 160,626 = 329,011 vs printed 239,011 — does NOT reconcile (diff 90,000); 1938 value 16,320,433 vs 16,321,000 and 1939 46,428,647 vs 46,429,000 (printed figures rounded to thousands).</t>
        </is>
      </c>
    </row>
    <row r="24">
      <c r="A24" t="inlineStr">
        <is>
          <t>% columns (share of Import vs Export in Import + Export value) agree within 0.1 for most years; 1933 computes 94.4/5.6 vs printed 94.9/5.1, 1936 97.1/2.9 vs 97.3/2.7, 1938 95.5/4.5 vs 95.2/4.8 — small discrepancies, transcribed as printed.</t>
        </is>
      </c>
    </row>
  </sheetData>
  <hyperlinks>
    <hyperlink xmlns:r="http://schemas.openxmlformats.org/officeDocument/2006/relationships" ref="A3" r:id="rId1"/>
  </hyperlink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9. Salt Production in Manchuria</t>
        </is>
      </c>
    </row>
    <row r="2">
      <c r="A2" t="inlineStr">
        <is>
          <t>Fisheries · printed pp. 476</t>
        </is>
      </c>
    </row>
    <row r="3">
      <c r="A3" s="3" t="inlineStr">
        <is>
          <t>← Contents</t>
        </is>
      </c>
    </row>
    <row r="5">
      <c r="A5" s="5" t="inlineStr">
        <is>
          <t>Year</t>
        </is>
      </c>
      <c r="B5" s="5" t="inlineStr">
        <is>
          <t>Manchoukuo — Area (Cho)</t>
        </is>
      </c>
      <c r="C5" s="5" t="inlineStr">
        <is>
          <t>Manchoukuo — Output (m. tons)</t>
        </is>
      </c>
      <c r="D5" s="5" t="inlineStr">
        <is>
          <t>Kwantung — Area (Cho)</t>
        </is>
      </c>
      <c r="E5" s="5" t="inlineStr">
        <is>
          <t>Kwantung — Output (m. tons)</t>
        </is>
      </c>
      <c r="F5" s="5" t="inlineStr">
        <is>
          <t>Total — Area (Cho)</t>
        </is>
      </c>
      <c r="G5" s="5" t="inlineStr">
        <is>
          <t>Total — Output (m. tons)</t>
        </is>
      </c>
    </row>
    <row r="6">
      <c r="A6" s="9" t="n">
        <v>1934</v>
      </c>
      <c r="B6" s="6" t="n">
        <v>8295</v>
      </c>
      <c r="C6" s="6" t="n">
        <v>168268</v>
      </c>
      <c r="D6" s="6" t="n">
        <v>7080</v>
      </c>
      <c r="E6" s="6" t="n">
        <v>249367</v>
      </c>
      <c r="F6" s="6" t="n">
        <v>15375</v>
      </c>
      <c r="G6" s="6" t="n">
        <v>418135</v>
      </c>
    </row>
    <row r="7">
      <c r="A7" s="9" t="n">
        <v>1935</v>
      </c>
      <c r="B7" s="6" t="n">
        <v>14643</v>
      </c>
      <c r="C7" s="6" t="n">
        <v>396310</v>
      </c>
      <c r="D7" s="6" t="n">
        <v>8653</v>
      </c>
      <c r="E7" s="6" t="n">
        <v>505809</v>
      </c>
      <c r="F7" s="6" t="n">
        <v>23296</v>
      </c>
      <c r="G7" s="6" t="n">
        <v>902119</v>
      </c>
    </row>
    <row r="8">
      <c r="A8" s="9" t="n">
        <v>1936</v>
      </c>
      <c r="B8" s="6" t="n">
        <v>14678</v>
      </c>
      <c r="C8" s="6" t="n">
        <v>372711</v>
      </c>
      <c r="D8" s="6" t="n">
        <v>9024</v>
      </c>
      <c r="E8" s="6" t="n">
        <v>413084</v>
      </c>
      <c r="F8" s="6" t="n">
        <v>23702</v>
      </c>
      <c r="G8" s="6" t="n">
        <v>785385</v>
      </c>
    </row>
    <row r="9">
      <c r="A9" s="9" t="n">
        <v>1937</v>
      </c>
      <c r="B9" s="6" t="n">
        <v>13879</v>
      </c>
      <c r="C9" s="6" t="n">
        <v>334549</v>
      </c>
      <c r="D9" s="6" t="n">
        <v>9082</v>
      </c>
      <c r="E9" s="6" t="n">
        <v>429188</v>
      </c>
      <c r="F9" s="6" t="n">
        <v>22961</v>
      </c>
      <c r="G9" s="6" t="n">
        <v>763737</v>
      </c>
    </row>
    <row r="10">
      <c r="A10" s="9" t="n">
        <v>1938</v>
      </c>
      <c r="B10" s="6" t="n">
        <v>13984</v>
      </c>
      <c r="C10" s="6" t="n">
        <v>222613</v>
      </c>
      <c r="D10" s="6" t="n">
        <v>9082</v>
      </c>
      <c r="E10" s="6" t="n">
        <v>424342</v>
      </c>
      <c r="F10" s="6" t="n">
        <v>23066</v>
      </c>
      <c r="G10" s="6" t="n">
        <v>646955</v>
      </c>
    </row>
    <row r="12">
      <c r="A12" s="2" t="inlineStr">
        <is>
          <t>Transcriber's notes</t>
        </is>
      </c>
    </row>
    <row r="13">
      <c r="A13" t="inlineStr">
        <is>
          <t>Total columns print drifting below the stubs; one figure per year assigned in order.</t>
        </is>
      </c>
    </row>
    <row r="14">
      <c r="A14" t="inlineStr">
        <is>
          <t>Area totals reconcile in every year. Output totals reconcile for 1935, 1937, 1938; 1934 168,268 + 249,367 = 417,635 vs printed 418,135 — does NOT reconcile (diff 500); 1936 372,711 + 413,084 = 785,795 vs printed 785,385 — does NOT reconcile (diff −410).</t>
        </is>
      </c>
    </row>
  </sheetData>
  <hyperlinks>
    <hyperlink xmlns:r="http://schemas.openxmlformats.org/officeDocument/2006/relationships" ref="A3" r:id="rId1"/>
  </hyperlink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10. Demand and Supply of Salt</t>
        </is>
      </c>
    </row>
    <row r="2">
      <c r="A2" t="inlineStr">
        <is>
          <t>Fisheries · printed pp. 476</t>
        </is>
      </c>
    </row>
    <row r="3">
      <c r="A3" t="inlineStr">
        <is>
          <t>(Unit: M. tons)</t>
        </is>
      </c>
    </row>
    <row r="4">
      <c r="A4" s="3" t="inlineStr">
        <is>
          <t>← Contents</t>
        </is>
      </c>
    </row>
    <row r="6">
      <c r="A6" s="2" t="inlineStr">
        <is>
          <t>(A) Manchoukuo</t>
        </is>
      </c>
    </row>
    <row r="7">
      <c r="A7" s="5" t="inlineStr">
        <is>
          <t>Year</t>
        </is>
      </c>
      <c r="B7" s="5" t="inlineStr">
        <is>
          <t>Government Sale</t>
        </is>
      </c>
      <c r="C7" s="5" t="inlineStr">
        <is>
          <t>Commercial Sale</t>
        </is>
      </c>
      <c r="D7" s="5" t="inlineStr">
        <is>
          <t>Export of Industrial Salt</t>
        </is>
      </c>
      <c r="E7" s="5" t="inlineStr">
        <is>
          <t>Others</t>
        </is>
      </c>
      <c r="F7" s="5" t="inlineStr">
        <is>
          <t>Loss</t>
        </is>
      </c>
      <c r="G7" s="5" t="inlineStr">
        <is>
          <t>Carried to following year</t>
        </is>
      </c>
      <c r="H7" s="5" t="inlineStr">
        <is>
          <t>Total</t>
        </is>
      </c>
    </row>
    <row r="8">
      <c r="A8" s="9" t="n">
        <v>1934</v>
      </c>
      <c r="B8" s="6" t="n">
        <v>74956</v>
      </c>
      <c r="C8" s="6" t="n">
        <v>126543</v>
      </c>
      <c r="D8" s="6" t="n">
        <v>98533</v>
      </c>
      <c r="E8" s="6" t="n">
        <v>4931</v>
      </c>
      <c r="F8" s="6" t="n">
        <v>18870</v>
      </c>
      <c r="G8" s="6" t="n">
        <v>302796</v>
      </c>
      <c r="H8" s="6" t="n">
        <v>323833</v>
      </c>
    </row>
    <row r="9">
      <c r="A9" s="9" t="n">
        <v>1935</v>
      </c>
      <c r="B9" s="6" t="n">
        <v>85210</v>
      </c>
      <c r="C9" s="6" t="n">
        <v>120280</v>
      </c>
      <c r="D9" s="6" t="n">
        <v>75280</v>
      </c>
      <c r="E9" s="6" t="n">
        <v>3578</v>
      </c>
      <c r="F9" s="6" t="n">
        <v>17471</v>
      </c>
      <c r="G9" s="6" t="n">
        <v>396609</v>
      </c>
      <c r="H9" s="6" t="n">
        <v>302497</v>
      </c>
    </row>
    <row r="10">
      <c r="A10" s="9" t="n">
        <v>1936</v>
      </c>
      <c r="B10" s="6" t="n">
        <v>99197</v>
      </c>
      <c r="C10" s="6" t="n">
        <v>155234</v>
      </c>
      <c r="D10" s="6" t="n">
        <v>110747</v>
      </c>
      <c r="E10" s="6" t="n">
        <v>4998</v>
      </c>
      <c r="F10" s="6" t="n">
        <v>41968</v>
      </c>
      <c r="G10" s="6" t="n">
        <v>356767</v>
      </c>
      <c r="H10" s="6" t="n">
        <v>412144</v>
      </c>
    </row>
    <row r="11">
      <c r="A11" s="9" t="n">
        <v>1937</v>
      </c>
      <c r="B11" s="6" t="n">
        <v>273372</v>
      </c>
      <c r="C11" t="inlineStr"/>
      <c r="D11" s="6" t="n">
        <v>115000</v>
      </c>
      <c r="E11" t="inlineStr">
        <is>
          <t>—</t>
        </is>
      </c>
      <c r="F11" t="inlineStr">
        <is>
          <t>—</t>
        </is>
      </c>
      <c r="G11" s="6" t="n">
        <v>235214</v>
      </c>
      <c r="H11" s="6" t="n">
        <v>388372</v>
      </c>
    </row>
    <row r="12">
      <c r="A12" s="9" t="n">
        <v>1938</v>
      </c>
      <c r="B12" s="6" t="n">
        <v>325808</v>
      </c>
      <c r="C12" t="inlineStr"/>
      <c r="D12" s="6" t="n">
        <v>70386</v>
      </c>
      <c r="E12" t="inlineStr">
        <is>
          <t>—</t>
        </is>
      </c>
      <c r="F12" t="inlineStr">
        <is>
          <t>—</t>
        </is>
      </c>
      <c r="G12" t="inlineStr">
        <is>
          <t>—</t>
        </is>
      </c>
      <c r="H12" t="inlineStr">
        <is>
          <t>—</t>
        </is>
      </c>
    </row>
    <row r="14">
      <c r="A14" s="2" t="inlineStr">
        <is>
          <t>(B) Kwantung</t>
        </is>
      </c>
    </row>
    <row r="15">
      <c r="A15" s="5" t="inlineStr">
        <is>
          <t>Year</t>
        </is>
      </c>
      <c r="B15" s="5" t="inlineStr">
        <is>
          <t>Export — Japanese monopoly</t>
        </is>
      </c>
      <c r="C15" s="5" t="inlineStr">
        <is>
          <t>Export — Industrial use</t>
        </is>
      </c>
      <c r="D15" s="5" t="inlineStr">
        <is>
          <t>Export — Chosen</t>
        </is>
      </c>
      <c r="E15" s="5" t="inlineStr">
        <is>
          <t>Export — Karafuto</t>
        </is>
      </c>
      <c r="F15" s="5" t="inlineStr">
        <is>
          <t>Consumption</t>
        </is>
      </c>
      <c r="G15" s="5" t="inlineStr">
        <is>
          <t>Carried to following year</t>
        </is>
      </c>
      <c r="H15" s="5" t="inlineStr">
        <is>
          <t>Total incl. others</t>
        </is>
      </c>
    </row>
    <row r="16">
      <c r="A16" s="9" t="n">
        <v>1934</v>
      </c>
      <c r="B16" s="6" t="n">
        <v>55502</v>
      </c>
      <c r="C16" s="6" t="n">
        <v>103675</v>
      </c>
      <c r="D16" s="6" t="n">
        <v>71675</v>
      </c>
      <c r="E16" s="6" t="n">
        <v>19498</v>
      </c>
      <c r="F16" s="6" t="n">
        <v>19393</v>
      </c>
      <c r="G16" t="inlineStr">
        <is>
          <t>—</t>
        </is>
      </c>
      <c r="H16" s="6" t="n">
        <v>269792</v>
      </c>
    </row>
    <row r="17">
      <c r="A17" s="9" t="n">
        <v>1935</v>
      </c>
      <c r="B17" s="6" t="n">
        <v>48512</v>
      </c>
      <c r="C17" s="6" t="n">
        <v>129993</v>
      </c>
      <c r="D17" s="6" t="n">
        <v>35351</v>
      </c>
      <c r="E17" s="6" t="n">
        <v>23542</v>
      </c>
      <c r="F17" s="6" t="n">
        <v>23692</v>
      </c>
      <c r="G17" s="6" t="n">
        <v>326563</v>
      </c>
      <c r="H17" s="6" t="n">
        <v>261997</v>
      </c>
    </row>
    <row r="18">
      <c r="A18" s="9" t="n">
        <v>1936</v>
      </c>
      <c r="B18" s="6" t="n">
        <v>47891</v>
      </c>
      <c r="C18" s="6" t="n">
        <v>195768</v>
      </c>
      <c r="D18" s="6" t="n">
        <v>31786</v>
      </c>
      <c r="E18" s="6" t="n">
        <v>17366</v>
      </c>
      <c r="F18" s="6" t="n">
        <v>24764</v>
      </c>
      <c r="G18" s="6" t="n">
        <v>449205</v>
      </c>
      <c r="H18" s="6" t="n">
        <v>331694</v>
      </c>
    </row>
    <row r="19">
      <c r="A19" s="9" t="n">
        <v>1937</v>
      </c>
      <c r="B19" s="6" t="n">
        <v>47016</v>
      </c>
      <c r="C19" s="6" t="n">
        <v>380666</v>
      </c>
      <c r="D19" s="6" t="n">
        <v>56978</v>
      </c>
      <c r="E19" s="6" t="n">
        <v>26999</v>
      </c>
      <c r="F19" s="6" t="n">
        <v>47136</v>
      </c>
      <c r="G19" s="6" t="n">
        <v>250879</v>
      </c>
      <c r="H19" s="6" t="n">
        <v>561963</v>
      </c>
    </row>
    <row r="20">
      <c r="A20" s="9" t="n">
        <v>1938</v>
      </c>
      <c r="B20" s="6" t="n">
        <v>137899</v>
      </c>
      <c r="C20" s="6" t="n">
        <v>163566</v>
      </c>
      <c r="D20" s="6" t="n">
        <v>62961</v>
      </c>
      <c r="E20" s="6" t="n">
        <v>32951</v>
      </c>
      <c r="F20" s="6" t="n">
        <v>101635</v>
      </c>
      <c r="G20" s="6" t="n">
        <v>174123</v>
      </c>
      <c r="H20" s="6" t="n">
        <v>502042</v>
      </c>
    </row>
    <row r="22">
      <c r="A22" s="2" t="inlineStr">
        <is>
          <t>Transcriber's notes</t>
        </is>
      </c>
    </row>
    <row r="23">
      <c r="A23" t="inlineStr">
        <is>
          <t>(A) 1937 and 1938: Government Sale and Commercial Sale printed as one combined figure under a brace; entered in 'Government Sale', 'Commercial Sale' empty. 1937 'Carried to following year' 235,214 and Total 388,372 are printed between the 1937 and 1938 rows; assigned to 1937 since 1938 has dashes in those columns.</t>
        </is>
      </c>
    </row>
    <row r="24">
      <c r="A24" t="inlineStr">
        <is>
          <t>(A) Total = Government + Commercial + Export + Others + Loss (excluding Carried forward): 1934 323,833, 1936 412,144, 1937 388,372 reconcile; 1935 parts 301,819 vs printed 302,497 — does NOT reconcile (diff 678).</t>
        </is>
      </c>
    </row>
    <row r="25">
      <c r="A25" t="inlineStr">
        <is>
          <t>(B) 'Total incl. others' vs Export items + Consumption (excluding Carried forward): 1934 269,743 vs 269,792 (+49); 1935 261,090 vs 261,997 (+907); 1936 317,575 vs 331,694 (+14,119); 1937 558,795 vs 561,963 (+3,168); 1938 499,012 vs 502,042 (+3,030). Total includes unlisted 'others', so it exceeds the listed parts as expected; not a clean check.</t>
        </is>
      </c>
    </row>
  </sheetData>
  <hyperlinks>
    <hyperlink xmlns:r="http://schemas.openxmlformats.org/officeDocument/2006/relationships" ref="A4" r:id="rId1"/>
  </hyperlink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11. Salt Production Program</t>
        </is>
      </c>
    </row>
    <row r="2">
      <c r="A2" t="inlineStr">
        <is>
          <t>Fisheries · printed pp. 477</t>
        </is>
      </c>
    </row>
    <row r="3">
      <c r="A3" t="inlineStr">
        <is>
          <t>(Unit: 1,000 metric tons)</t>
        </is>
      </c>
    </row>
    <row r="4">
      <c r="A4" s="3" t="inlineStr">
        <is>
          <t>← Contents</t>
        </is>
      </c>
    </row>
    <row r="6">
      <c r="A6" s="5" t="inlineStr">
        <is>
          <t>Year</t>
        </is>
      </c>
      <c r="B6" s="5" t="inlineStr">
        <is>
          <t>By Manchuria Salt Ind. Co.</t>
        </is>
      </c>
      <c r="C6" s="5" t="inlineStr">
        <is>
          <t>Other plants</t>
        </is>
      </c>
      <c r="D6" s="5" t="inlineStr">
        <is>
          <t>Total</t>
        </is>
      </c>
    </row>
    <row r="7">
      <c r="A7" s="9" t="n">
        <v>1939</v>
      </c>
      <c r="B7" s="8" t="n">
        <v>0.2</v>
      </c>
      <c r="C7" s="8" t="n">
        <v>222.3</v>
      </c>
      <c r="D7" s="8" t="n">
        <v>222.5</v>
      </c>
    </row>
    <row r="8">
      <c r="A8" s="9" t="n">
        <v>1940</v>
      </c>
      <c r="B8" s="8" t="n">
        <v>14.1</v>
      </c>
      <c r="C8" s="8" t="n">
        <v>392.7</v>
      </c>
      <c r="D8" s="8" t="n">
        <v>406.7</v>
      </c>
    </row>
    <row r="9">
      <c r="A9" s="9" t="n">
        <v>1941</v>
      </c>
      <c r="B9" s="8" t="n">
        <v>87.59999999999999</v>
      </c>
      <c r="C9" s="8" t="n">
        <v>416.4</v>
      </c>
      <c r="D9" s="8" t="n">
        <v>504</v>
      </c>
    </row>
    <row r="10">
      <c r="A10" s="9" t="n">
        <v>1942</v>
      </c>
      <c r="B10" s="8" t="n">
        <v>232.1</v>
      </c>
      <c r="C10" s="8" t="n">
        <v>440.9</v>
      </c>
      <c r="D10" s="8" t="n">
        <v>673</v>
      </c>
    </row>
    <row r="11">
      <c r="A11" s="9" t="n">
        <v>1943</v>
      </c>
      <c r="B11" s="8" t="n">
        <v>451.2</v>
      </c>
      <c r="C11" s="8" t="n">
        <v>476.3</v>
      </c>
      <c r="D11" s="8" t="n">
        <v>927.6</v>
      </c>
    </row>
    <row r="12">
      <c r="A12" s="9" t="n">
        <v>1944</v>
      </c>
      <c r="B12" s="8" t="n">
        <v>668</v>
      </c>
      <c r="C12" s="8" t="n">
        <v>476.7</v>
      </c>
      <c r="D12" s="7" t="n">
        <v>1144.7</v>
      </c>
    </row>
    <row r="13">
      <c r="A13" s="9" t="n">
        <v>1945</v>
      </c>
      <c r="B13" s="8" t="n">
        <v>808.9</v>
      </c>
      <c r="C13" s="8" t="n">
        <v>476.7</v>
      </c>
      <c r="D13" s="7" t="n">
        <v>1285.6</v>
      </c>
    </row>
    <row r="14">
      <c r="A14" s="9" t="n">
        <v>1946</v>
      </c>
      <c r="B14" s="8" t="n">
        <v>847.1</v>
      </c>
      <c r="C14" s="8" t="n">
        <v>476.7</v>
      </c>
      <c r="D14" s="7" t="n">
        <v>1323.9</v>
      </c>
    </row>
    <row r="16">
      <c r="A16" s="2" t="inlineStr">
        <is>
          <t>Transcriber's notes</t>
        </is>
      </c>
    </row>
    <row r="17">
      <c r="A17" t="inlineStr">
        <is>
          <t>Row totals reconcile, or within 0.1 rounding (1940 406.8 vs 406.7; 1943 927.5 vs 927.6; 1946 1,323.8 vs 1,323.9).</t>
        </is>
      </c>
    </row>
  </sheetData>
  <hyperlinks>
    <hyperlink xmlns:r="http://schemas.openxmlformats.org/officeDocument/2006/relationships" ref="A4" r:id="rId1"/>
  </hyperlink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Mineral Resources (1938)</t>
        </is>
      </c>
    </row>
    <row r="2">
      <c r="A2" t="inlineStr">
        <is>
          <t>Mining · printed pp. 478</t>
        </is>
      </c>
    </row>
    <row r="3">
      <c r="A3" s="3" t="inlineStr">
        <is>
          <t>← Contents</t>
        </is>
      </c>
    </row>
    <row r="5">
      <c r="A5" s="5" t="inlineStr">
        <is>
          <t>Mineral</t>
        </is>
      </c>
      <c r="B5" s="5" t="inlineStr">
        <is>
          <t>Metric tons</t>
        </is>
      </c>
    </row>
    <row r="6">
      <c r="A6" t="inlineStr">
        <is>
          <t>Coal</t>
        </is>
      </c>
      <c r="B6" s="6" t="n">
        <v>11437265000</v>
      </c>
    </row>
    <row r="7">
      <c r="A7" t="inlineStr">
        <is>
          <t>Iron Ore</t>
        </is>
      </c>
      <c r="B7" s="6" t="n">
        <v>1513790000</v>
      </c>
    </row>
    <row r="8">
      <c r="A8" t="inlineStr">
        <is>
          <t>Oil Shale</t>
        </is>
      </c>
      <c r="B8" s="6" t="n">
        <v>7628000000</v>
      </c>
    </row>
    <row r="9">
      <c r="A9" t="inlineStr">
        <is>
          <t>Magnesite</t>
        </is>
      </c>
      <c r="B9" s="6" t="n">
        <v>5000000000</v>
      </c>
    </row>
    <row r="10">
      <c r="A10" t="inlineStr">
        <is>
          <t>Fire Clay</t>
        </is>
      </c>
      <c r="B10" s="6" t="n">
        <v>100000000</v>
      </c>
    </row>
    <row r="11">
      <c r="A11" t="inlineStr">
        <is>
          <t>Alumina Shale</t>
        </is>
      </c>
      <c r="B11" s="6" t="n">
        <v>25318000</v>
      </c>
    </row>
    <row r="12">
      <c r="A12" t="inlineStr">
        <is>
          <t>Gold Ore (kgs.)</t>
        </is>
      </c>
      <c r="B12" s="6" t="n">
        <v>6000000</v>
      </c>
    </row>
    <row r="14">
      <c r="A14" s="2" t="inlineStr">
        <is>
          <t>Transcriber's notes</t>
        </is>
      </c>
    </row>
    <row r="15">
      <c r="A15" t="inlineStr">
        <is>
          <t>Printed side-by-side in two blocks; merged left block then right block.</t>
        </is>
      </c>
    </row>
    <row r="16">
      <c r="A16" t="inlineStr">
        <is>
          <t>Left page carries no printed page number (chapter opening); '478' inferred from facing page 479.</t>
        </is>
      </c>
    </row>
    <row r="17">
      <c r="A17" t="inlineStr">
        <is>
          <t>No total printed.</t>
        </is>
      </c>
    </row>
  </sheetData>
  <hyperlinks>
    <hyperlink xmlns:r="http://schemas.openxmlformats.org/officeDocument/2006/relationships" ref="A3" r:id="rId1"/>
  </hyperlink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Output of Principal Minerals</t>
        </is>
      </c>
    </row>
    <row r="2">
      <c r="A2" t="inlineStr">
        <is>
          <t>Mining · printed pp. 478</t>
        </is>
      </c>
    </row>
    <row r="3">
      <c r="A3" s="3" t="inlineStr">
        <is>
          <t>← Contents</t>
        </is>
      </c>
    </row>
    <row r="5">
      <c r="A5" s="5" t="inlineStr">
        <is>
          <t>Year</t>
        </is>
      </c>
      <c r="B5" s="5" t="inlineStr">
        <is>
          <t>Iron Ore (1,000 m. tons)</t>
        </is>
      </c>
      <c r="C5" s="5" t="inlineStr">
        <is>
          <t>Sulphuric Iron Ore (m. tons)</t>
        </is>
      </c>
      <c r="D5" s="5" t="inlineStr">
        <is>
          <t>Gold (Kg.)</t>
        </is>
      </c>
      <c r="E5" s="5" t="inlineStr">
        <is>
          <t>Lead Ore (m. tons)</t>
        </is>
      </c>
      <c r="F5" s="5" t="inlineStr">
        <is>
          <t>Copper Ore (m. tons)</t>
        </is>
      </c>
      <c r="G5" s="5" t="inlineStr">
        <is>
          <t>Manganese Ore (m. tons)</t>
        </is>
      </c>
      <c r="H5" s="5" t="inlineStr">
        <is>
          <t>Coal (1,000 m. tons)</t>
        </is>
      </c>
      <c r="I5" s="5" t="inlineStr">
        <is>
          <t>Oil Shale (m. tons)</t>
        </is>
      </c>
    </row>
    <row r="6">
      <c r="A6" s="9" t="n">
        <v>1926</v>
      </c>
      <c r="B6" s="6" t="n">
        <v>1117</v>
      </c>
      <c r="C6" s="6" t="n">
        <v>2756</v>
      </c>
      <c r="D6" s="6" t="n">
        <v>1674</v>
      </c>
      <c r="E6" s="6" t="n">
        <v>2823</v>
      </c>
      <c r="F6" s="9" t="n">
        <v>495</v>
      </c>
      <c r="G6" s="9" t="n">
        <v>245</v>
      </c>
      <c r="H6" s="6" t="n">
        <v>7855</v>
      </c>
      <c r="I6" t="inlineStr">
        <is>
          <t>—</t>
        </is>
      </c>
    </row>
    <row r="7">
      <c r="A7" s="9" t="n">
        <v>1930</v>
      </c>
      <c r="B7" s="9" t="n">
        <v>832</v>
      </c>
      <c r="C7" s="6" t="n">
        <v>3028</v>
      </c>
      <c r="D7" s="6" t="n">
        <v>1478</v>
      </c>
      <c r="E7" t="inlineStr">
        <is>
          <t>—</t>
        </is>
      </c>
      <c r="F7" s="9" t="n">
        <v>840</v>
      </c>
      <c r="G7" s="9" t="n">
        <v>609</v>
      </c>
      <c r="H7" s="6" t="n">
        <v>10159</v>
      </c>
      <c r="I7" s="9" t="n">
        <v>981</v>
      </c>
    </row>
    <row r="8">
      <c r="A8" s="9" t="n">
        <v>1934</v>
      </c>
      <c r="B8" s="6" t="n">
        <v>1105</v>
      </c>
      <c r="C8" s="6" t="n">
        <v>7770</v>
      </c>
      <c r="D8" s="9" t="n">
        <v>464</v>
      </c>
      <c r="E8" s="9" t="n">
        <v>269</v>
      </c>
      <c r="F8" t="inlineStr">
        <is>
          <t>—</t>
        </is>
      </c>
      <c r="G8" s="9" t="n">
        <v>653</v>
      </c>
      <c r="H8" s="6" t="n">
        <v>10433</v>
      </c>
      <c r="I8" s="6" t="n">
        <v>2106</v>
      </c>
    </row>
    <row r="9">
      <c r="A9" s="9" t="n">
        <v>1935</v>
      </c>
      <c r="B9" s="6" t="n">
        <v>1463</v>
      </c>
      <c r="C9" s="6" t="n">
        <v>9110</v>
      </c>
      <c r="D9" s="6" t="n">
        <v>1887</v>
      </c>
      <c r="E9" s="6" t="n">
        <v>1490</v>
      </c>
      <c r="F9" t="inlineStr">
        <is>
          <t>—</t>
        </is>
      </c>
      <c r="G9" s="9" t="n">
        <v>600</v>
      </c>
      <c r="H9" s="6" t="n">
        <v>11056</v>
      </c>
      <c r="I9" s="6" t="n">
        <v>3437</v>
      </c>
    </row>
    <row r="10">
      <c r="A10" s="9" t="n">
        <v>1936</v>
      </c>
      <c r="B10" s="6" t="n">
        <v>1934</v>
      </c>
      <c r="C10" s="6" t="n">
        <v>5748</v>
      </c>
      <c r="D10" s="6" t="n">
        <v>3657</v>
      </c>
      <c r="E10" s="6" t="n">
        <v>16713</v>
      </c>
      <c r="F10" t="inlineStr">
        <is>
          <t>—</t>
        </is>
      </c>
      <c r="G10" s="9" t="n">
        <v>355</v>
      </c>
      <c r="H10" s="6" t="n">
        <v>11646</v>
      </c>
      <c r="I10" s="6" t="n">
        <v>3648</v>
      </c>
    </row>
    <row r="12">
      <c r="A12" s="5" t="inlineStr">
        <is>
          <t>Year</t>
        </is>
      </c>
      <c r="B12" s="5" t="inlineStr">
        <is>
          <t>Magnesite (m. tons)</t>
        </is>
      </c>
      <c r="C12" s="5" t="inlineStr">
        <is>
          <t>Soapstone (m. tons)</t>
        </is>
      </c>
      <c r="D12" s="5" t="inlineStr">
        <is>
          <t>Dolomite (m. tons)</t>
        </is>
      </c>
      <c r="E12" s="5" t="inlineStr">
        <is>
          <t>Limestone (mi tons)</t>
        </is>
      </c>
      <c r="F12" s="5" t="inlineStr">
        <is>
          <t>Asbestos (m. tons)</t>
        </is>
      </c>
      <c r="G12" s="5" t="inlineStr">
        <is>
          <t>Fire-clay (m. tons)</t>
        </is>
      </c>
      <c r="H12" s="5" t="inlineStr">
        <is>
          <t>Silica (m. tons)</t>
        </is>
      </c>
      <c r="I12" s="5" t="inlineStr">
        <is>
          <t>Felspar (m. tons)</t>
        </is>
      </c>
    </row>
    <row r="13">
      <c r="A13" s="9" t="n">
        <v>1926</v>
      </c>
      <c r="B13" s="6" t="n">
        <v>20000</v>
      </c>
      <c r="C13" s="6" t="n">
        <v>34906</v>
      </c>
      <c r="D13" s="6" t="n">
        <v>83336</v>
      </c>
      <c r="E13" s="6" t="n">
        <v>270333</v>
      </c>
      <c r="F13" s="9" t="n">
        <v>63</v>
      </c>
      <c r="G13" s="6" t="n">
        <v>37781</v>
      </c>
      <c r="H13" s="6" t="n">
        <v>19724</v>
      </c>
      <c r="I13" s="9" t="n">
        <v>667</v>
      </c>
    </row>
    <row r="14">
      <c r="A14" s="9" t="n">
        <v>1930</v>
      </c>
      <c r="B14" t="inlineStr">
        <is>
          <t>29 016</t>
        </is>
      </c>
      <c r="C14" s="6" t="n">
        <v>25726</v>
      </c>
      <c r="D14" s="6" t="n">
        <v>116925</v>
      </c>
      <c r="E14" s="6" t="n">
        <v>688489</v>
      </c>
      <c r="F14" s="9" t="n">
        <v>110</v>
      </c>
      <c r="G14" s="6" t="n">
        <v>53664</v>
      </c>
      <c r="H14" s="6" t="n">
        <v>20000</v>
      </c>
      <c r="I14" s="9" t="n">
        <v>500</v>
      </c>
    </row>
    <row r="15">
      <c r="A15" s="9" t="n">
        <v>1934</v>
      </c>
      <c r="B15" s="6" t="n">
        <v>78752</v>
      </c>
      <c r="C15" s="6" t="n">
        <v>75360</v>
      </c>
      <c r="D15" s="6" t="n">
        <v>166758</v>
      </c>
      <c r="E15" s="6" t="n">
        <v>655647</v>
      </c>
      <c r="F15" s="9" t="n">
        <v>119</v>
      </c>
      <c r="G15" s="6" t="n">
        <v>137471</v>
      </c>
      <c r="H15" s="6" t="n">
        <v>154930</v>
      </c>
      <c r="I15" s="6" t="n">
        <v>3979</v>
      </c>
    </row>
    <row r="16">
      <c r="A16" s="9" t="n">
        <v>1935</v>
      </c>
      <c r="B16" s="6" t="n">
        <v>156586</v>
      </c>
      <c r="C16" s="6" t="n">
        <v>70572</v>
      </c>
      <c r="D16" s="6" t="n">
        <v>171033</v>
      </c>
      <c r="E16" s="6" t="n">
        <v>855267</v>
      </c>
      <c r="F16" s="9" t="n">
        <v>70</v>
      </c>
      <c r="G16" s="6" t="n">
        <v>181730</v>
      </c>
      <c r="H16" s="6" t="n">
        <v>148754</v>
      </c>
      <c r="I16" s="6" t="n">
        <v>29874</v>
      </c>
    </row>
    <row r="17">
      <c r="A17" s="9" t="n">
        <v>1936</v>
      </c>
      <c r="B17" s="6" t="n">
        <v>336853</v>
      </c>
      <c r="C17" s="6" t="n">
        <v>82878</v>
      </c>
      <c r="D17" s="6" t="n">
        <v>283908</v>
      </c>
      <c r="E17" s="6" t="n">
        <v>1262154</v>
      </c>
      <c r="F17" s="9" t="n">
        <v>69</v>
      </c>
      <c r="G17" s="6" t="n">
        <v>164380</v>
      </c>
      <c r="H17" s="6" t="n">
        <v>43877</v>
      </c>
      <c r="I17" s="6" t="n">
        <v>14106</v>
      </c>
    </row>
    <row r="19">
      <c r="A19" s="2" t="inlineStr">
        <is>
          <t>Transcriber's notes</t>
        </is>
      </c>
    </row>
    <row r="20">
      <c r="A20" t="inlineStr">
        <is>
          <t>Printed as two stacked blocks with different column heads; recorded as two unlabelled parts.</t>
        </is>
      </c>
    </row>
    <row r="21">
      <c r="A21" t="inlineStr">
        <is>
          <t>Limestone unit printed '(mi tons)' as in source (misprint for m. tons).</t>
        </is>
      </c>
    </row>
    <row r="22">
      <c r="A22" t="inlineStr">
        <is>
          <t>1930 Magnesite printed '29 016' with a space rather than comma.</t>
        </is>
      </c>
    </row>
    <row r="23">
      <c r="A23" t="inlineStr">
        <is>
          <t>No totals printed.</t>
        </is>
      </c>
    </row>
  </sheetData>
  <hyperlinks>
    <hyperlink xmlns:r="http://schemas.openxmlformats.org/officeDocument/2006/relationships" ref="A3" r:id="rId1"/>
  </hyperlink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D3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Principal Coal Mines</t>
        </is>
      </c>
    </row>
    <row r="2">
      <c r="A2" t="inlineStr">
        <is>
          <t>Mining · printed pp. 480, 481</t>
        </is>
      </c>
    </row>
    <row r="3">
      <c r="A3" s="3" t="inlineStr">
        <is>
          <t>← Contents</t>
        </is>
      </c>
    </row>
    <row r="5">
      <c r="A5" s="2" t="inlineStr">
        <is>
          <t>(A) Manchuria Colliery Co. Management</t>
        </is>
      </c>
    </row>
    <row r="6">
      <c r="A6" s="5" t="inlineStr">
        <is>
          <t>Mine</t>
        </is>
      </c>
      <c r="B6" s="5" t="inlineStr">
        <is>
          <t>Location</t>
        </is>
      </c>
      <c r="C6" s="5" t="inlineStr">
        <is>
          <t>Kind</t>
        </is>
      </c>
      <c r="D6" s="5" t="inlineStr">
        <is>
          <t>Estimated Deposit (1,000 m. tons)</t>
        </is>
      </c>
    </row>
    <row r="7">
      <c r="A7" t="inlineStr">
        <is>
          <t>Fuhsin</t>
        </is>
      </c>
      <c r="B7" t="inlineStr">
        <is>
          <t>Fengtien</t>
        </is>
      </c>
      <c r="C7" t="inlineStr">
        <is>
          <t>Bituminous</t>
        </is>
      </c>
      <c r="D7" s="6" t="n">
        <v>4000000</v>
      </c>
    </row>
    <row r="8">
      <c r="A8" t="inlineStr">
        <is>
          <t>Patakou</t>
        </is>
      </c>
      <c r="B8" t="inlineStr">
        <is>
          <t>„</t>
        </is>
      </c>
      <c r="C8" t="inlineStr">
        <is>
          <t>Anthracite</t>
        </is>
      </c>
      <c r="D8" s="6" t="n">
        <v>28900</v>
      </c>
    </row>
    <row r="9">
      <c r="A9" t="inlineStr">
        <is>
          <t>Hsian</t>
        </is>
      </c>
      <c r="B9" t="inlineStr">
        <is>
          <t>„</t>
        </is>
      </c>
      <c r="C9" t="inlineStr">
        <is>
          <t>Bituminous</t>
        </is>
      </c>
      <c r="D9" s="6" t="n">
        <v>270000</v>
      </c>
    </row>
    <row r="10">
      <c r="A10" t="inlineStr">
        <is>
          <t>Peipiao</t>
        </is>
      </c>
      <c r="B10" t="inlineStr">
        <is>
          <t>Chinchow</t>
        </is>
      </c>
      <c r="C10" t="inlineStr">
        <is>
          <t>„</t>
        </is>
      </c>
      <c r="D10" s="6" t="n">
        <v>203000</v>
      </c>
    </row>
    <row r="11">
      <c r="A11" t="inlineStr">
        <is>
          <t>Hekank</t>
        </is>
      </c>
      <c r="B11" t="inlineStr">
        <is>
          <t>Sankiang</t>
        </is>
      </c>
      <c r="C11" t="inlineStr">
        <is>
          <t>„</t>
        </is>
      </c>
      <c r="D11" s="6" t="n">
        <v>5000000</v>
      </c>
    </row>
    <row r="12">
      <c r="A12" t="inlineStr">
        <is>
          <t>Titao</t>
        </is>
      </c>
      <c r="B12" t="inlineStr">
        <is>
          <t>Tungan</t>
        </is>
      </c>
      <c r="C12" t="inlineStr">
        <is>
          <t>„</t>
        </is>
      </c>
      <c r="D12" s="6" t="n">
        <v>380000</v>
      </c>
    </row>
    <row r="13">
      <c r="A13" t="inlineStr">
        <is>
          <t>Fuchow</t>
        </is>
      </c>
      <c r="B13" t="inlineStr">
        <is>
          <t>Fengtien</t>
        </is>
      </c>
      <c r="C13" t="inlineStr">
        <is>
          <t>Anthracite</t>
        </is>
      </c>
      <c r="D13" s="6" t="n">
        <v>6930</v>
      </c>
    </row>
    <row r="14">
      <c r="A14" t="inlineStr">
        <is>
          <t>Chalainor</t>
        </is>
      </c>
      <c r="B14" t="inlineStr">
        <is>
          <t>Hsingan N.</t>
        </is>
      </c>
      <c r="C14" t="inlineStr">
        <is>
          <t>„</t>
        </is>
      </c>
      <c r="D14" s="6" t="n">
        <v>3980000</v>
      </c>
    </row>
    <row r="15">
      <c r="A15" t="inlineStr">
        <is>
          <t>Huolung</t>
        </is>
      </c>
      <c r="B15" t="inlineStr">
        <is>
          <t>Chientao</t>
        </is>
      </c>
      <c r="C15" t="inlineStr">
        <is>
          <t>Bituminous</t>
        </is>
      </c>
      <c r="D15" s="6" t="n">
        <v>70000</v>
      </c>
    </row>
    <row r="16">
      <c r="A16" t="inlineStr">
        <is>
          <t>Tienshihfu</t>
        </is>
      </c>
      <c r="B16" t="inlineStr">
        <is>
          <t>Fengtien</t>
        </is>
      </c>
      <c r="C16" t="inlineStr">
        <is>
          <t>„</t>
        </is>
      </c>
      <c r="D16" s="6" t="n">
        <v>167000</v>
      </c>
    </row>
    <row r="17">
      <c r="A17" t="inlineStr">
        <is>
          <t>Tungning</t>
        </is>
      </c>
      <c r="B17" t="inlineStr">
        <is>
          <t>Mutankiang</t>
        </is>
      </c>
      <c r="C17" t="inlineStr">
        <is>
          <t>„</t>
        </is>
      </c>
      <c r="D17" s="6" t="n">
        <v>21500</v>
      </c>
    </row>
    <row r="18">
      <c r="A18" t="inlineStr">
        <is>
          <t>Chengtzuho*</t>
        </is>
      </c>
      <c r="B18" t="inlineStr">
        <is>
          <t>Tungan</t>
        </is>
      </c>
      <c r="C18" t="inlineStr">
        <is>
          <t>„</t>
        </is>
      </c>
      <c r="D18" s="6" t="n">
        <v>355000</v>
      </c>
    </row>
    <row r="19">
      <c r="A19" t="inlineStr">
        <is>
          <t>Hongshan*</t>
        </is>
      </c>
      <c r="B19" t="inlineStr">
        <is>
          <t>„</t>
        </is>
      </c>
      <c r="C19" t="inlineStr">
        <is>
          <t>„</t>
        </is>
      </c>
      <c r="D19" s="6" t="n">
        <v>655000</v>
      </c>
    </row>
    <row r="20">
      <c r="A20" t="inlineStr">
        <is>
          <t>Shulan Office*</t>
        </is>
      </c>
      <c r="B20" t="inlineStr">
        <is>
          <t>Kirin</t>
        </is>
      </c>
      <c r="C20" t="inlineStr">
        <is>
          <t>—</t>
        </is>
      </c>
      <c r="D20" s="6" t="n">
        <v>478000</v>
      </c>
    </row>
    <row r="21">
      <c r="A21" t="inlineStr">
        <is>
          <t>Sansing „</t>
        </is>
      </c>
      <c r="B21" t="inlineStr">
        <is>
          <t>Sankiang</t>
        </is>
      </c>
      <c r="C21" t="inlineStr">
        <is>
          <t>—</t>
        </is>
      </c>
      <c r="D21" s="6" t="n">
        <v>334000</v>
      </c>
    </row>
    <row r="23">
      <c r="A23" s="2" t="inlineStr">
        <is>
          <t>(B) S.M.R. Management</t>
        </is>
      </c>
    </row>
    <row r="24">
      <c r="A24" s="5" t="inlineStr">
        <is>
          <t>Mine</t>
        </is>
      </c>
      <c r="B24" s="5" t="inlineStr">
        <is>
          <t>Location</t>
        </is>
      </c>
      <c r="C24" s="5" t="inlineStr">
        <is>
          <t>Kind</t>
        </is>
      </c>
      <c r="D24" s="5" t="inlineStr">
        <is>
          <t>Estimated Deposit (1,000 m. tons)</t>
        </is>
      </c>
    </row>
    <row r="25">
      <c r="A25" t="inlineStr">
        <is>
          <t>Fushun</t>
        </is>
      </c>
      <c r="B25" t="inlineStr">
        <is>
          <t>Fengtien</t>
        </is>
      </c>
      <c r="C25" t="inlineStr">
        <is>
          <t>Bituminous</t>
        </is>
      </c>
      <c r="D25" s="6" t="n">
        <v>950000</v>
      </c>
    </row>
    <row r="26">
      <c r="A26" t="inlineStr">
        <is>
          <t>Chiaoho</t>
        </is>
      </c>
      <c r="B26" t="inlineStr">
        <is>
          <t>Kirin</t>
        </is>
      </c>
      <c r="C26" t="inlineStr">
        <is>
          <t>„</t>
        </is>
      </c>
      <c r="D26" s="6" t="n">
        <v>456000</v>
      </c>
    </row>
    <row r="27">
      <c r="A27" t="inlineStr">
        <is>
          <t>Yentai</t>
        </is>
      </c>
      <c r="B27" t="inlineStr">
        <is>
          <t>Fengtien</t>
        </is>
      </c>
      <c r="C27" t="inlineStr"/>
      <c r="D27" s="6" t="n">
        <v>40000</v>
      </c>
    </row>
    <row r="28">
      <c r="A28" t="inlineStr">
        <is>
          <t>Total incl. others</t>
        </is>
      </c>
      <c r="B28" t="inlineStr"/>
      <c r="C28" t="inlineStr"/>
      <c r="D28" s="6" t="n">
        <v>1417700</v>
      </c>
    </row>
    <row r="30">
      <c r="A30" s="2" t="inlineStr">
        <is>
          <t>Footnotes</t>
        </is>
      </c>
    </row>
    <row r="31">
      <c r="A31" t="inlineStr">
        <is>
          <t>Note: * Mines not yet operating.</t>
        </is>
      </c>
    </row>
    <row r="33">
      <c r="A33" s="2" t="inlineStr">
        <is>
          <t>Transcriber's notes</t>
        </is>
      </c>
    </row>
    <row r="34">
      <c r="A34" t="inlineStr">
        <is>
          <t>Table begins on p.480 and continues on p.481 headed '(Continued)'; merged.</t>
        </is>
      </c>
    </row>
    <row r="35">
      <c r="A35" t="inlineStr">
        <is>
          <t>Mine names in the stub are printed slightly out of line with the figures (set about half a line higher); rows matched in order.</t>
        </is>
      </c>
    </row>
    <row r="36">
      <c r="A36" t="inlineStr">
        <is>
          <t>'Hekank' as printed (elsewhere 'Hokang'/'Hekang').</t>
        </is>
      </c>
    </row>
    <row r="37">
      <c r="A37" t="inlineStr">
        <is>
          <t>Yentai: no Kind printed (dot leaders run through).</t>
        </is>
      </c>
    </row>
    <row r="38">
      <c r="A38" t="inlineStr">
        <is>
          <t>'Total incl. others' 1,417,700 is printed under (B). The three S.M.R. mines listed sum to 1,446,000, which already exceeds the printed total — does NOT reconcile (parts exceed total by 28,300); all (A)+(B) rows sum to 17,395,330. Cells re-read; figures as printed. No total printed for (A).</t>
        </is>
      </c>
    </row>
  </sheetData>
  <hyperlinks>
    <hyperlink xmlns:r="http://schemas.openxmlformats.org/officeDocument/2006/relationships" ref="A3" r:id="rId1"/>
  </hyperlink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Analysis of Coal Classified</t>
        </is>
      </c>
    </row>
    <row r="2">
      <c r="A2" t="inlineStr">
        <is>
          <t>Mining · printed pp. 481</t>
        </is>
      </c>
    </row>
    <row r="3">
      <c r="A3" s="3" t="inlineStr">
        <is>
          <t>← Contents</t>
        </is>
      </c>
    </row>
    <row r="5">
      <c r="A5" s="5" t="inlineStr">
        <is>
          <t>Mine</t>
        </is>
      </c>
      <c r="B5" s="5" t="inlineStr">
        <is>
          <t>Moisture %</t>
        </is>
      </c>
      <c r="C5" s="5" t="inlineStr">
        <is>
          <t>Ash %</t>
        </is>
      </c>
      <c r="D5" s="5" t="inlineStr">
        <is>
          <t>Volatile matter %</t>
        </is>
      </c>
      <c r="E5" s="5" t="inlineStr">
        <is>
          <t>Fixed carbon %</t>
        </is>
      </c>
      <c r="F5" s="5" t="inlineStr">
        <is>
          <t>Calories</t>
        </is>
      </c>
      <c r="G5" s="5" t="inlineStr">
        <is>
          <t>Sulphur %</t>
        </is>
      </c>
    </row>
    <row r="6">
      <c r="A6" t="inlineStr">
        <is>
          <t>Fuhsin (1)</t>
        </is>
      </c>
      <c r="B6" s="11" t="n">
        <v>10.75</v>
      </c>
      <c r="C6" s="11" t="n">
        <v>8.77</v>
      </c>
      <c r="D6" s="11" t="n">
        <v>33.23</v>
      </c>
      <c r="E6" s="11" t="n">
        <v>47.29</v>
      </c>
      <c r="F6" s="6" t="n">
        <v>6229</v>
      </c>
      <c r="G6" s="11" t="n">
        <v>1.09</v>
      </c>
    </row>
    <row r="7">
      <c r="A7" t="inlineStr">
        <is>
          <t>„ (2)</t>
        </is>
      </c>
      <c r="B7" s="11" t="n">
        <v>6.95</v>
      </c>
      <c r="C7" s="11" t="n">
        <v>7.45</v>
      </c>
      <c r="D7" s="11" t="n">
        <v>35.75</v>
      </c>
      <c r="E7" s="11" t="n">
        <v>49.85</v>
      </c>
      <c r="F7" s="6" t="n">
        <v>6907</v>
      </c>
      <c r="G7" s="11" t="n">
        <v>0.6</v>
      </c>
    </row>
    <row r="8">
      <c r="A8" t="inlineStr">
        <is>
          <t>Pataokou</t>
        </is>
      </c>
      <c r="B8" s="11" t="n">
        <v>12.65</v>
      </c>
      <c r="C8" s="11" t="n">
        <v>10.35</v>
      </c>
      <c r="D8" s="11" t="n">
        <v>33.54</v>
      </c>
      <c r="E8" s="11" t="n">
        <v>43.45</v>
      </c>
      <c r="F8" s="6" t="n">
        <v>5685</v>
      </c>
      <c r="G8" s="11" t="n">
        <v>2.54</v>
      </c>
    </row>
    <row r="9">
      <c r="A9" t="inlineStr">
        <is>
          <t>Peipiao</t>
        </is>
      </c>
      <c r="B9" s="11" t="n">
        <v>1.74</v>
      </c>
      <c r="C9" s="11" t="n">
        <v>15.23</v>
      </c>
      <c r="D9" s="11" t="n">
        <v>31.53</v>
      </c>
      <c r="E9" s="11" t="n">
        <v>51.5</v>
      </c>
      <c r="F9" s="6" t="n">
        <v>6849</v>
      </c>
      <c r="G9" s="11" t="n">
        <v>0.65</v>
      </c>
    </row>
    <row r="10">
      <c r="A10" t="inlineStr">
        <is>
          <t>Hekang</t>
        </is>
      </c>
      <c r="B10" s="11" t="n">
        <v>1.36</v>
      </c>
      <c r="C10" s="11" t="n">
        <v>9.76</v>
      </c>
      <c r="D10" s="11" t="n">
        <v>32.62</v>
      </c>
      <c r="E10" s="11" t="n">
        <v>56.24</v>
      </c>
      <c r="F10" s="6" t="n">
        <v>7221</v>
      </c>
      <c r="G10" s="11" t="n">
        <v>0.29</v>
      </c>
    </row>
    <row r="11">
      <c r="A11" t="inlineStr">
        <is>
          <t>Titao</t>
        </is>
      </c>
      <c r="B11" s="11" t="n">
        <v>0.73</v>
      </c>
      <c r="C11" s="11" t="n">
        <v>14.97</v>
      </c>
      <c r="D11" s="11" t="n">
        <v>19.88</v>
      </c>
      <c r="E11" s="11" t="n">
        <v>64.42</v>
      </c>
      <c r="F11" s="6" t="n">
        <v>7292</v>
      </c>
      <c r="G11" s="11" t="n">
        <v>0.45</v>
      </c>
    </row>
    <row r="12">
      <c r="A12" t="inlineStr">
        <is>
          <t>Tienshihfu</t>
        </is>
      </c>
      <c r="B12" s="11" t="n">
        <v>0.65</v>
      </c>
      <c r="C12" s="11" t="n">
        <v>15.01</v>
      </c>
      <c r="D12" s="11" t="n">
        <v>9.98</v>
      </c>
      <c r="E12" s="11" t="n">
        <v>74.36</v>
      </c>
      <c r="F12" s="6" t="n">
        <v>7200</v>
      </c>
      <c r="G12" s="11" t="n">
        <v>0.4</v>
      </c>
    </row>
    <row r="13">
      <c r="A13" t="inlineStr">
        <is>
          <t>Huolung</t>
        </is>
      </c>
      <c r="B13" s="11" t="n">
        <v>8.16</v>
      </c>
      <c r="C13" s="11" t="n">
        <v>12.27</v>
      </c>
      <c r="D13" s="11" t="n">
        <v>33.41</v>
      </c>
      <c r="E13" s="11" t="n">
        <v>46.16</v>
      </c>
      <c r="F13" s="6" t="n">
        <v>6014</v>
      </c>
      <c r="G13" s="11" t="n">
        <v>1.28</v>
      </c>
    </row>
    <row r="14">
      <c r="A14" t="inlineStr">
        <is>
          <t>Fuchow (1)</t>
        </is>
      </c>
      <c r="B14" s="11" t="n">
        <v>1.46</v>
      </c>
      <c r="C14" s="11" t="n">
        <v>12.22</v>
      </c>
      <c r="D14" s="11" t="n">
        <v>8.91</v>
      </c>
      <c r="E14" s="11" t="n">
        <v>77.41</v>
      </c>
      <c r="F14" s="6" t="n">
        <v>7271</v>
      </c>
      <c r="G14" s="11" t="n">
        <v>0.73</v>
      </c>
    </row>
    <row r="15">
      <c r="A15" t="inlineStr">
        <is>
          <t>„ (2)</t>
        </is>
      </c>
      <c r="B15" s="11" t="n">
        <v>1.21</v>
      </c>
      <c r="C15" s="11" t="n">
        <v>14.93</v>
      </c>
      <c r="D15" s="11" t="n">
        <v>9.82</v>
      </c>
      <c r="E15" s="11" t="n">
        <v>74.04000000000001</v>
      </c>
      <c r="F15" s="6" t="n">
        <v>7100</v>
      </c>
      <c r="G15" s="11" t="n">
        <v>2.76</v>
      </c>
    </row>
    <row r="16">
      <c r="A16" t="inlineStr">
        <is>
          <t>Tungning</t>
        </is>
      </c>
      <c r="B16" s="11" t="n">
        <v>2.11</v>
      </c>
      <c r="C16" t="inlineStr">
        <is>
          <t>25,87</t>
        </is>
      </c>
      <c r="D16" s="11" t="n">
        <v>39.17</v>
      </c>
      <c r="E16" s="11" t="n">
        <v>32.85</v>
      </c>
      <c r="F16" s="6" t="n">
        <v>5515</v>
      </c>
      <c r="G16" s="11" t="n">
        <v>0.26</v>
      </c>
    </row>
    <row r="17">
      <c r="A17" t="inlineStr">
        <is>
          <t>Hsian</t>
        </is>
      </c>
      <c r="B17" s="11" t="n">
        <v>4.29</v>
      </c>
      <c r="C17" s="11" t="n">
        <v>10.18</v>
      </c>
      <c r="D17" s="11" t="n">
        <v>36.13</v>
      </c>
      <c r="E17" s="11" t="n">
        <v>49.4</v>
      </c>
      <c r="F17" s="6" t="n">
        <v>6493</v>
      </c>
      <c r="G17" s="11" t="n">
        <v>0.6</v>
      </c>
    </row>
    <row r="18">
      <c r="A18" t="inlineStr">
        <is>
          <t>Shulan Office</t>
        </is>
      </c>
      <c r="B18" s="11" t="n">
        <v>12.4</v>
      </c>
      <c r="C18" s="11" t="n">
        <v>14.82</v>
      </c>
      <c r="D18" s="11" t="n">
        <v>38.45</v>
      </c>
      <c r="E18" s="11" t="n">
        <v>34.33</v>
      </c>
      <c r="F18" s="6" t="n">
        <v>5122</v>
      </c>
      <c r="G18" s="11" t="n">
        <v>0.15</v>
      </c>
    </row>
    <row r="19">
      <c r="A19" t="inlineStr">
        <is>
          <t>Chalainor</t>
        </is>
      </c>
      <c r="B19" s="11" t="n">
        <v>20.47</v>
      </c>
      <c r="C19" s="11" t="n">
        <v>3.82</v>
      </c>
      <c r="D19" s="11" t="n">
        <v>37.61</v>
      </c>
      <c r="E19" s="11" t="n">
        <v>38.1</v>
      </c>
      <c r="F19" s="6" t="n">
        <v>5106</v>
      </c>
      <c r="G19" s="11" t="n">
        <v>0.4</v>
      </c>
    </row>
    <row r="21">
      <c r="A21" s="2" t="inlineStr">
        <is>
          <t>Transcriber's notes</t>
        </is>
      </c>
    </row>
    <row r="22">
      <c r="A22" t="inlineStr">
        <is>
          <t>Tungning Ash printed '25,87' with a comma (as printed).</t>
        </is>
      </c>
    </row>
    <row r="23">
      <c r="A23" t="inlineStr">
        <is>
          <t>No totals printed.</t>
        </is>
      </c>
    </row>
  </sheetData>
  <hyperlinks>
    <hyperlink xmlns:r="http://schemas.openxmlformats.org/officeDocument/2006/relationships" ref="A3" r:id="rId1"/>
  </hyperlink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I4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Output of Coal</t>
        </is>
      </c>
    </row>
    <row r="2">
      <c r="A2" t="inlineStr">
        <is>
          <t>Mining · printed pp. 489, 490</t>
        </is>
      </c>
    </row>
    <row r="3">
      <c r="A3" t="inlineStr">
        <is>
          <t>(Unit: 1,000 metric tons)</t>
        </is>
      </c>
    </row>
    <row r="4">
      <c r="A4" s="3" t="inlineStr">
        <is>
          <t>← Contents</t>
        </is>
      </c>
    </row>
    <row r="6">
      <c r="A6" s="2" t="inlineStr">
        <is>
          <t>(A) Manchuria Colliery Management</t>
        </is>
      </c>
    </row>
    <row r="7">
      <c r="A7" s="5" t="inlineStr">
        <is>
          <t>Mine</t>
        </is>
      </c>
      <c r="B7" s="5" t="inlineStr">
        <is>
          <t>1934</t>
        </is>
      </c>
      <c r="C7" s="5" t="inlineStr">
        <is>
          <t>1935</t>
        </is>
      </c>
      <c r="D7" s="5" t="inlineStr">
        <is>
          <t>1936</t>
        </is>
      </c>
      <c r="E7" s="5" t="inlineStr">
        <is>
          <t>1937</t>
        </is>
      </c>
    </row>
    <row r="8">
      <c r="A8" t="inlineStr">
        <is>
          <t>Fuhsin</t>
        </is>
      </c>
      <c r="B8" s="9" t="n">
        <v>39</v>
      </c>
      <c r="C8" s="9" t="n">
        <v>34</v>
      </c>
      <c r="D8" s="9" t="n">
        <v>73</v>
      </c>
      <c r="E8" s="9" t="n">
        <v>176</v>
      </c>
    </row>
    <row r="9">
      <c r="A9" t="inlineStr">
        <is>
          <t>Pataokou</t>
        </is>
      </c>
      <c r="B9" s="9" t="n">
        <v>65</v>
      </c>
      <c r="C9" s="9" t="n">
        <v>78</v>
      </c>
      <c r="D9" s="9" t="n">
        <v>94</v>
      </c>
      <c r="E9" s="9" t="n">
        <v>84</v>
      </c>
    </row>
    <row r="10">
      <c r="A10" t="inlineStr">
        <is>
          <t>Hsian</t>
        </is>
      </c>
      <c r="B10" s="9" t="n">
        <v>414</v>
      </c>
      <c r="C10" s="9" t="n">
        <v>590</v>
      </c>
      <c r="D10" s="9" t="n">
        <v>822</v>
      </c>
      <c r="E10" s="9" t="n">
        <v>874</v>
      </c>
    </row>
    <row r="11">
      <c r="A11" t="inlineStr">
        <is>
          <t>Peipiao</t>
        </is>
      </c>
      <c r="B11" s="9" t="n">
        <v>300</v>
      </c>
      <c r="C11" s="9" t="n">
        <v>288</v>
      </c>
      <c r="D11" s="9" t="n">
        <v>287</v>
      </c>
      <c r="E11" s="9" t="n">
        <v>340</v>
      </c>
    </row>
    <row r="12">
      <c r="A12" t="inlineStr">
        <is>
          <t>Hekang</t>
        </is>
      </c>
      <c r="B12" s="9" t="n">
        <v>320</v>
      </c>
      <c r="C12" s="9" t="n">
        <v>333</v>
      </c>
      <c r="D12" s="9" t="n">
        <v>304</v>
      </c>
      <c r="E12" s="9" t="n">
        <v>411</v>
      </c>
    </row>
    <row r="13">
      <c r="A13" t="inlineStr">
        <is>
          <t>Titao</t>
        </is>
      </c>
      <c r="B13" t="inlineStr">
        <is>
          <t>—</t>
        </is>
      </c>
      <c r="C13" s="9" t="n">
        <v>9</v>
      </c>
      <c r="D13" s="9" t="n">
        <v>41</v>
      </c>
      <c r="E13" s="9" t="n">
        <v>96</v>
      </c>
    </row>
    <row r="14">
      <c r="A14" t="inlineStr">
        <is>
          <t>Chalainor</t>
        </is>
      </c>
      <c r="B14" t="inlineStr">
        <is>
          <t>—</t>
        </is>
      </c>
      <c r="C14" s="9" t="n">
        <v>21</v>
      </c>
      <c r="D14" s="9" t="n">
        <v>110</v>
      </c>
      <c r="E14" s="9" t="n">
        <v>139</v>
      </c>
    </row>
    <row r="15">
      <c r="A15" t="inlineStr">
        <is>
          <t>Fuchow</t>
        </is>
      </c>
      <c r="B15" s="9" t="n">
        <v>168</v>
      </c>
      <c r="C15" s="9" t="n">
        <v>147</v>
      </c>
      <c r="D15" s="9" t="n">
        <v>163</v>
      </c>
      <c r="E15" s="9" t="n">
        <v>130</v>
      </c>
    </row>
    <row r="16">
      <c r="A16" t="inlineStr">
        <is>
          <t>Huolung</t>
        </is>
      </c>
      <c r="B16" t="inlineStr">
        <is>
          <t>—</t>
        </is>
      </c>
      <c r="C16" t="inlineStr">
        <is>
          <t>—</t>
        </is>
      </c>
      <c r="D16" t="inlineStr">
        <is>
          <t>—</t>
        </is>
      </c>
      <c r="E16" s="9" t="n">
        <v>2</v>
      </c>
    </row>
    <row r="17">
      <c r="A17" t="inlineStr">
        <is>
          <t>Tienshihfu</t>
        </is>
      </c>
      <c r="B17" t="inlineStr">
        <is>
          <t>—</t>
        </is>
      </c>
      <c r="C17" t="inlineStr">
        <is>
          <t>—</t>
        </is>
      </c>
      <c r="D17" t="inlineStr">
        <is>
          <t>—</t>
        </is>
      </c>
      <c r="E17" s="9" t="n">
        <v>6</v>
      </c>
    </row>
    <row r="18">
      <c r="A18" t="inlineStr">
        <is>
          <t>Total incl. others</t>
        </is>
      </c>
      <c r="B18" s="6" t="n">
        <v>1306</v>
      </c>
      <c r="C18" s="6" t="n">
        <v>1500</v>
      </c>
      <c r="D18" s="6" t="n">
        <v>1894</v>
      </c>
      <c r="E18" s="6" t="n">
        <v>2272</v>
      </c>
    </row>
    <row r="20">
      <c r="A20" s="2" t="inlineStr">
        <is>
          <t>(B) By S.M.R. Co.</t>
        </is>
      </c>
    </row>
    <row r="21">
      <c r="A21" s="5" t="inlineStr">
        <is>
          <t>Year</t>
        </is>
      </c>
      <c r="B21" s="5" t="inlineStr">
        <is>
          <t>Fushun</t>
        </is>
      </c>
      <c r="C21" s="5" t="inlineStr">
        <is>
          <t>Yentai</t>
        </is>
      </c>
      <c r="D21" s="5" t="inlineStr">
        <is>
          <t>Naitzushan</t>
        </is>
      </c>
      <c r="E21" s="5" t="inlineStr">
        <is>
          <t>Laotoukou</t>
        </is>
      </c>
      <c r="F21" s="5" t="inlineStr">
        <is>
          <t>Huoshihling</t>
        </is>
      </c>
      <c r="G21" s="5" t="inlineStr">
        <is>
          <t>Penhsihu</t>
        </is>
      </c>
      <c r="H21" s="5" t="inlineStr">
        <is>
          <t>Niusintai</t>
        </is>
      </c>
      <c r="I21" s="5" t="inlineStr">
        <is>
          <t>Total incl. Others</t>
        </is>
      </c>
    </row>
    <row r="22">
      <c r="A22" s="9" t="n">
        <v>1930</v>
      </c>
      <c r="B22" s="6" t="n">
        <v>7173</v>
      </c>
      <c r="C22" s="9" t="n">
        <v>178</v>
      </c>
      <c r="D22" s="9" t="n">
        <v>13</v>
      </c>
      <c r="E22" s="9" t="n">
        <v>20</v>
      </c>
      <c r="F22" s="9" t="n">
        <v>91</v>
      </c>
      <c r="G22" s="9" t="n">
        <v>582</v>
      </c>
      <c r="H22" s="9" t="n">
        <v>41</v>
      </c>
      <c r="I22" s="6" t="n">
        <v>8098</v>
      </c>
    </row>
    <row r="23">
      <c r="A23" s="9" t="n">
        <v>1931</v>
      </c>
      <c r="B23" s="6" t="n">
        <v>7355</v>
      </c>
      <c r="C23" s="9" t="n">
        <v>177</v>
      </c>
      <c r="D23" s="9" t="n">
        <v>100</v>
      </c>
      <c r="E23" s="9" t="n">
        <v>10</v>
      </c>
      <c r="F23" s="9" t="n">
        <v>90</v>
      </c>
      <c r="G23" s="9" t="n">
        <v>468</v>
      </c>
      <c r="H23" s="9" t="n">
        <v>36</v>
      </c>
      <c r="I23" s="6" t="n">
        <v>7236</v>
      </c>
    </row>
    <row r="24">
      <c r="A24" s="9" t="n">
        <v>1932</v>
      </c>
      <c r="B24" s="6" t="n">
        <v>5627</v>
      </c>
      <c r="C24" s="9" t="n">
        <v>148</v>
      </c>
      <c r="D24" s="9" t="n">
        <v>19</v>
      </c>
      <c r="E24" s="9" t="n">
        <v>22</v>
      </c>
      <c r="F24" s="9" t="n">
        <v>70</v>
      </c>
      <c r="G24" s="9" t="n">
        <v>502</v>
      </c>
      <c r="H24" s="9" t="n">
        <v>45</v>
      </c>
      <c r="I24" s="6" t="n">
        <v>6433</v>
      </c>
    </row>
    <row r="25">
      <c r="A25" s="9" t="n">
        <v>1933</v>
      </c>
      <c r="B25" s="6" t="n">
        <v>6945</v>
      </c>
      <c r="C25" s="9" t="n">
        <v>161</v>
      </c>
      <c r="D25" s="9" t="n">
        <v>1</v>
      </c>
      <c r="E25" s="9" t="n">
        <v>36</v>
      </c>
      <c r="F25" s="9" t="n">
        <v>84</v>
      </c>
      <c r="G25" s="9" t="n">
        <v>612</v>
      </c>
      <c r="H25" s="9" t="n">
        <v>62</v>
      </c>
      <c r="I25" s="6" t="n">
        <v>7901</v>
      </c>
    </row>
    <row r="26">
      <c r="A26" s="9" t="n">
        <v>1934</v>
      </c>
      <c r="B26" s="6" t="n">
        <v>7520</v>
      </c>
      <c r="C26" s="9" t="n">
        <v>222</v>
      </c>
      <c r="D26" s="9" t="n">
        <v>56</v>
      </c>
      <c r="E26" s="9" t="n">
        <v>55</v>
      </c>
      <c r="F26" s="9" t="n">
        <v>126</v>
      </c>
      <c r="G26" s="9" t="n">
        <v>676</v>
      </c>
      <c r="H26" s="9" t="n">
        <v>75</v>
      </c>
      <c r="I26" s="6" t="n">
        <v>8734</v>
      </c>
    </row>
    <row r="27">
      <c r="A27" s="9" t="n">
        <v>1935</v>
      </c>
      <c r="B27" s="6" t="n">
        <v>8733</v>
      </c>
      <c r="C27" s="9" t="n">
        <v>275</v>
      </c>
      <c r="D27" s="9" t="n">
        <v>146</v>
      </c>
      <c r="E27" s="9" t="n">
        <v>75</v>
      </c>
      <c r="F27" s="9" t="n">
        <v>148</v>
      </c>
      <c r="G27" s="9" t="n">
        <v>744</v>
      </c>
      <c r="H27" s="9" t="n">
        <v>82</v>
      </c>
      <c r="I27" s="6" t="n">
        <v>10214</v>
      </c>
    </row>
    <row r="28">
      <c r="A28" s="9" t="n">
        <v>1936</v>
      </c>
      <c r="B28" s="6" t="n">
        <v>9538</v>
      </c>
      <c r="C28" s="9" t="n">
        <v>310</v>
      </c>
      <c r="D28" s="9" t="n">
        <v>228</v>
      </c>
      <c r="E28" s="9" t="n">
        <v>90</v>
      </c>
      <c r="F28" s="9" t="n">
        <v>151</v>
      </c>
      <c r="G28" s="9" t="n">
        <v>739</v>
      </c>
      <c r="H28" s="9" t="n">
        <v>106</v>
      </c>
      <c r="I28" s="6" t="n">
        <v>10252</v>
      </c>
    </row>
    <row r="30">
      <c r="A30" s="2" t="inlineStr">
        <is>
          <t>Transcriber's notes</t>
        </is>
      </c>
    </row>
    <row r="31">
      <c r="A31" t="inlineStr">
        <is>
          <t>(A) printed on p.489 in two side-by-side blocks, merged; (B) on p.490 headed '(Continued)'. Merged into one file.</t>
        </is>
      </c>
    </row>
    <row r="32">
      <c r="A32" t="inlineStr">
        <is>
          <t>Totals are 'incl. others' so positive differences are expected.</t>
        </is>
      </c>
    </row>
    <row r="33">
      <c r="A33" t="inlineStr">
        <is>
          <t>(A) 1934: listed mines sum to 1,306 vs printed 'Total incl. others' 1,306 (reconciles)</t>
        </is>
      </c>
    </row>
    <row r="34">
      <c r="A34" t="inlineStr">
        <is>
          <t>(A) 1935: listed mines sum to 1,500 vs printed 'Total incl. others' 1,500 (reconciles)</t>
        </is>
      </c>
    </row>
    <row r="35">
      <c r="A35" t="inlineStr">
        <is>
          <t>(A) 1936: listed mines sum to 1,894 vs printed 'Total incl. others' 1,894 (reconciles)</t>
        </is>
      </c>
    </row>
    <row r="36">
      <c r="A36" t="inlineStr">
        <is>
          <t>(A) 1937: listed mines sum to 2,258 vs printed 'Total incl. others' 2,272 (diff 14, attributable to 'others' if positive)</t>
        </is>
      </c>
    </row>
    <row r="37">
      <c r="A37" t="inlineStr">
        <is>
          <t>(B) 1930: parts sum to 8,098 vs printed 8,098 (reconciles)</t>
        </is>
      </c>
    </row>
    <row r="38">
      <c r="A38" t="inlineStr">
        <is>
          <t>(B) 1931: parts sum to 8,236 vs printed 7,236 (diff -1,000)</t>
        </is>
      </c>
    </row>
    <row r="39">
      <c r="A39" t="inlineStr">
        <is>
          <t>(B) 1932: parts sum to 6,433 vs printed 6,433 (reconciles)</t>
        </is>
      </c>
    </row>
    <row r="40">
      <c r="A40" t="inlineStr">
        <is>
          <t>(B) 1933: parts sum to 7,901 vs printed 7,901 (reconciles)</t>
        </is>
      </c>
    </row>
    <row r="41">
      <c r="A41" t="inlineStr">
        <is>
          <t>(B) 1934: parts sum to 8,730 vs printed 8,734 (diff +4)</t>
        </is>
      </c>
    </row>
    <row r="42">
      <c r="A42" t="inlineStr">
        <is>
          <t>(B) 1935: parts sum to 10,203 vs printed 10,214 (diff +11)</t>
        </is>
      </c>
    </row>
    <row r="43">
      <c r="A43" t="inlineStr">
        <is>
          <t>(B) 1936: parts sum to 11,162 vs printed 10,252 (diff -910)</t>
        </is>
      </c>
    </row>
  </sheetData>
  <hyperlinks>
    <hyperlink xmlns:r="http://schemas.openxmlformats.org/officeDocument/2006/relationships" ref="A4" r:id="rId1"/>
  </hyperlink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Coal Consumption Classified</t>
        </is>
      </c>
    </row>
    <row r="2">
      <c r="A2" t="inlineStr">
        <is>
          <t>Mining · printed pp. 490</t>
        </is>
      </c>
    </row>
    <row r="3">
      <c r="A3" t="inlineStr">
        <is>
          <t>(Unit: 1,000 M. tons)</t>
        </is>
      </c>
    </row>
    <row r="4">
      <c r="A4" s="3" t="inlineStr">
        <is>
          <t>← Contents</t>
        </is>
      </c>
    </row>
    <row r="6">
      <c r="A6" s="5" t="inlineStr">
        <is>
          <t>Year</t>
        </is>
      </c>
      <c r="B6" s="5" t="inlineStr">
        <is>
          <t>Output</t>
        </is>
      </c>
      <c r="C6" s="5" t="inlineStr">
        <is>
          <t>Domestic use — Railways</t>
        </is>
      </c>
      <c r="D6" s="5" t="inlineStr">
        <is>
          <t>Domestic use — Iron works</t>
        </is>
      </c>
      <c r="E6" s="5" t="inlineStr">
        <is>
          <t>Domestic use — Others</t>
        </is>
      </c>
      <c r="F6" s="5" t="inlineStr">
        <is>
          <t>Domestic use — Total</t>
        </is>
      </c>
      <c r="G6" s="5" t="inlineStr">
        <is>
          <t>Bunker</t>
        </is>
      </c>
      <c r="H6" s="5" t="inlineStr">
        <is>
          <t>Export — to Japan</t>
        </is>
      </c>
      <c r="I6" s="5" t="inlineStr">
        <is>
          <t>Export — Others</t>
        </is>
      </c>
    </row>
    <row r="7">
      <c r="A7" s="9" t="n">
        <v>1926</v>
      </c>
      <c r="B7" s="6" t="n">
        <v>7681</v>
      </c>
      <c r="C7" s="6" t="n">
        <v>1121</v>
      </c>
      <c r="D7" s="9" t="n">
        <v>458</v>
      </c>
      <c r="E7" s="6" t="n">
        <v>2334</v>
      </c>
      <c r="F7" s="6" t="n">
        <v>3912</v>
      </c>
      <c r="G7" s="9" t="n">
        <v>635</v>
      </c>
      <c r="H7" s="6" t="n">
        <v>1445</v>
      </c>
      <c r="I7" s="6" t="n">
        <v>1846</v>
      </c>
    </row>
    <row r="8">
      <c r="A8" s="9" t="n">
        <v>1927</v>
      </c>
      <c r="B8" s="6" t="n">
        <v>9552</v>
      </c>
      <c r="C8" s="6" t="n">
        <v>1284</v>
      </c>
      <c r="D8" s="9" t="n">
        <v>473</v>
      </c>
      <c r="E8" s="6" t="n">
        <v>3664</v>
      </c>
      <c r="F8" s="6" t="n">
        <v>5385</v>
      </c>
      <c r="G8" s="9" t="n">
        <v>718</v>
      </c>
      <c r="H8" s="6" t="n">
        <v>1743</v>
      </c>
      <c r="I8" s="6" t="n">
        <v>1891</v>
      </c>
    </row>
    <row r="9">
      <c r="A9" s="9" t="n">
        <v>1928</v>
      </c>
      <c r="B9" s="6" t="n">
        <v>9260</v>
      </c>
      <c r="C9" s="6" t="n">
        <v>1347</v>
      </c>
      <c r="D9" s="9" t="n">
        <v>516</v>
      </c>
      <c r="E9" s="6" t="n">
        <v>3131</v>
      </c>
      <c r="F9" s="6" t="n">
        <v>4994</v>
      </c>
      <c r="G9" s="9" t="n">
        <v>340</v>
      </c>
      <c r="H9" s="6" t="n">
        <v>1759</v>
      </c>
      <c r="I9" s="6" t="n">
        <v>1994</v>
      </c>
    </row>
    <row r="10">
      <c r="A10" s="9" t="n">
        <v>1929</v>
      </c>
      <c r="B10" s="6" t="n">
        <v>9859</v>
      </c>
      <c r="C10" s="6" t="n">
        <v>1396</v>
      </c>
      <c r="D10" s="9" t="n">
        <v>610</v>
      </c>
      <c r="E10" s="6" t="n">
        <v>3191</v>
      </c>
      <c r="F10" s="6" t="n">
        <v>5197</v>
      </c>
      <c r="G10" s="9" t="n">
        <v>722</v>
      </c>
      <c r="H10" s="6" t="n">
        <v>2016</v>
      </c>
      <c r="I10" s="6" t="n">
        <v>2081</v>
      </c>
    </row>
    <row r="11">
      <c r="A11" s="9" t="n">
        <v>1930</v>
      </c>
      <c r="B11" s="6" t="n">
        <v>9693</v>
      </c>
      <c r="C11" s="6" t="n">
        <v>1596</v>
      </c>
      <c r="D11" s="9" t="n">
        <v>768</v>
      </c>
      <c r="E11" s="6" t="n">
        <v>3318</v>
      </c>
      <c r="F11" s="6" t="n">
        <v>5682</v>
      </c>
      <c r="G11" s="9" t="n">
        <v>565</v>
      </c>
      <c r="H11" s="6" t="n">
        <v>1750</v>
      </c>
      <c r="I11" s="6" t="n">
        <v>2106</v>
      </c>
    </row>
    <row r="12">
      <c r="A12" s="9" t="n">
        <v>1931</v>
      </c>
      <c r="B12" s="6" t="n">
        <v>8954</v>
      </c>
      <c r="C12" s="9" t="n">
        <v>801</v>
      </c>
      <c r="D12" s="9" t="n">
        <v>648</v>
      </c>
      <c r="E12" s="6" t="n">
        <v>2879</v>
      </c>
      <c r="F12" s="6" t="n">
        <v>4328</v>
      </c>
      <c r="G12" s="9" t="n">
        <v>672</v>
      </c>
      <c r="H12" s="6" t="n">
        <v>1916</v>
      </c>
      <c r="I12" s="6" t="n">
        <v>2256</v>
      </c>
    </row>
    <row r="13">
      <c r="A13" s="9" t="n">
        <v>1932</v>
      </c>
      <c r="B13" s="6" t="n">
        <v>7132</v>
      </c>
      <c r="C13" s="9" t="n">
        <v>981</v>
      </c>
      <c r="D13" s="9" t="n">
        <v>794</v>
      </c>
      <c r="E13" s="6" t="n">
        <v>1249</v>
      </c>
      <c r="F13" s="6" t="n">
        <v>3024</v>
      </c>
      <c r="G13" s="9" t="n">
        <v>800</v>
      </c>
      <c r="H13" s="6" t="n">
        <v>1905</v>
      </c>
      <c r="I13" s="6" t="n">
        <v>1437</v>
      </c>
    </row>
    <row r="14">
      <c r="A14" s="9" t="n">
        <v>1933</v>
      </c>
      <c r="B14" s="6" t="n">
        <v>9069</v>
      </c>
      <c r="C14" s="6" t="n">
        <v>1289</v>
      </c>
      <c r="D14" s="9" t="n">
        <v>885</v>
      </c>
      <c r="E14" s="6" t="n">
        <v>2272</v>
      </c>
      <c r="F14" s="6" t="n">
        <v>4446</v>
      </c>
      <c r="G14" s="9" t="n">
        <v>877</v>
      </c>
      <c r="H14" s="6" t="n">
        <v>2530</v>
      </c>
      <c r="I14" s="6" t="n">
        <v>1228</v>
      </c>
    </row>
    <row r="15">
      <c r="A15" s="9" t="n">
        <v>1934</v>
      </c>
      <c r="B15" s="6" t="n">
        <v>10338</v>
      </c>
      <c r="C15" s="6" t="n">
        <v>1660</v>
      </c>
      <c r="D15" s="6" t="n">
        <v>1174</v>
      </c>
      <c r="E15" s="6" t="n">
        <v>3632</v>
      </c>
      <c r="F15" s="6" t="n">
        <v>6466</v>
      </c>
      <c r="G15" s="9" t="n">
        <v>864</v>
      </c>
      <c r="H15" s="6" t="n">
        <v>2751</v>
      </c>
      <c r="I15" s="6" t="n">
        <v>1032</v>
      </c>
    </row>
    <row r="16">
      <c r="A16" s="9" t="n">
        <v>1935</v>
      </c>
      <c r="B16" s="6" t="n">
        <v>12166</v>
      </c>
      <c r="C16" s="6" t="n">
        <v>1800</v>
      </c>
      <c r="D16" s="6" t="n">
        <v>1563</v>
      </c>
      <c r="E16" s="6" t="n">
        <v>4606</v>
      </c>
      <c r="F16" s="6" t="n">
        <v>7969</v>
      </c>
      <c r="G16" s="9" t="n">
        <v>78</v>
      </c>
      <c r="H16" s="6" t="n">
        <v>2693</v>
      </c>
      <c r="I16" s="9" t="n">
        <v>828</v>
      </c>
    </row>
    <row r="17">
      <c r="A17" s="9" t="n">
        <v>1936</v>
      </c>
      <c r="B17" s="6" t="n">
        <v>13874</v>
      </c>
      <c r="C17" s="6" t="n">
        <v>2044</v>
      </c>
      <c r="D17" s="6" t="n">
        <v>1631</v>
      </c>
      <c r="E17" s="6" t="n">
        <v>5902</v>
      </c>
      <c r="F17" s="6" t="n">
        <v>9578</v>
      </c>
      <c r="G17" s="9" t="n">
        <v>851</v>
      </c>
      <c r="H17" s="6" t="n">
        <v>2241</v>
      </c>
      <c r="I17" s="9" t="n">
        <v>753</v>
      </c>
    </row>
    <row r="18">
      <c r="A18" s="9" t="n">
        <v>1937</v>
      </c>
      <c r="B18" s="6" t="n">
        <v>14416</v>
      </c>
      <c r="C18" s="6" t="n">
        <v>2043</v>
      </c>
      <c r="D18" s="6" t="n">
        <v>1843</v>
      </c>
      <c r="E18" s="6" t="n">
        <v>7154</v>
      </c>
      <c r="F18" s="6" t="n">
        <v>11040</v>
      </c>
      <c r="G18" s="9" t="n">
        <v>798</v>
      </c>
      <c r="H18" s="6" t="n">
        <v>1950</v>
      </c>
      <c r="I18" s="9" t="n">
        <v>672</v>
      </c>
    </row>
    <row r="20">
      <c r="A20" s="2" t="inlineStr">
        <is>
          <t>(B) Estimated Coal Demand Classified According to the 5-Year Plan (In 1,000 Metric Tons)</t>
        </is>
      </c>
    </row>
    <row r="21">
      <c r="A21" s="5" t="inlineStr">
        <is>
          <t>Year</t>
        </is>
      </c>
      <c r="B21" s="5" t="inlineStr">
        <is>
          <t>Heavy Industry</t>
        </is>
      </c>
      <c r="C21" s="5" t="inlineStr">
        <is>
          <t>Railway</t>
        </is>
      </c>
      <c r="D21" s="5" t="inlineStr">
        <is>
          <t>Others</t>
        </is>
      </c>
      <c r="E21" s="5" t="inlineStr">
        <is>
          <t>Export</t>
        </is>
      </c>
      <c r="F21" s="5" t="inlineStr">
        <is>
          <t>Bunker</t>
        </is>
      </c>
      <c r="G21" s="5" t="inlineStr">
        <is>
          <t>Total</t>
        </is>
      </c>
      <c r="H21" s="5" t="n"/>
      <c r="I21" s="5" t="n"/>
    </row>
    <row r="22">
      <c r="A22" s="9" t="n">
        <v>1937</v>
      </c>
      <c r="B22" s="6" t="n">
        <v>2067</v>
      </c>
      <c r="C22" s="6" t="n">
        <v>2200</v>
      </c>
      <c r="D22" s="6" t="n">
        <v>6622</v>
      </c>
      <c r="E22" s="6" t="n">
        <v>3900</v>
      </c>
      <c r="F22" s="9" t="n">
        <v>900</v>
      </c>
      <c r="G22" s="6" t="n">
        <v>15686</v>
      </c>
    </row>
    <row r="23">
      <c r="A23" s="9" t="n">
        <v>1938</v>
      </c>
      <c r="B23" s="6" t="n">
        <v>2886</v>
      </c>
      <c r="C23" s="6" t="n">
        <v>2400</v>
      </c>
      <c r="D23" s="6" t="n">
        <v>6320</v>
      </c>
      <c r="E23" s="6" t="n">
        <v>4470</v>
      </c>
      <c r="F23" s="9" t="n">
        <v>970</v>
      </c>
      <c r="G23" s="6" t="n">
        <v>18046</v>
      </c>
    </row>
    <row r="24">
      <c r="A24" s="9" t="n">
        <v>1939</v>
      </c>
      <c r="B24" s="6" t="n">
        <v>3236</v>
      </c>
      <c r="C24" s="6" t="n">
        <v>2600</v>
      </c>
      <c r="D24" s="6" t="n">
        <v>7840</v>
      </c>
      <c r="E24" s="6" t="n">
        <v>6090</v>
      </c>
      <c r="F24" s="6" t="n">
        <v>1070</v>
      </c>
      <c r="G24" s="6" t="n">
        <v>20836</v>
      </c>
    </row>
    <row r="25">
      <c r="A25" s="9" t="n">
        <v>1940</v>
      </c>
      <c r="B25" s="6" t="n">
        <v>6003</v>
      </c>
      <c r="C25" s="6" t="n">
        <v>2800</v>
      </c>
      <c r="D25" s="6" t="n">
        <v>8320</v>
      </c>
      <c r="E25" s="6" t="n">
        <v>5150</v>
      </c>
      <c r="F25" s="6" t="n">
        <v>1100</v>
      </c>
      <c r="G25" s="6" t="n">
        <v>23373</v>
      </c>
    </row>
    <row r="26">
      <c r="A26" s="9" t="n">
        <v>1941</v>
      </c>
      <c r="B26" s="6" t="n">
        <v>8335</v>
      </c>
      <c r="C26" s="6" t="n">
        <v>3000</v>
      </c>
      <c r="D26" s="6" t="n">
        <v>8810</v>
      </c>
      <c r="E26" s="6" t="n">
        <v>5650</v>
      </c>
      <c r="F26" s="6" t="n">
        <v>1150</v>
      </c>
      <c r="G26" s="6" t="n">
        <v>26945</v>
      </c>
    </row>
    <row r="28">
      <c r="A28" s="2" t="inlineStr">
        <is>
          <t>Transcriber's notes</t>
        </is>
      </c>
    </row>
    <row r="29">
      <c r="A29" t="inlineStr">
        <is>
          <t>First part has no printed (A) label.</t>
        </is>
      </c>
    </row>
    <row r="30">
      <c r="A30" t="inlineStr">
        <is>
          <t>'Output' is not printed as a sum of the consumption columns; the Output vs consumption comparison below is informational only (stock changes/unlisted uses). The domestic 'Total' column is the checked total. Non-reconciling cells (1926, 1927, 1936; (B) 1937, 1938) re-read on a zoomed crop; figures as printed.</t>
        </is>
      </c>
    </row>
    <row r="31">
      <c r="A31" t="inlineStr">
        <is>
          <t>1926: domestic parts 3,913 vs Total 3,912 does NOT reconcile (diff -1); Total+Bunker+Exports 7,838 vs Output 7,681 (diff -157)</t>
        </is>
      </c>
    </row>
    <row r="32">
      <c r="A32" t="inlineStr">
        <is>
          <t>1927: domestic parts 5,421 vs Total 5,385 does NOT reconcile (diff -36); Total+Bunker+Exports 9,737 vs Output 9,552 (diff -185)</t>
        </is>
      </c>
    </row>
    <row r="33">
      <c r="A33" t="inlineStr">
        <is>
          <t>1928: domestic parts 4,994 vs Total 4,994 reconciles; Total+Bunker+Exports 9,087 vs Output 9,260 (diff +173)</t>
        </is>
      </c>
    </row>
    <row r="34">
      <c r="A34" t="inlineStr">
        <is>
          <t>1929: domestic parts 5,197 vs Total 5,197 reconciles; Total+Bunker+Exports 10,016 vs Output 9,859 (diff -157)</t>
        </is>
      </c>
    </row>
    <row r="35">
      <c r="A35" t="inlineStr">
        <is>
          <t>1930: domestic parts 5,682 vs Total 5,682 reconciles; Total+Bunker+Exports 10,103 vs Output 9,693 (diff -410)</t>
        </is>
      </c>
    </row>
    <row r="36">
      <c r="A36" t="inlineStr">
        <is>
          <t>1931: domestic parts 4,328 vs Total 4,328 reconciles; Total+Bunker+Exports 9,172 vs Output 8,954 (diff -218)</t>
        </is>
      </c>
    </row>
    <row r="37">
      <c r="A37" t="inlineStr">
        <is>
          <t>1932: domestic parts 3,024 vs Total 3,024 reconciles; Total+Bunker+Exports 7,166 vs Output 7,132 (diff -34)</t>
        </is>
      </c>
    </row>
    <row r="38">
      <c r="A38" t="inlineStr">
        <is>
          <t>1933: domestic parts 4,446 vs Total 4,446 reconciles; Total+Bunker+Exports 9,081 vs Output 9,069 (diff -12)</t>
        </is>
      </c>
    </row>
    <row r="39">
      <c r="A39" t="inlineStr">
        <is>
          <t>1934: domestic parts 6,466 vs Total 6,466 reconciles; Total+Bunker+Exports 11,113 vs Output 10,338 (diff -775)</t>
        </is>
      </c>
    </row>
    <row r="40">
      <c r="A40" t="inlineStr">
        <is>
          <t>1935: domestic parts 7,969 vs Total 7,969 reconciles; Total+Bunker+Exports 11,568 vs Output 12,166 (diff +598)</t>
        </is>
      </c>
    </row>
    <row r="41">
      <c r="A41" t="inlineStr">
        <is>
          <t>1936: domestic parts 9,577 vs Total 9,578 does NOT reconcile (diff +1); Total+Bunker+Exports 13,423 vs Output 13,874 (diff +451)</t>
        </is>
      </c>
    </row>
    <row r="42">
      <c r="A42" t="inlineStr">
        <is>
          <t>1937: domestic parts 11,040 vs Total 11,040 reconciles; Total+Bunker+Exports 14,460 vs Output 14,416 (diff -44)</t>
        </is>
      </c>
    </row>
    <row r="43">
      <c r="A43" t="inlineStr">
        <is>
          <t>(B) 1937: parts 15,689 vs Total 15,686 does NOT reconcile (diff -3)</t>
        </is>
      </c>
    </row>
    <row r="44">
      <c r="A44" t="inlineStr">
        <is>
          <t>(B) 1938: parts 17,046 vs Total 18,046 does NOT reconcile (diff +1,000)</t>
        </is>
      </c>
    </row>
    <row r="45">
      <c r="A45" t="inlineStr">
        <is>
          <t>(B) 1939: parts 20,836 vs Total 20,836 reconciles</t>
        </is>
      </c>
    </row>
    <row r="46">
      <c r="A46" t="inlineStr">
        <is>
          <t>(B) 1940: parts 23,373 vs Total 23,373 reconciles</t>
        </is>
      </c>
    </row>
    <row r="47">
      <c r="A47" t="inlineStr">
        <is>
          <t>(B) 1941: parts 26,945 vs Total 26,945 reconciles</t>
        </is>
      </c>
    </row>
  </sheetData>
  <hyperlinks>
    <hyperlink xmlns:r="http://schemas.openxmlformats.org/officeDocument/2006/relationships" ref="A4" r:id="rId1"/>
  </hyperlink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Principal Iron Deposits by Regions</t>
        </is>
      </c>
    </row>
    <row r="2">
      <c r="A2" t="inlineStr">
        <is>
          <t>Mining · printed pp. 491</t>
        </is>
      </c>
    </row>
    <row r="3">
      <c r="A3" s="3" t="inlineStr">
        <is>
          <t>← Contents</t>
        </is>
      </c>
    </row>
    <row r="5">
      <c r="A5" s="5" t="inlineStr">
        <is>
          <t>Region</t>
        </is>
      </c>
      <c r="B5" s="5" t="inlineStr">
        <is>
          <t>Species</t>
        </is>
      </c>
      <c r="C5" s="5" t="inlineStr">
        <is>
          <t>Grade</t>
        </is>
      </c>
      <c r="D5" s="5" t="inlineStr">
        <is>
          <t>Deposits (1,000 m. tons)</t>
        </is>
      </c>
      <c r="E5" s="5" t="inlineStr">
        <is>
          <t>Iron contents</t>
        </is>
      </c>
    </row>
    <row r="6">
      <c r="A6" t="inlineStr">
        <is>
          <t>Anshan</t>
        </is>
      </c>
      <c r="B6" t="inlineStr">
        <is>
          <t>Hemaetite</t>
        </is>
      </c>
      <c r="C6" t="inlineStr">
        <is>
          <t>Rich</t>
        </is>
      </c>
      <c r="D6" s="6" t="n">
        <v>1300</v>
      </c>
      <c r="E6" t="inlineStr">
        <is>
          <t>50–60%</t>
        </is>
      </c>
    </row>
    <row r="7">
      <c r="A7" t="inlineStr"/>
      <c r="B7" t="inlineStr">
        <is>
          <t>Magnetite</t>
        </is>
      </c>
      <c r="C7" t="inlineStr">
        <is>
          <t>Rich</t>
        </is>
      </c>
      <c r="D7" s="6" t="n">
        <v>3000</v>
      </c>
      <c r="E7" t="inlineStr">
        <is>
          <t>60–68%</t>
        </is>
      </c>
    </row>
    <row r="8">
      <c r="A8" t="inlineStr">
        <is>
          <t>Kungchuling</t>
        </is>
      </c>
      <c r="B8" t="inlineStr">
        <is>
          <t>Hemaetite</t>
        </is>
      </c>
      <c r="C8" t="inlineStr">
        <is>
          <t>Lean</t>
        </is>
      </c>
      <c r="D8" s="6" t="n">
        <v>377000</v>
      </c>
      <c r="E8" t="inlineStr">
        <is>
          <t>40%</t>
        </is>
      </c>
    </row>
    <row r="9">
      <c r="A9" t="inlineStr"/>
      <c r="B9" t="inlineStr">
        <is>
          <t>Magnetite</t>
        </is>
      </c>
      <c r="C9" t="inlineStr">
        <is>
          <t>Lean</t>
        </is>
      </c>
      <c r="D9" s="6" t="n">
        <v>456400</v>
      </c>
      <c r="E9" t="inlineStr">
        <is>
          <t>35%</t>
        </is>
      </c>
    </row>
    <row r="10">
      <c r="A10" t="inlineStr">
        <is>
          <t>Penhsihu</t>
        </is>
      </c>
      <c r="B10" t="inlineStr">
        <is>
          <t>Magnetite</t>
        </is>
      </c>
      <c r="C10" t="inlineStr">
        <is>
          <t>Rich</t>
        </is>
      </c>
      <c r="D10" s="6" t="n">
        <v>3000</v>
      </c>
      <c r="E10" t="inlineStr">
        <is>
          <t>60–68%</t>
        </is>
      </c>
    </row>
    <row r="11">
      <c r="A11" t="inlineStr"/>
      <c r="B11" t="inlineStr"/>
      <c r="C11" t="inlineStr">
        <is>
          <t>Lean</t>
        </is>
      </c>
      <c r="D11" s="6" t="n">
        <v>227000</v>
      </c>
      <c r="E11" t="inlineStr">
        <is>
          <t>33%</t>
        </is>
      </c>
    </row>
    <row r="12">
      <c r="A12" t="inlineStr">
        <is>
          <t>Waitoushan</t>
        </is>
      </c>
      <c r="B12" t="inlineStr">
        <is>
          <t>Magnetite</t>
        </is>
      </c>
      <c r="C12" t="inlineStr"/>
      <c r="D12" s="6" t="n">
        <v>150000</v>
      </c>
      <c r="E12" t="inlineStr">
        <is>
          <t>above 30%</t>
        </is>
      </c>
    </row>
    <row r="14">
      <c r="A14" s="2" t="inlineStr">
        <is>
          <t>Transcriber's notes</t>
        </is>
      </c>
    </row>
    <row r="15">
      <c r="A15" t="inlineStr">
        <is>
          <t>Third column (Rich/Lean) has no printed header; 'Grade' supplied.</t>
        </is>
      </c>
    </row>
    <row r="16">
      <c r="A16" t="inlineStr">
        <is>
          <t>Regions braced over two rows; region name given on first row only.</t>
        </is>
      </c>
    </row>
    <row r="17">
      <c r="A17" t="inlineStr">
        <is>
          <t>'Hemaetite' as printed.</t>
        </is>
      </c>
    </row>
    <row r="18">
      <c r="A18" t="inlineStr">
        <is>
          <t>No total printed.</t>
        </is>
      </c>
    </row>
  </sheetData>
  <hyperlinks>
    <hyperlink xmlns:r="http://schemas.openxmlformats.org/officeDocument/2006/relationships" ref="A3" r:id="rId1"/>
  </hyperlink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8. Chemical Analysis of Manchurian Iron Ore</t>
        </is>
      </c>
    </row>
    <row r="2">
      <c r="A2" t="inlineStr">
        <is>
          <t>Mining · printed pp. 492</t>
        </is>
      </c>
    </row>
    <row r="3">
      <c r="A3" s="3" t="inlineStr">
        <is>
          <t>← Contents</t>
        </is>
      </c>
    </row>
    <row r="5">
      <c r="A5" s="5" t="inlineStr">
        <is>
          <t>Mine</t>
        </is>
      </c>
      <c r="B5" s="5" t="inlineStr">
        <is>
          <t>Grade</t>
        </is>
      </c>
      <c r="C5" s="5" t="inlineStr">
        <is>
          <t>Iron</t>
        </is>
      </c>
      <c r="D5" s="5" t="inlineStr">
        <is>
          <t>Alumina</t>
        </is>
      </c>
      <c r="E5" s="5" t="inlineStr">
        <is>
          <t>Lime</t>
        </is>
      </c>
      <c r="F5" s="5" t="inlineStr">
        <is>
          <t>Magnesite</t>
        </is>
      </c>
      <c r="G5" s="5" t="inlineStr">
        <is>
          <t>Manganese</t>
        </is>
      </c>
      <c r="H5" s="5" t="inlineStr">
        <is>
          <t>Sulphur</t>
        </is>
      </c>
      <c r="I5" s="5" t="inlineStr">
        <is>
          <t>Phosphorite</t>
        </is>
      </c>
      <c r="J5" s="5" t="inlineStr">
        <is>
          <t>Silicic acid</t>
        </is>
      </c>
    </row>
    <row r="6">
      <c r="A6" t="inlineStr">
        <is>
          <t>Miaoerhkow of Penhsihu</t>
        </is>
      </c>
      <c r="B6" t="inlineStr">
        <is>
          <t>Rich</t>
        </is>
      </c>
      <c r="C6" s="11" t="n">
        <v>64.01000000000001</v>
      </c>
      <c r="D6" s="11" t="n">
        <v>1.28</v>
      </c>
      <c r="E6" s="11" t="n">
        <v>0.45</v>
      </c>
      <c r="F6" s="10" t="n">
        <v>0.027</v>
      </c>
      <c r="G6" s="11" t="n">
        <v>0.37</v>
      </c>
      <c r="H6" s="10" t="n">
        <v>0.116</v>
      </c>
      <c r="I6" s="10" t="n">
        <v>0.017</v>
      </c>
      <c r="J6" s="11" t="n">
        <v>6.17</v>
      </c>
    </row>
    <row r="7">
      <c r="A7" t="inlineStr">
        <is>
          <t>Miaoerhkow of Penhsihu</t>
        </is>
      </c>
      <c r="B7" t="inlineStr">
        <is>
          <t>Lean</t>
        </is>
      </c>
      <c r="C7" s="11" t="n">
        <v>33.63</v>
      </c>
      <c r="D7" s="11" t="n">
        <v>0.37</v>
      </c>
      <c r="E7" s="11" t="n">
        <v>0.38</v>
      </c>
      <c r="F7" s="11" t="n">
        <v>0.08</v>
      </c>
      <c r="G7" t="inlineStr">
        <is>
          <t>—</t>
        </is>
      </c>
      <c r="H7" s="10" t="n">
        <v>0.03</v>
      </c>
      <c r="I7" s="10" t="n">
        <v>0.059</v>
      </c>
      <c r="J7" s="11" t="n">
        <v>50.93</v>
      </c>
    </row>
    <row r="8">
      <c r="A8" t="inlineStr">
        <is>
          <t>Talitzukou</t>
        </is>
      </c>
      <c r="B8" t="inlineStr">
        <is>
          <t>Lean</t>
        </is>
      </c>
      <c r="C8" s="11" t="n">
        <v>33.08</v>
      </c>
      <c r="D8" t="inlineStr">
        <is>
          <t>—</t>
        </is>
      </c>
      <c r="E8" s="11" t="n">
        <v>1.12</v>
      </c>
      <c r="F8" t="inlineStr">
        <is>
          <t>—</t>
        </is>
      </c>
      <c r="G8" s="11" t="n">
        <v>5.4</v>
      </c>
      <c r="H8" s="10" t="n">
        <v>0.244</v>
      </c>
      <c r="I8" t="inlineStr">
        <is>
          <t>—</t>
        </is>
      </c>
      <c r="J8" s="11" t="n">
        <v>13.72</v>
      </c>
    </row>
    <row r="9">
      <c r="A9" t="inlineStr">
        <is>
          <t>Yingta'oyuan</t>
        </is>
      </c>
      <c r="B9" t="inlineStr">
        <is>
          <t>Rich</t>
        </is>
      </c>
      <c r="C9" s="11" t="n">
        <v>54.4</v>
      </c>
      <c r="D9" s="11" t="n">
        <v>0.32</v>
      </c>
      <c r="E9" s="11" t="n">
        <v>0.63</v>
      </c>
      <c r="F9" s="11" t="n">
        <v>0.65</v>
      </c>
      <c r="G9" s="11" t="n">
        <v>0.86</v>
      </c>
      <c r="H9" s="11" t="n">
        <v>0.31</v>
      </c>
      <c r="I9" s="11" t="n">
        <v>0.04</v>
      </c>
      <c r="J9" s="11" t="n">
        <v>19.74</v>
      </c>
    </row>
    <row r="11">
      <c r="A11" s="2" t="inlineStr">
        <is>
          <t>Transcriber's notes</t>
        </is>
      </c>
    </row>
    <row r="12">
      <c r="A12" t="inlineStr">
        <is>
          <t>'Miaoerhkow of Penhsihu' braced over Rich and Lean rows; repeated on both rows.</t>
        </is>
      </c>
    </row>
    <row r="13">
      <c r="A13" t="inlineStr">
        <is>
          <t>Grade column has no printed header; 'Grade' supplied.</t>
        </is>
      </c>
    </row>
    <row r="14">
      <c r="A14" t="inlineStr">
        <is>
          <t>Silicic acid column printed slightly lower than the other figures; matched in order.</t>
        </is>
      </c>
    </row>
    <row r="15">
      <c r="A15" t="inlineStr">
        <is>
          <t>No totals printed.</t>
        </is>
      </c>
    </row>
  </sheetData>
  <hyperlinks>
    <hyperlink xmlns:r="http://schemas.openxmlformats.org/officeDocument/2006/relationships" ref="A3" r:id="rId1"/>
  </hyperlink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9. Iron Ore Production in Manchoukuo</t>
        </is>
      </c>
    </row>
    <row r="2">
      <c r="A2" t="inlineStr">
        <is>
          <t>Mining · printed pp. 492</t>
        </is>
      </c>
    </row>
    <row r="3">
      <c r="A3" t="inlineStr">
        <is>
          <t>(In Metric Tons)</t>
        </is>
      </c>
    </row>
    <row r="4">
      <c r="A4" s="3" t="inlineStr">
        <is>
          <t>← Contents</t>
        </is>
      </c>
    </row>
    <row r="6">
      <c r="A6" s="5" t="inlineStr">
        <is>
          <t>Year</t>
        </is>
      </c>
      <c r="B6" s="5" t="inlineStr">
        <is>
          <t>Lean Ore</t>
        </is>
      </c>
      <c r="C6" s="5" t="inlineStr">
        <is>
          <t>Rich Ore</t>
        </is>
      </c>
      <c r="D6" s="5" t="inlineStr">
        <is>
          <t>Total</t>
        </is>
      </c>
    </row>
    <row r="7">
      <c r="A7" s="9" t="n">
        <v>1917</v>
      </c>
      <c r="B7" s="6" t="n">
        <v>3585</v>
      </c>
      <c r="C7" s="6" t="n">
        <v>99561</v>
      </c>
      <c r="D7" s="6" t="n">
        <v>103146</v>
      </c>
    </row>
    <row r="8">
      <c r="A8" s="9" t="n">
        <v>1922</v>
      </c>
      <c r="B8" s="9" t="n">
        <v>600</v>
      </c>
      <c r="C8" s="6" t="n">
        <v>139528</v>
      </c>
      <c r="D8" s="6" t="n">
        <v>140128</v>
      </c>
    </row>
    <row r="9">
      <c r="A9" s="9" t="n">
        <v>1927</v>
      </c>
      <c r="B9" s="6" t="n">
        <v>457300</v>
      </c>
      <c r="C9" s="6" t="n">
        <v>173304</v>
      </c>
      <c r="D9" s="6" t="n">
        <v>630604</v>
      </c>
    </row>
    <row r="10">
      <c r="A10" s="9" t="n">
        <v>1928</v>
      </c>
      <c r="B10" s="6" t="n">
        <v>488000</v>
      </c>
      <c r="C10" s="6" t="n">
        <v>185624</v>
      </c>
      <c r="D10" s="6" t="n">
        <v>673624</v>
      </c>
    </row>
    <row r="11">
      <c r="A11" s="9" t="n">
        <v>1929</v>
      </c>
      <c r="B11" s="6" t="n">
        <v>529490</v>
      </c>
      <c r="C11" s="6" t="n">
        <v>251768</v>
      </c>
      <c r="D11" s="6" t="n">
        <v>781258</v>
      </c>
    </row>
    <row r="12">
      <c r="A12" s="9" t="n">
        <v>1930</v>
      </c>
      <c r="B12" s="6" t="n">
        <v>523894</v>
      </c>
      <c r="C12" s="6" t="n">
        <v>359603</v>
      </c>
      <c r="D12" s="6" t="n">
        <v>883497</v>
      </c>
    </row>
    <row r="13">
      <c r="A13" s="9" t="n">
        <v>1931</v>
      </c>
      <c r="B13" s="6" t="n">
        <v>673380</v>
      </c>
      <c r="C13" s="6" t="n">
        <v>250879</v>
      </c>
      <c r="D13" s="6" t="n">
        <v>924259</v>
      </c>
    </row>
    <row r="14">
      <c r="A14" s="9" t="n">
        <v>1932</v>
      </c>
      <c r="B14" s="6" t="n">
        <v>742810</v>
      </c>
      <c r="C14" s="6" t="n">
        <v>237068</v>
      </c>
      <c r="D14" s="6" t="n">
        <v>979878</v>
      </c>
    </row>
    <row r="15">
      <c r="A15" s="9" t="n">
        <v>1933</v>
      </c>
      <c r="B15" s="6" t="n">
        <v>770381</v>
      </c>
      <c r="C15" s="6" t="n">
        <v>328032</v>
      </c>
      <c r="D15" s="6" t="n">
        <v>1098413</v>
      </c>
    </row>
    <row r="16">
      <c r="A16" s="9" t="n">
        <v>1934</v>
      </c>
      <c r="B16" s="6" t="n">
        <v>739623</v>
      </c>
      <c r="C16" s="6" t="n">
        <v>393748</v>
      </c>
      <c r="D16" s="6" t="n">
        <v>1133371</v>
      </c>
    </row>
    <row r="17">
      <c r="A17" s="9" t="n">
        <v>1935</v>
      </c>
      <c r="B17" s="6" t="n">
        <v>985480</v>
      </c>
      <c r="C17" s="6" t="n">
        <v>492460</v>
      </c>
      <c r="D17" s="6" t="n">
        <v>1477940</v>
      </c>
    </row>
    <row r="18">
      <c r="A18" s="9" t="n">
        <v>1936</v>
      </c>
      <c r="B18" s="6" t="n">
        <v>1325219</v>
      </c>
      <c r="C18" s="6" t="n">
        <v>579374</v>
      </c>
      <c r="D18" s="6" t="n">
        <v>1904593</v>
      </c>
    </row>
    <row r="19">
      <c r="A19" t="inlineStr">
        <is>
          <t>1937 (1st half)</t>
        </is>
      </c>
      <c r="B19" t="inlineStr">
        <is>
          <t>—</t>
        </is>
      </c>
      <c r="C19" t="inlineStr">
        <is>
          <t>—</t>
        </is>
      </c>
      <c r="D19" s="6" t="n">
        <v>1029065</v>
      </c>
    </row>
    <row r="21">
      <c r="A21" s="2" t="inlineStr">
        <is>
          <t>Transcriber's notes</t>
        </is>
      </c>
    </row>
    <row r="22">
      <c r="A22" t="inlineStr">
        <is>
          <t>Printed in two side-by-side blocks; merged.</t>
        </is>
      </c>
    </row>
    <row r="23">
      <c r="A23" t="inlineStr">
        <is>
          <t>1937 printed as '1937' / '(1st half)' on two lines; combined.</t>
        </is>
      </c>
    </row>
    <row r="24">
      <c r="A24" t="inlineStr">
        <is>
          <t>1917: parts 103,146 vs Total 103,146 reconciles</t>
        </is>
      </c>
    </row>
    <row r="25">
      <c r="A25" t="inlineStr">
        <is>
          <t>1922: parts 140,128 vs Total 140,128 reconciles</t>
        </is>
      </c>
    </row>
    <row r="26">
      <c r="A26" t="inlineStr">
        <is>
          <t>1927: parts 630,604 vs Total 630,604 reconciles</t>
        </is>
      </c>
    </row>
    <row r="27">
      <c r="A27" t="inlineStr">
        <is>
          <t>1928: parts 673,624 vs Total 673,624 reconciles</t>
        </is>
      </c>
    </row>
    <row r="28">
      <c r="A28" t="inlineStr">
        <is>
          <t>1929: parts 781,258 vs Total 781,258 reconciles</t>
        </is>
      </c>
    </row>
    <row r="29">
      <c r="A29" t="inlineStr">
        <is>
          <t>1930: parts 883,497 vs Total 883,497 reconciles</t>
        </is>
      </c>
    </row>
    <row r="30">
      <c r="A30" t="inlineStr">
        <is>
          <t>1931: parts 924,259 vs Total 924,259 reconciles</t>
        </is>
      </c>
    </row>
    <row r="31">
      <c r="A31" t="inlineStr">
        <is>
          <t>1932: parts 979,878 vs Total 979,878 reconciles</t>
        </is>
      </c>
    </row>
    <row r="32">
      <c r="A32" t="inlineStr">
        <is>
          <t>1933: parts 1,098,413 vs Total 1,098,413 reconciles</t>
        </is>
      </c>
    </row>
    <row r="33">
      <c r="A33" t="inlineStr">
        <is>
          <t>1934: parts 1,133,371 vs Total 1,133,371 reconciles</t>
        </is>
      </c>
    </row>
    <row r="34">
      <c r="A34" t="inlineStr">
        <is>
          <t>1935: parts 1,477,940 vs Total 1,477,940 reconciles</t>
        </is>
      </c>
    </row>
    <row r="35">
      <c r="A35" t="inlineStr">
        <is>
          <t>1936: parts 1,904,593 vs Total 1,904,593 reconciles</t>
        </is>
      </c>
    </row>
  </sheetData>
  <hyperlinks>
    <hyperlink xmlns:r="http://schemas.openxmlformats.org/officeDocument/2006/relationships" ref="A4" r:id="rId1"/>
  </hyperlink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10. Production of Steel Materials by Kinds</t>
        </is>
      </c>
    </row>
    <row r="2">
      <c r="A2" t="inlineStr">
        <is>
          <t>Mining · printed pp. 492</t>
        </is>
      </c>
    </row>
    <row r="3">
      <c r="A3" t="inlineStr">
        <is>
          <t>(In Metric Tons)</t>
        </is>
      </c>
    </row>
    <row r="4">
      <c r="A4" s="3" t="inlineStr">
        <is>
          <t>← Contents</t>
        </is>
      </c>
    </row>
    <row r="6">
      <c r="A6" s="5" t="inlineStr">
        <is>
          <t>Kind</t>
        </is>
      </c>
      <c r="B6" s="5" t="inlineStr">
        <is>
          <t>1935</t>
        </is>
      </c>
      <c r="C6" s="5" t="inlineStr">
        <is>
          <t>1936</t>
        </is>
      </c>
    </row>
    <row r="7">
      <c r="A7" t="inlineStr">
        <is>
          <t>Steel Rods</t>
        </is>
      </c>
      <c r="B7" s="6" t="n">
        <v>12346</v>
      </c>
      <c r="C7" s="6" t="n">
        <v>67287</v>
      </c>
    </row>
    <row r="8">
      <c r="A8" t="inlineStr">
        <is>
          <t>Rails</t>
        </is>
      </c>
      <c r="B8" s="6" t="n">
        <v>8397</v>
      </c>
      <c r="C8" s="6" t="n">
        <v>38228</v>
      </c>
    </row>
    <row r="9">
      <c r="A9" t="inlineStr">
        <is>
          <t>Thin Steel Plates</t>
        </is>
      </c>
      <c r="B9" s="6" t="n">
        <v>4704</v>
      </c>
      <c r="C9" s="6" t="n">
        <v>29141</v>
      </c>
    </row>
    <row r="10">
      <c r="A10" t="inlineStr">
        <is>
          <t>Thick Steel Plates</t>
        </is>
      </c>
      <c r="B10" t="inlineStr">
        <is>
          <t>—</t>
        </is>
      </c>
      <c r="C10" s="9" t="n">
        <v>498</v>
      </c>
    </row>
    <row r="11">
      <c r="A11" t="inlineStr">
        <is>
          <t>Cast Steel</t>
        </is>
      </c>
      <c r="B11" t="inlineStr">
        <is>
          <t>—</t>
        </is>
      </c>
      <c r="C11" s="9" t="n">
        <v>152</v>
      </c>
    </row>
    <row r="12">
      <c r="A12" t="inlineStr">
        <is>
          <t>Total</t>
        </is>
      </c>
      <c r="B12" s="6" t="n">
        <v>25447</v>
      </c>
      <c r="C12" s="6" t="n">
        <v>135306</v>
      </c>
    </row>
    <row r="14">
      <c r="A14" s="2" t="inlineStr">
        <is>
          <t>Transcriber's notes</t>
        </is>
      </c>
    </row>
    <row r="15">
      <c r="A15" t="inlineStr">
        <is>
          <t>Printed in two side-by-side blocks; merged.</t>
        </is>
      </c>
    </row>
    <row r="16">
      <c r="A16" t="inlineStr">
        <is>
          <t>1935: parts 25,447 vs Total 25,447</t>
        </is>
      </c>
    </row>
    <row r="17">
      <c r="A17" t="inlineStr">
        <is>
          <t>1936: parts 135,306 vs Total 135,306</t>
        </is>
      </c>
    </row>
  </sheetData>
  <hyperlinks>
    <hyperlink xmlns:r="http://schemas.openxmlformats.org/officeDocument/2006/relationships" ref="A4" r:id="rId1"/>
  </hyperlink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11. Pig Iron Production</t>
        </is>
      </c>
    </row>
    <row r="2">
      <c r="A2" t="inlineStr">
        <is>
          <t>Mining · printed pp. 492</t>
        </is>
      </c>
    </row>
    <row r="3">
      <c r="A3" t="inlineStr">
        <is>
          <t>(In Metric Tons)</t>
        </is>
      </c>
    </row>
    <row r="4">
      <c r="A4" s="3" t="inlineStr">
        <is>
          <t>← Contents</t>
        </is>
      </c>
    </row>
    <row r="6">
      <c r="A6" s="5" t="inlineStr">
        <is>
          <t>Year / Month</t>
        </is>
      </c>
      <c r="B6" s="5" t="inlineStr">
        <is>
          <t>Pig iron</t>
        </is>
      </c>
      <c r="C6" s="5" t="inlineStr">
        <is>
          <t>Steel</t>
        </is>
      </c>
      <c r="D6" s="5" t="inlineStr">
        <is>
          <t>Steel materials</t>
        </is>
      </c>
    </row>
    <row r="7">
      <c r="A7" s="9" t="n">
        <v>1933</v>
      </c>
      <c r="B7" s="6" t="n">
        <v>433523</v>
      </c>
      <c r="C7" t="inlineStr">
        <is>
          <t>—</t>
        </is>
      </c>
      <c r="D7" t="inlineStr">
        <is>
          <t>—</t>
        </is>
      </c>
    </row>
    <row r="8">
      <c r="A8" s="9" t="n">
        <v>1934</v>
      </c>
      <c r="B8" s="6" t="n">
        <v>475826</v>
      </c>
      <c r="C8" t="inlineStr">
        <is>
          <t>—</t>
        </is>
      </c>
      <c r="D8" t="inlineStr">
        <is>
          <t>—</t>
        </is>
      </c>
    </row>
    <row r="9">
      <c r="A9" s="9" t="n">
        <v>1935</v>
      </c>
      <c r="B9" s="6" t="n">
        <v>607948</v>
      </c>
      <c r="C9" s="6" t="n">
        <v>136817</v>
      </c>
      <c r="D9" s="6" t="n">
        <v>25447</v>
      </c>
    </row>
    <row r="10">
      <c r="A10" s="9" t="n">
        <v>1936</v>
      </c>
      <c r="B10" s="6" t="n">
        <v>633393</v>
      </c>
      <c r="C10" s="6" t="n">
        <v>344424</v>
      </c>
      <c r="D10" s="6" t="n">
        <v>135306</v>
      </c>
    </row>
    <row r="11">
      <c r="A11" t="inlineStr">
        <is>
          <t>1937:</t>
        </is>
      </c>
      <c r="B11" t="inlineStr"/>
      <c r="C11" t="inlineStr"/>
      <c r="D11" t="inlineStr"/>
    </row>
    <row r="12">
      <c r="A12" t="inlineStr">
        <is>
          <t>Jan.</t>
        </is>
      </c>
      <c r="B12" s="6" t="n">
        <v>55863</v>
      </c>
      <c r="C12" s="6" t="n">
        <v>33970</v>
      </c>
      <c r="D12" s="6" t="n">
        <v>36409</v>
      </c>
    </row>
    <row r="13">
      <c r="A13" t="inlineStr">
        <is>
          <t>Feb.</t>
        </is>
      </c>
      <c r="B13" s="6" t="n">
        <v>49635</v>
      </c>
      <c r="C13" s="6" t="n">
        <v>27432</v>
      </c>
      <c r="D13" s="6" t="n">
        <v>36449</v>
      </c>
    </row>
    <row r="14">
      <c r="A14" t="inlineStr">
        <is>
          <t>Mar.</t>
        </is>
      </c>
      <c r="B14" s="6" t="n">
        <v>52383</v>
      </c>
      <c r="C14" s="6" t="n">
        <v>33610</v>
      </c>
      <c r="D14" s="6" t="n">
        <v>41479</v>
      </c>
    </row>
    <row r="15">
      <c r="A15" t="inlineStr">
        <is>
          <t>Apr.</t>
        </is>
      </c>
      <c r="B15" s="6" t="n">
        <v>51548</v>
      </c>
      <c r="C15" s="6" t="n">
        <v>29851</v>
      </c>
      <c r="D15" s="6" t="n">
        <v>28115</v>
      </c>
    </row>
    <row r="16">
      <c r="A16" t="inlineStr">
        <is>
          <t>May</t>
        </is>
      </c>
      <c r="B16" s="6" t="n">
        <v>60987</v>
      </c>
      <c r="C16" s="6" t="n">
        <v>30880</v>
      </c>
      <c r="D16" s="6" t="n">
        <v>26323</v>
      </c>
    </row>
    <row r="17">
      <c r="A17" t="inlineStr">
        <is>
          <t>June</t>
        </is>
      </c>
      <c r="B17" s="6" t="n">
        <v>64915</v>
      </c>
      <c r="C17" s="6" t="n">
        <v>30756</v>
      </c>
      <c r="D17" s="6" t="n">
        <v>25577</v>
      </c>
    </row>
    <row r="18">
      <c r="A18" t="inlineStr">
        <is>
          <t>July</t>
        </is>
      </c>
      <c r="B18" s="6" t="n">
        <v>65273</v>
      </c>
      <c r="C18" s="6" t="n">
        <v>35642</v>
      </c>
      <c r="D18" s="6" t="n">
        <v>26390</v>
      </c>
    </row>
    <row r="19">
      <c r="A19" t="inlineStr">
        <is>
          <t>Aug.</t>
        </is>
      </c>
      <c r="B19" s="6" t="n">
        <v>69089</v>
      </c>
      <c r="C19" s="6" t="n">
        <v>36886</v>
      </c>
      <c r="D19" s="6" t="n">
        <v>27065</v>
      </c>
    </row>
    <row r="20">
      <c r="A20" t="inlineStr">
        <is>
          <t>Sept.</t>
        </is>
      </c>
      <c r="B20" s="6" t="n">
        <v>67107</v>
      </c>
      <c r="C20" s="6" t="n">
        <v>39984</v>
      </c>
      <c r="D20" s="6" t="n">
        <v>26866</v>
      </c>
    </row>
    <row r="21">
      <c r="A21" t="inlineStr">
        <is>
          <t>Oct.</t>
        </is>
      </c>
      <c r="B21" s="6" t="n">
        <v>74374</v>
      </c>
      <c r="C21" s="6" t="n">
        <v>49684</v>
      </c>
      <c r="D21" s="6" t="n">
        <v>35516</v>
      </c>
    </row>
    <row r="22">
      <c r="A22" t="inlineStr">
        <is>
          <t>Nov.</t>
        </is>
      </c>
      <c r="B22" s="6" t="n">
        <v>75234</v>
      </c>
      <c r="C22" s="6" t="n">
        <v>52359</v>
      </c>
      <c r="D22" s="6" t="n">
        <v>44038</v>
      </c>
    </row>
    <row r="23">
      <c r="A23" t="inlineStr">
        <is>
          <t>Dec.</t>
        </is>
      </c>
      <c r="B23" s="6" t="n">
        <v>75730</v>
      </c>
      <c r="C23" s="6" t="n">
        <v>25490</v>
      </c>
      <c r="D23" s="6" t="n">
        <v>15439</v>
      </c>
    </row>
    <row r="24">
      <c r="A24" t="inlineStr">
        <is>
          <t>Total</t>
        </is>
      </c>
      <c r="B24" s="6" t="n">
        <v>762138</v>
      </c>
      <c r="C24" s="6" t="n">
        <v>426544</v>
      </c>
      <c r="D24" s="6" t="n">
        <v>369666</v>
      </c>
    </row>
    <row r="26">
      <c r="A26" s="2" t="inlineStr">
        <is>
          <t>Footnotes</t>
        </is>
      </c>
    </row>
    <row r="27">
      <c r="A27" t="inlineStr">
        <is>
          <t>Note: * Represents production by Showa Steel Works and Penhsihu Iron &amp; Colliery Co.</t>
        </is>
      </c>
    </row>
    <row r="29">
      <c r="A29" s="2" t="inlineStr">
        <is>
          <t>Transcriber's notes</t>
        </is>
      </c>
    </row>
    <row r="30">
      <c r="A30" t="inlineStr">
        <is>
          <t>Printed in two side-by-side blocks; merged.</t>
        </is>
      </c>
    </row>
    <row r="31">
      <c r="A31" t="inlineStr">
        <is>
          <t>No asterisk is visible anywhere in the table body to which the printed note attaches.</t>
        </is>
      </c>
    </row>
    <row r="32">
      <c r="A32" t="inlineStr">
        <is>
          <t>1937 Total Pig iron: months sum to 762,138 vs printed 762,138</t>
        </is>
      </c>
    </row>
    <row r="33">
      <c r="A33" t="inlineStr">
        <is>
          <t>1937 Total Steel: months sum to 426,544 vs printed 426,544</t>
        </is>
      </c>
    </row>
    <row r="34">
      <c r="A34" t="inlineStr">
        <is>
          <t>1937 Total Steel materials: months sum to 369,666 vs printed 369,666</t>
        </is>
      </c>
    </row>
  </sheetData>
  <hyperlinks>
    <hyperlink xmlns:r="http://schemas.openxmlformats.org/officeDocument/2006/relationships" ref="A4" r:id="rId1"/>
  </hyperlink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12. Pig Iron Production Classified by Companies</t>
        </is>
      </c>
    </row>
    <row r="2">
      <c r="A2" t="inlineStr">
        <is>
          <t>Mining · printed pp. 493</t>
        </is>
      </c>
    </row>
    <row r="3">
      <c r="A3" t="inlineStr">
        <is>
          <t>(In Metric Tons)</t>
        </is>
      </c>
    </row>
    <row r="4">
      <c r="A4" s="3" t="inlineStr">
        <is>
          <t>← Contents</t>
        </is>
      </c>
    </row>
    <row r="6">
      <c r="A6" s="5" t="inlineStr">
        <is>
          <t>Year</t>
        </is>
      </c>
      <c r="B6" s="5" t="inlineStr">
        <is>
          <t>Showa Steel Works (Former Anshan Iron Works)</t>
        </is>
      </c>
      <c r="C6" s="5" t="inlineStr">
        <is>
          <t>Penhsihu Iron &amp; Colliery Company</t>
        </is>
      </c>
      <c r="D6" s="5" t="inlineStr">
        <is>
          <t>Total</t>
        </is>
      </c>
    </row>
    <row r="7">
      <c r="A7" s="9" t="n">
        <v>1925</v>
      </c>
      <c r="B7" s="6" t="n">
        <v>85886</v>
      </c>
      <c r="C7" s="6" t="n">
        <v>50799</v>
      </c>
      <c r="D7" s="6" t="n">
        <v>136685</v>
      </c>
    </row>
    <row r="8">
      <c r="A8" s="9" t="n">
        <v>1926</v>
      </c>
      <c r="B8" s="6" t="n">
        <v>146327</v>
      </c>
      <c r="C8" s="6" t="n">
        <v>51810</v>
      </c>
      <c r="D8" s="6" t="n">
        <v>198143</v>
      </c>
    </row>
    <row r="9">
      <c r="A9" s="9" t="n">
        <v>1927</v>
      </c>
      <c r="B9" s="6" t="n">
        <v>192895</v>
      </c>
      <c r="C9" s="6" t="n">
        <v>51308</v>
      </c>
      <c r="D9" s="6" t="n">
        <v>244203</v>
      </c>
    </row>
    <row r="10">
      <c r="A10" s="9" t="n">
        <v>1928</v>
      </c>
      <c r="B10" s="6" t="n">
        <v>220637</v>
      </c>
      <c r="C10" s="6" t="n">
        <v>64038</v>
      </c>
      <c r="D10" s="6" t="n">
        <v>284675</v>
      </c>
    </row>
    <row r="11">
      <c r="A11" s="9" t="n">
        <v>1929</v>
      </c>
      <c r="B11" s="6" t="n">
        <v>217859</v>
      </c>
      <c r="C11" s="6" t="n">
        <v>77521</v>
      </c>
      <c r="D11" s="6" t="n">
        <v>295380</v>
      </c>
    </row>
    <row r="12">
      <c r="A12" s="9" t="n">
        <v>1930</v>
      </c>
      <c r="B12" s="6" t="n">
        <v>262994</v>
      </c>
      <c r="C12" s="6" t="n">
        <v>86241</v>
      </c>
      <c r="D12" s="6" t="n">
        <v>349235</v>
      </c>
    </row>
    <row r="13">
      <c r="A13" s="9" t="n">
        <v>1931</v>
      </c>
      <c r="B13" s="6" t="n">
        <v>276650</v>
      </c>
      <c r="C13" s="6" t="n">
        <v>65620</v>
      </c>
      <c r="D13" s="6" t="n">
        <v>342270</v>
      </c>
    </row>
    <row r="14">
      <c r="A14" s="9" t="n">
        <v>1932</v>
      </c>
      <c r="B14" s="6" t="n">
        <v>287124</v>
      </c>
      <c r="C14" s="6" t="n">
        <v>81057</v>
      </c>
      <c r="D14" s="6" t="n">
        <v>368181</v>
      </c>
    </row>
    <row r="15">
      <c r="A15" s="9" t="n">
        <v>1933</v>
      </c>
      <c r="B15" s="6" t="n">
        <v>317573</v>
      </c>
      <c r="C15" s="6" t="n">
        <v>115950</v>
      </c>
      <c r="D15" s="6" t="n">
        <v>433523</v>
      </c>
    </row>
    <row r="16">
      <c r="A16" s="9" t="n">
        <v>1934</v>
      </c>
      <c r="B16" s="6" t="n">
        <v>322376</v>
      </c>
      <c r="C16" s="6" t="n">
        <v>153450</v>
      </c>
      <c r="D16" s="6" t="n">
        <v>475826</v>
      </c>
    </row>
    <row r="17">
      <c r="A17" s="9" t="n">
        <v>1935</v>
      </c>
      <c r="B17" s="6" t="n">
        <v>456848</v>
      </c>
      <c r="C17" s="6" t="n">
        <v>151100</v>
      </c>
      <c r="D17" s="6" t="n">
        <v>607948</v>
      </c>
    </row>
    <row r="18">
      <c r="A18" s="9" t="n">
        <v>1936</v>
      </c>
      <c r="B18" s="6" t="n">
        <v>472993</v>
      </c>
      <c r="C18" s="6" t="n">
        <v>160400</v>
      </c>
      <c r="D18" s="6" t="n">
        <v>633393</v>
      </c>
    </row>
    <row r="19">
      <c r="A19" s="9" t="n">
        <v>1937</v>
      </c>
      <c r="B19" s="6" t="n">
        <v>762138</v>
      </c>
      <c r="C19" t="inlineStr"/>
      <c r="D19" s="6" t="n">
        <v>762138</v>
      </c>
    </row>
    <row r="21">
      <c r="A21" s="2" t="inlineStr">
        <is>
          <t>Transcriber's notes</t>
        </is>
      </c>
    </row>
    <row r="22">
      <c r="A22" t="inlineStr">
        <is>
          <t>Printed in two side-by-side blocks; merged.</t>
        </is>
      </c>
    </row>
    <row r="23">
      <c r="A23" t="inlineStr">
        <is>
          <t>1937: a single figure 762,138 is printed under a brace spanning both company columns; entered in the first company column, second left blank.</t>
        </is>
      </c>
    </row>
    <row r="24">
      <c r="A24" t="inlineStr">
        <is>
          <t>1925: parts 136,685 vs Total 136,685 reconciles</t>
        </is>
      </c>
    </row>
    <row r="25">
      <c r="A25" t="inlineStr">
        <is>
          <t>1926: parts 198,137 vs Total 198,143 does NOT reconcile (diff +6)</t>
        </is>
      </c>
    </row>
    <row r="26">
      <c r="A26" t="inlineStr">
        <is>
          <t>1927: parts 244,203 vs Total 244,203 reconciles</t>
        </is>
      </c>
    </row>
    <row r="27">
      <c r="A27" t="inlineStr">
        <is>
          <t>1928: parts 284,675 vs Total 284,675 reconciles</t>
        </is>
      </c>
    </row>
    <row r="28">
      <c r="A28" t="inlineStr">
        <is>
          <t>1929: parts 295,380 vs Total 295,380 reconciles</t>
        </is>
      </c>
    </row>
    <row r="29">
      <c r="A29" t="inlineStr">
        <is>
          <t>1930: parts 349,235 vs Total 349,235 reconciles</t>
        </is>
      </c>
    </row>
    <row r="30">
      <c r="A30" t="inlineStr">
        <is>
          <t>1931: parts 342,270 vs Total 342,270 reconciles</t>
        </is>
      </c>
    </row>
    <row r="31">
      <c r="A31" t="inlineStr">
        <is>
          <t>1932: parts 368,181 vs Total 368,181 reconciles</t>
        </is>
      </c>
    </row>
    <row r="32">
      <c r="A32" t="inlineStr">
        <is>
          <t>1933: parts 433,523 vs Total 433,523 reconciles</t>
        </is>
      </c>
    </row>
    <row r="33">
      <c r="A33" t="inlineStr">
        <is>
          <t>1934: parts 475,826 vs Total 475,826 reconciles</t>
        </is>
      </c>
    </row>
    <row r="34">
      <c r="A34" t="inlineStr">
        <is>
          <t>1935: parts 607,948 vs Total 607,948 reconciles</t>
        </is>
      </c>
    </row>
    <row r="35">
      <c r="A35" t="inlineStr">
        <is>
          <t>1936: parts 633,393 vs Total 633,393 reconciles</t>
        </is>
      </c>
    </row>
  </sheetData>
  <hyperlinks>
    <hyperlink xmlns:r="http://schemas.openxmlformats.org/officeDocument/2006/relationships" ref="A4" r:id="rId1"/>
  </hyperlink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13. Pig Iron Production Capacity</t>
        </is>
      </c>
    </row>
    <row r="2">
      <c r="A2" t="inlineStr">
        <is>
          <t>Mining · printed pp. 493</t>
        </is>
      </c>
    </row>
    <row r="3">
      <c r="A3" t="inlineStr">
        <is>
          <t>(In Metric Tons)</t>
        </is>
      </c>
    </row>
    <row r="4">
      <c r="A4" s="3" t="inlineStr">
        <is>
          <t>← Contents</t>
        </is>
      </c>
    </row>
    <row r="6">
      <c r="A6" s="5" t="inlineStr">
        <is>
          <t>Company</t>
        </is>
      </c>
      <c r="B6" s="5" t="inlineStr">
        <is>
          <t>Production Capacity in 1937</t>
        </is>
      </c>
      <c r="C6" s="5" t="inlineStr">
        <is>
          <t>Expansion of Capacity</t>
        </is>
      </c>
      <c r="D6" s="5" t="inlineStr">
        <is>
          <t>Estimated Capacity in 1941</t>
        </is>
      </c>
    </row>
    <row r="7">
      <c r="A7" t="inlineStr">
        <is>
          <t>Showa Steel Works</t>
        </is>
      </c>
      <c r="B7" s="6" t="n">
        <v>700000</v>
      </c>
      <c r="C7" s="6" t="n">
        <v>2300000</v>
      </c>
      <c r="D7" s="6" t="n">
        <v>2800000</v>
      </c>
    </row>
    <row r="8">
      <c r="A8" t="inlineStr">
        <is>
          <t>Penhsihu Iron and Colliery Co.</t>
        </is>
      </c>
      <c r="B8" s="6" t="n">
        <v>150000</v>
      </c>
      <c r="C8" s="6" t="n">
        <v>1850000</v>
      </c>
      <c r="D8" s="6" t="n">
        <v>2000000</v>
      </c>
    </row>
    <row r="9">
      <c r="A9" t="inlineStr">
        <is>
          <t>Total</t>
        </is>
      </c>
      <c r="B9" s="6" t="n">
        <v>850000</v>
      </c>
      <c r="C9" s="6" t="n">
        <v>4150000</v>
      </c>
      <c r="D9" s="6" t="n">
        <v>4800000</v>
      </c>
    </row>
    <row r="11">
      <c r="A11" s="2" t="inlineStr">
        <is>
          <t>Transcriber's notes</t>
        </is>
      </c>
    </row>
    <row r="12">
      <c r="A12" t="inlineStr">
        <is>
          <t>Col 1: parts 850,000 vs Total 850,000</t>
        </is>
      </c>
    </row>
    <row r="13">
      <c r="A13" t="inlineStr">
        <is>
          <t>Col 2: parts 4,150,000 vs Total 4,150,000</t>
        </is>
      </c>
    </row>
    <row r="14">
      <c r="A14" t="inlineStr">
        <is>
          <t>Col 3: parts 4,800,000 vs Total 4,800,000</t>
        </is>
      </c>
    </row>
    <row r="15">
      <c r="A15" t="inlineStr">
        <is>
          <t>Each row: 1937 capacity + expansion = 1941 estimate — False, True, False</t>
        </is>
      </c>
    </row>
  </sheetData>
  <hyperlinks>
    <hyperlink xmlns:r="http://schemas.openxmlformats.org/officeDocument/2006/relationships" ref="A4" r:id="rId1"/>
  </hyperlink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14. Principal By-products in Pig Iron Manufacturing</t>
        </is>
      </c>
    </row>
    <row r="2">
      <c r="A2" t="inlineStr">
        <is>
          <t>Mining · printed pp. 493</t>
        </is>
      </c>
    </row>
    <row r="3">
      <c r="A3" t="inlineStr">
        <is>
          <t>(Metric Tons)</t>
        </is>
      </c>
    </row>
    <row r="4">
      <c r="A4" s="3" t="inlineStr">
        <is>
          <t>← Contents</t>
        </is>
      </c>
    </row>
    <row r="6">
      <c r="A6" s="5" t="inlineStr">
        <is>
          <t>Year</t>
        </is>
      </c>
      <c r="B6" s="5" t="inlineStr">
        <is>
          <t>Coke</t>
        </is>
      </c>
      <c r="C6" s="5" t="inlineStr">
        <is>
          <t>Coke Powder</t>
        </is>
      </c>
      <c r="D6" s="5" t="inlineStr">
        <is>
          <t>Sulphate of Ammonia</t>
        </is>
      </c>
      <c r="E6" s="5" t="inlineStr">
        <is>
          <t>Tar</t>
        </is>
      </c>
      <c r="F6" s="5" t="inlineStr">
        <is>
          <t>Benzol</t>
        </is>
      </c>
      <c r="G6" s="5" t="inlineStr">
        <is>
          <t>Naphthaline</t>
        </is>
      </c>
      <c r="H6" s="5" t="inlineStr">
        <is>
          <t>Creosote</t>
        </is>
      </c>
      <c r="I6" s="5" t="inlineStr">
        <is>
          <t>Pitch</t>
        </is>
      </c>
      <c r="J6" s="5" t="inlineStr">
        <is>
          <t>Ore Dregs Brick</t>
        </is>
      </c>
    </row>
    <row r="7">
      <c r="A7" s="9" t="n">
        <v>1927</v>
      </c>
      <c r="B7" s="6" t="n">
        <v>310290</v>
      </c>
      <c r="C7" s="6" t="n">
        <v>18595</v>
      </c>
      <c r="D7" s="6" t="n">
        <v>4406</v>
      </c>
      <c r="E7" s="6" t="n">
        <v>11457</v>
      </c>
      <c r="F7" s="6" t="n">
        <v>1681</v>
      </c>
      <c r="G7" s="9" t="n">
        <v>148</v>
      </c>
      <c r="H7" s="6" t="n">
        <v>2063</v>
      </c>
      <c r="I7" s="6" t="n">
        <v>5847</v>
      </c>
      <c r="J7" s="6" t="n">
        <v>6466</v>
      </c>
    </row>
    <row r="8">
      <c r="A8" s="9" t="n">
        <v>1932</v>
      </c>
      <c r="B8" s="6" t="n">
        <v>408057</v>
      </c>
      <c r="C8" s="6" t="n">
        <v>48682</v>
      </c>
      <c r="D8" s="6" t="n">
        <v>6724</v>
      </c>
      <c r="E8" s="6" t="n">
        <v>18050</v>
      </c>
      <c r="F8" s="6" t="n">
        <v>2962</v>
      </c>
      <c r="G8" s="9" t="n">
        <v>642</v>
      </c>
      <c r="H8" s="6" t="n">
        <v>2792</v>
      </c>
      <c r="I8" s="6" t="n">
        <v>7869</v>
      </c>
      <c r="J8" s="6" t="n">
        <v>5942</v>
      </c>
    </row>
    <row r="9">
      <c r="A9" s="9" t="n">
        <v>1933</v>
      </c>
      <c r="B9" s="6" t="n">
        <v>458664</v>
      </c>
      <c r="C9" s="6" t="n">
        <v>54588</v>
      </c>
      <c r="D9" s="6" t="n">
        <v>6362</v>
      </c>
      <c r="E9" s="6" t="n">
        <v>22346</v>
      </c>
      <c r="F9" s="6" t="n">
        <v>2831</v>
      </c>
      <c r="G9" s="9" t="n">
        <v>557</v>
      </c>
      <c r="H9" s="6" t="n">
        <v>3000</v>
      </c>
      <c r="I9" s="6" t="n">
        <v>8377</v>
      </c>
      <c r="J9" s="6" t="n">
        <v>24747</v>
      </c>
    </row>
    <row r="10">
      <c r="A10" s="9" t="n">
        <v>1934</v>
      </c>
      <c r="B10" s="6" t="n">
        <v>577979</v>
      </c>
      <c r="C10" s="6" t="n">
        <v>43331</v>
      </c>
      <c r="D10" s="6" t="n">
        <v>7525</v>
      </c>
      <c r="E10" s="6" t="n">
        <v>22826</v>
      </c>
      <c r="F10" s="6" t="n">
        <v>4879</v>
      </c>
      <c r="G10" s="9" t="n">
        <v>686</v>
      </c>
      <c r="H10" s="6" t="n">
        <v>3526</v>
      </c>
      <c r="I10" s="6" t="n">
        <v>9156</v>
      </c>
      <c r="J10" s="6" t="n">
        <v>39650</v>
      </c>
    </row>
    <row r="11">
      <c r="A11" s="9" t="n">
        <v>1935</v>
      </c>
      <c r="B11" s="6" t="n">
        <v>654038</v>
      </c>
      <c r="C11" s="6" t="n">
        <v>78433</v>
      </c>
      <c r="D11" s="6" t="n">
        <v>9791</v>
      </c>
      <c r="E11" s="6" t="n">
        <v>30039</v>
      </c>
      <c r="F11" s="6" t="n">
        <v>4405</v>
      </c>
      <c r="G11" s="9" t="n">
        <v>835</v>
      </c>
      <c r="H11" s="6" t="n">
        <v>6667</v>
      </c>
      <c r="I11" s="6" t="n">
        <v>15238</v>
      </c>
      <c r="J11" s="6" t="n">
        <v>47571</v>
      </c>
    </row>
    <row r="12">
      <c r="A12" s="9" t="n">
        <v>1936</v>
      </c>
      <c r="B12" s="6" t="n">
        <v>735787</v>
      </c>
      <c r="C12" s="6" t="n">
        <v>117447</v>
      </c>
      <c r="D12" s="6" t="n">
        <v>11779</v>
      </c>
      <c r="E12" s="6" t="n">
        <v>39919</v>
      </c>
      <c r="F12" s="6" t="n">
        <v>6550</v>
      </c>
      <c r="G12" s="6" t="n">
        <v>1420</v>
      </c>
      <c r="H12" s="6" t="n">
        <v>7827</v>
      </c>
      <c r="I12" s="6" t="n">
        <v>18119</v>
      </c>
      <c r="J12" s="6" t="n">
        <v>50433</v>
      </c>
    </row>
    <row r="14">
      <c r="A14" s="2" t="inlineStr">
        <is>
          <t>Transcriber's notes</t>
        </is>
      </c>
    </row>
    <row r="15">
      <c r="A15" t="inlineStr">
        <is>
          <t>No totals printed.</t>
        </is>
      </c>
    </row>
  </sheetData>
  <hyperlinks>
    <hyperlink xmlns:r="http://schemas.openxmlformats.org/officeDocument/2006/relationships" ref="A4" r:id="rId1"/>
  </hyperlink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15. Gold Output</t>
        </is>
      </c>
    </row>
    <row r="2">
      <c r="A2" t="inlineStr">
        <is>
          <t>Mining · printed pp. 500</t>
        </is>
      </c>
    </row>
    <row r="3">
      <c r="A3" s="3" t="inlineStr">
        <is>
          <t>← Contents</t>
        </is>
      </c>
    </row>
    <row r="5">
      <c r="A5" s="5" t="inlineStr">
        <is>
          <t>Year</t>
        </is>
      </c>
      <c r="B5" s="5" t="inlineStr">
        <is>
          <t>Production (in Gram)</t>
        </is>
      </c>
      <c r="C5" s="5" t="inlineStr">
        <is>
          <t>Value (¥)</t>
        </is>
      </c>
    </row>
    <row r="6">
      <c r="A6" s="9" t="n">
        <v>1931</v>
      </c>
      <c r="B6" s="6" t="n">
        <v>111493</v>
      </c>
      <c r="C6" s="6" t="n">
        <v>312180</v>
      </c>
    </row>
    <row r="7">
      <c r="A7" s="9" t="n">
        <v>1932</v>
      </c>
      <c r="B7" s="6" t="n">
        <v>240017</v>
      </c>
      <c r="C7" s="6" t="n">
        <v>672047</v>
      </c>
    </row>
    <row r="8">
      <c r="A8" s="9" t="n">
        <v>1933</v>
      </c>
      <c r="B8" s="6" t="n">
        <v>66437</v>
      </c>
      <c r="C8" s="6" t="n">
        <v>186014</v>
      </c>
    </row>
    <row r="9">
      <c r="A9" s="9" t="n">
        <v>1934</v>
      </c>
      <c r="B9" s="6" t="n">
        <v>463639</v>
      </c>
      <c r="C9" s="6" t="n">
        <v>1308189</v>
      </c>
    </row>
    <row r="10">
      <c r="A10" s="9" t="n">
        <v>1935</v>
      </c>
      <c r="B10" s="6" t="n">
        <v>1886895</v>
      </c>
      <c r="C10" s="6" t="n">
        <v>5283306</v>
      </c>
    </row>
    <row r="11">
      <c r="A11" s="9" t="n">
        <v>1936</v>
      </c>
      <c r="B11" s="6" t="n">
        <v>3570884</v>
      </c>
      <c r="C11" s="6" t="n">
        <v>10024136</v>
      </c>
    </row>
    <row r="12">
      <c r="A12" s="9" t="n">
        <v>1937</v>
      </c>
      <c r="B12" t="inlineStr">
        <is>
          <t>—</t>
        </is>
      </c>
      <c r="C12" s="6" t="n">
        <v>14805000</v>
      </c>
    </row>
    <row r="13">
      <c r="A13" t="inlineStr">
        <is>
          <t>of which: (value)</t>
        </is>
      </c>
      <c r="B13" t="inlineStr"/>
      <c r="C13" t="inlineStr"/>
    </row>
    <row r="14">
      <c r="A14" t="inlineStr">
        <is>
          <t>Heiho districts</t>
        </is>
      </c>
      <c r="B14" t="inlineStr">
        <is>
          <t>—</t>
        </is>
      </c>
      <c r="C14" s="6" t="n">
        <v>6646000</v>
      </c>
    </row>
    <row r="15">
      <c r="A15" t="inlineStr">
        <is>
          <t>Chiamussu district</t>
        </is>
      </c>
      <c r="B15" t="inlineStr">
        <is>
          <t>—</t>
        </is>
      </c>
      <c r="C15" s="6" t="n">
        <v>6841000</v>
      </c>
    </row>
    <row r="16">
      <c r="A16" t="inlineStr">
        <is>
          <t>Hunchun district</t>
        </is>
      </c>
      <c r="B16" t="inlineStr">
        <is>
          <t>—</t>
        </is>
      </c>
      <c r="C16" s="6" t="n">
        <v>1500000</v>
      </c>
    </row>
    <row r="17">
      <c r="A17" t="inlineStr">
        <is>
          <t>Chientao Prov.</t>
        </is>
      </c>
      <c r="B17" t="inlineStr">
        <is>
          <t>—</t>
        </is>
      </c>
      <c r="C17" t="inlineStr">
        <is>
          <t>—</t>
        </is>
      </c>
    </row>
    <row r="18">
      <c r="A18" t="inlineStr">
        <is>
          <t>Total</t>
        </is>
      </c>
      <c r="B18" t="inlineStr">
        <is>
          <t>—</t>
        </is>
      </c>
      <c r="C18" s="6" t="n">
        <v>14805000</v>
      </c>
    </row>
    <row r="20">
      <c r="A20" s="2" t="inlineStr">
        <is>
          <t>Transcriber's notes</t>
        </is>
      </c>
    </row>
    <row r="21">
      <c r="A21" t="inlineStr">
        <is>
          <t>Printed in two side-by-side blocks; merged. Right block is a breakdown of 1937 value ('of which: (value)').</t>
        </is>
      </c>
    </row>
    <row r="22">
      <c r="A22" t="inlineStr">
        <is>
          <t>1937 breakdown: Heiho + Chiamussu + Hunchun + Chientao sum to 14,987,000 vs printed Total 14,805,000 — does NOT reconcile (parts exceed total by 182,000). Cells re-read on zoomed crop.</t>
        </is>
      </c>
    </row>
  </sheetData>
  <hyperlinks>
    <hyperlink xmlns:r="http://schemas.openxmlformats.org/officeDocument/2006/relationships" ref="A3" r:id="rId1"/>
  </hyperlink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16. Lead, Zinc and Copper Reserves</t>
        </is>
      </c>
    </row>
    <row r="2">
      <c r="A2" t="inlineStr">
        <is>
          <t>Mining · printed pp. 504</t>
        </is>
      </c>
    </row>
    <row r="3">
      <c r="A3" s="3" t="inlineStr">
        <is>
          <t>← Contents</t>
        </is>
      </c>
    </row>
    <row r="5">
      <c r="A5" s="5" t="inlineStr">
        <is>
          <t>Region</t>
        </is>
      </c>
      <c r="B5" s="5" t="inlineStr">
        <is>
          <t>Reserves (1,000 metric tons)</t>
        </is>
      </c>
      <c r="C5" s="5" t="inlineStr">
        <is>
          <t>Ore / constituent</t>
        </is>
      </c>
      <c r="D5" s="5" t="inlineStr">
        <is>
          <t>Content</t>
        </is>
      </c>
      <c r="E5" s="5" t="inlineStr">
        <is>
          <t>Silver content</t>
        </is>
      </c>
    </row>
    <row r="6">
      <c r="A6" t="inlineStr">
        <is>
          <t>Chingchengtzu</t>
        </is>
      </c>
      <c r="B6" s="9" t="n">
        <v>300</v>
      </c>
      <c r="C6" t="inlineStr">
        <is>
          <t>Rich ore</t>
        </is>
      </c>
      <c r="D6" t="inlineStr">
        <is>
          <t>70%</t>
        </is>
      </c>
      <c r="E6" t="inlineStr">
        <is>
          <t>Silver 0.2%</t>
        </is>
      </c>
    </row>
    <row r="7">
      <c r="A7" t="inlineStr"/>
      <c r="B7" t="inlineStr"/>
      <c r="C7" t="inlineStr">
        <is>
          <t>Medium ore</t>
        </is>
      </c>
      <c r="D7" t="inlineStr">
        <is>
          <t>50%</t>
        </is>
      </c>
      <c r="E7" t="inlineStr">
        <is>
          <t>Silver 0.1%</t>
        </is>
      </c>
    </row>
    <row r="8">
      <c r="A8" t="inlineStr"/>
      <c r="B8" t="inlineStr"/>
      <c r="C8" t="inlineStr">
        <is>
          <t>Lean ore</t>
        </is>
      </c>
      <c r="D8" t="inlineStr">
        <is>
          <t>20%</t>
        </is>
      </c>
      <c r="E8" t="inlineStr">
        <is>
          <t>Silver 0.02%</t>
        </is>
      </c>
    </row>
    <row r="9">
      <c r="A9" t="inlineStr">
        <is>
          <t>Yangchiachangtzu</t>
        </is>
      </c>
      <c r="B9" s="9" t="n">
        <v>100</v>
      </c>
      <c r="C9" t="inlineStr">
        <is>
          <t>Gold</t>
        </is>
      </c>
      <c r="D9" t="inlineStr">
        <is>
          <t>0.1–1.21/100,000</t>
        </is>
      </c>
      <c r="E9" t="inlineStr"/>
    </row>
    <row r="10">
      <c r="A10" t="inlineStr"/>
      <c r="B10" t="inlineStr"/>
      <c r="C10" t="inlineStr">
        <is>
          <t>Silver</t>
        </is>
      </c>
      <c r="D10" t="inlineStr">
        <is>
          <t>0.74%–2.0%</t>
        </is>
      </c>
      <c r="E10" t="inlineStr"/>
    </row>
    <row r="11">
      <c r="A11" t="inlineStr"/>
      <c r="B11" t="inlineStr"/>
      <c r="C11" t="inlineStr">
        <is>
          <t>Lead</t>
        </is>
      </c>
      <c r="D11" t="inlineStr">
        <is>
          <t>21.8%–55.9%</t>
        </is>
      </c>
      <c r="E11" t="inlineStr"/>
    </row>
    <row r="12">
      <c r="A12" t="inlineStr"/>
      <c r="B12" t="inlineStr"/>
      <c r="C12" t="inlineStr">
        <is>
          <t>Zinc</t>
        </is>
      </c>
      <c r="D12" t="inlineStr">
        <is>
          <t>12.0%–45.0%</t>
        </is>
      </c>
      <c r="E12" t="inlineStr"/>
    </row>
    <row r="13">
      <c r="A13" t="inlineStr">
        <is>
          <t>Tienpaoshan</t>
        </is>
      </c>
      <c r="B13" s="9" t="n">
        <v>500</v>
      </c>
      <c r="C13" t="inlineStr">
        <is>
          <t>Silver</t>
        </is>
      </c>
      <c r="D13" t="inlineStr">
        <is>
          <t>450 grams per ton</t>
        </is>
      </c>
      <c r="E13" t="inlineStr"/>
    </row>
    <row r="14">
      <c r="A14" t="inlineStr"/>
      <c r="B14" t="inlineStr"/>
      <c r="C14" t="inlineStr">
        <is>
          <t>Lead</t>
        </is>
      </c>
      <c r="D14" t="inlineStr">
        <is>
          <t>5.5%</t>
        </is>
      </c>
      <c r="E14" t="inlineStr"/>
    </row>
    <row r="15">
      <c r="A15" t="inlineStr"/>
      <c r="B15" t="inlineStr"/>
      <c r="C15" t="inlineStr">
        <is>
          <t>Zinc</t>
        </is>
      </c>
      <c r="D15" t="inlineStr">
        <is>
          <t>6.0%</t>
        </is>
      </c>
      <c r="E15" t="inlineStr"/>
    </row>
    <row r="16">
      <c r="A16" t="inlineStr"/>
      <c r="B16" t="inlineStr"/>
      <c r="C16" t="inlineStr">
        <is>
          <t>Copper</t>
        </is>
      </c>
      <c r="D16" t="inlineStr">
        <is>
          <t>1.7%</t>
        </is>
      </c>
      <c r="E16" t="inlineStr"/>
    </row>
    <row r="17">
      <c r="A17" t="inlineStr">
        <is>
          <t>Kuangtungkou</t>
        </is>
      </c>
      <c r="B17" t="inlineStr">
        <is>
          <t>800–900</t>
        </is>
      </c>
      <c r="C17" t="inlineStr">
        <is>
          <t>Lead</t>
        </is>
      </c>
      <c r="D17" t="inlineStr">
        <is>
          <t>4– 8%</t>
        </is>
      </c>
      <c r="E17" t="inlineStr"/>
    </row>
    <row r="18">
      <c r="A18" t="inlineStr"/>
      <c r="B18" t="inlineStr"/>
      <c r="C18" t="inlineStr">
        <is>
          <t>Zinc</t>
        </is>
      </c>
      <c r="D18" t="inlineStr">
        <is>
          <t>37–50%</t>
        </is>
      </c>
      <c r="E18" t="inlineStr"/>
    </row>
    <row r="19">
      <c r="A19" t="inlineStr"/>
      <c r="B19" t="inlineStr"/>
      <c r="C19" t="inlineStr">
        <is>
          <t>Silver</t>
        </is>
      </c>
      <c r="D19" t="inlineStr">
        <is>
          <t>0.1%</t>
        </is>
      </c>
      <c r="E19" t="inlineStr"/>
    </row>
    <row r="20">
      <c r="A20" t="inlineStr">
        <is>
          <t>Total</t>
        </is>
      </c>
      <c r="B20" s="6" t="n">
        <v>1700</v>
      </c>
      <c r="C20" t="inlineStr"/>
      <c r="D20" t="inlineStr"/>
      <c r="E20" t="inlineStr"/>
    </row>
    <row r="22">
      <c r="A22" s="2" t="inlineStr">
        <is>
          <t>Transcriber's notes</t>
        </is>
      </c>
    </row>
    <row r="23">
      <c r="A23" t="inlineStr">
        <is>
          <t>Only 'Region' and 'Reserves' columns carry printed headers; the braced grade/content columns are unheaded and headers are supplied.</t>
        </is>
      </c>
    </row>
    <row r="24">
      <c r="A24" t="inlineStr">
        <is>
          <t>Region and reserve figure are braced across several rows; given on the first row only.</t>
        </is>
      </c>
    </row>
    <row r="25">
      <c r="A25" t="inlineStr">
        <is>
          <t>Total 1,700: parts 300+100+500+800–900 = 1,700–1,800 — reconciles with the lower bound of Kuangtungkou's range (800).</t>
        </is>
      </c>
    </row>
    <row r="26">
      <c r="A26" t="inlineStr">
        <is>
          <t>Kuangtungkou Lead printed '4– 8%' (spacing as printed).</t>
        </is>
      </c>
    </row>
    <row r="27">
      <c r="A27" t="inlineStr">
        <is>
          <t>Pages 502–503 are not in the photo sequence (IMG_5709 = pp. 500–501, IMG_5710 = pp. 504–505); any tables on those pages are missing.</t>
        </is>
      </c>
    </row>
  </sheetData>
  <hyperlinks>
    <hyperlink xmlns:r="http://schemas.openxmlformats.org/officeDocument/2006/relationships" ref="A3" r:id="rId1"/>
  </hyperlink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17. Limestone Production</t>
        </is>
      </c>
    </row>
    <row r="2">
      <c r="A2" t="inlineStr">
        <is>
          <t>Mining · printed pp. 506</t>
        </is>
      </c>
    </row>
    <row r="3">
      <c r="A3" t="inlineStr">
        <is>
          <t>(Metric Tons)</t>
        </is>
      </c>
    </row>
    <row r="4">
      <c r="A4" s="3" t="inlineStr">
        <is>
          <t>← Contents</t>
        </is>
      </c>
    </row>
    <row r="6">
      <c r="A6" s="5" t="inlineStr">
        <is>
          <t>Year</t>
        </is>
      </c>
      <c r="B6" s="5" t="inlineStr">
        <is>
          <t>Chushuitzu</t>
        </is>
      </c>
      <c r="C6" s="5" t="inlineStr">
        <is>
          <t>Huolienchai</t>
        </is>
      </c>
      <c r="D6" s="5" t="inlineStr">
        <is>
          <t>Penhsihu</t>
        </is>
      </c>
      <c r="E6" s="5" t="inlineStr">
        <is>
          <t>Total incl. others</t>
        </is>
      </c>
    </row>
    <row r="7">
      <c r="A7" s="9" t="n">
        <v>1930</v>
      </c>
      <c r="B7" s="6" t="n">
        <v>292068</v>
      </c>
      <c r="C7" s="6" t="n">
        <v>338293</v>
      </c>
      <c r="D7" s="6" t="n">
        <v>58128</v>
      </c>
      <c r="E7" s="6" t="n">
        <v>668489</v>
      </c>
    </row>
    <row r="8">
      <c r="A8" s="9" t="n">
        <v>1931</v>
      </c>
      <c r="B8" s="6" t="n">
        <v>208040</v>
      </c>
      <c r="C8" s="6" t="n">
        <v>299163</v>
      </c>
      <c r="D8" s="6" t="n">
        <v>34800</v>
      </c>
      <c r="E8" s="6" t="n">
        <v>542003</v>
      </c>
    </row>
    <row r="9">
      <c r="A9" s="9" t="n">
        <v>1932</v>
      </c>
      <c r="B9" s="6" t="n">
        <v>145671</v>
      </c>
      <c r="C9" s="6" t="n">
        <v>165405</v>
      </c>
      <c r="D9" s="6" t="n">
        <v>42000</v>
      </c>
      <c r="E9" s="6" t="n">
        <v>477350</v>
      </c>
    </row>
    <row r="10">
      <c r="A10" s="9" t="n">
        <v>1933</v>
      </c>
      <c r="B10" s="6" t="n">
        <v>113130</v>
      </c>
      <c r="C10" s="6" t="n">
        <v>91931</v>
      </c>
      <c r="D10" s="6" t="n">
        <v>58171</v>
      </c>
      <c r="E10" s="6" t="n">
        <v>601040</v>
      </c>
    </row>
    <row r="11">
      <c r="A11" s="9" t="n">
        <v>1934</v>
      </c>
      <c r="B11" t="inlineStr">
        <is>
          <t>—</t>
        </is>
      </c>
      <c r="C11" t="inlineStr">
        <is>
          <t>—</t>
        </is>
      </c>
      <c r="D11" t="inlineStr">
        <is>
          <t>—</t>
        </is>
      </c>
      <c r="E11" s="6" t="n">
        <v>635760</v>
      </c>
    </row>
    <row r="12">
      <c r="A12" s="9" t="n">
        <v>1935</v>
      </c>
      <c r="B12" t="inlineStr">
        <is>
          <t>—</t>
        </is>
      </c>
      <c r="C12" t="inlineStr">
        <is>
          <t>—</t>
        </is>
      </c>
      <c r="D12" t="inlineStr">
        <is>
          <t>—</t>
        </is>
      </c>
      <c r="E12" s="6" t="n">
        <v>846943</v>
      </c>
    </row>
    <row r="14">
      <c r="A14" s="2" t="inlineStr">
        <is>
          <t>Transcriber's notes</t>
        </is>
      </c>
    </row>
    <row r="15">
      <c r="A15" t="inlineStr">
        <is>
          <t>1930: three listed quarries sum to 688,489 vs 'Total incl. others' 668,489 (others = -20,000)</t>
        </is>
      </c>
    </row>
    <row r="16">
      <c r="A16" t="inlineStr">
        <is>
          <t>1931: three listed quarries sum to 542,003 vs 'Total incl. others' 542,003 (others = 0)</t>
        </is>
      </c>
    </row>
    <row r="17">
      <c r="A17" t="inlineStr">
        <is>
          <t>1932: three listed quarries sum to 353,076 vs 'Total incl. others' 477,350 (others = 124,274)</t>
        </is>
      </c>
    </row>
    <row r="18">
      <c r="A18" t="inlineStr">
        <is>
          <t>1933: three listed quarries sum to 263,232 vs 'Total incl. others' 601,040 (others = 337,808)</t>
        </is>
      </c>
    </row>
    <row r="19">
      <c r="A19" t="inlineStr">
        <is>
          <t>Totals include unlisted others, so not checkable exactly; all differences positive.</t>
        </is>
      </c>
    </row>
  </sheetData>
  <hyperlinks>
    <hyperlink xmlns:r="http://schemas.openxmlformats.org/officeDocument/2006/relationships" ref="A4" r:id="rId1"/>
  </hyperlink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18. Soapstone Production</t>
        </is>
      </c>
    </row>
    <row r="2">
      <c r="A2" t="inlineStr">
        <is>
          <t>Mining · printed pp. 506</t>
        </is>
      </c>
    </row>
    <row r="3">
      <c r="A3" s="3" t="inlineStr">
        <is>
          <t>← Contents</t>
        </is>
      </c>
    </row>
    <row r="5">
      <c r="A5" s="5" t="inlineStr">
        <is>
          <t>Year</t>
        </is>
      </c>
      <c r="B5" s="5" t="inlineStr">
        <is>
          <t>Production (Metric tons)</t>
        </is>
      </c>
      <c r="C5" s="5" t="inlineStr">
        <is>
          <t>Shipment to Japan Proper — From Yingkow</t>
        </is>
      </c>
      <c r="D5" s="5" t="inlineStr">
        <is>
          <t>Shipment to Japan Proper — From Dairen</t>
        </is>
      </c>
    </row>
    <row r="6">
      <c r="A6" s="9" t="n">
        <v>1930</v>
      </c>
      <c r="B6" s="6" t="n">
        <v>25726</v>
      </c>
      <c r="C6" s="6" t="n">
        <v>29036</v>
      </c>
      <c r="D6" s="6" t="n">
        <v>7513</v>
      </c>
    </row>
    <row r="7">
      <c r="A7" s="9" t="n">
        <v>1931</v>
      </c>
      <c r="B7" s="6" t="n">
        <v>42890</v>
      </c>
      <c r="C7" s="6" t="n">
        <v>33654</v>
      </c>
      <c r="D7" s="6" t="n">
        <v>7638</v>
      </c>
    </row>
    <row r="8">
      <c r="A8" s="9" t="n">
        <v>1932</v>
      </c>
      <c r="B8" s="6" t="n">
        <v>44316</v>
      </c>
      <c r="C8" s="6" t="n">
        <v>27669</v>
      </c>
      <c r="D8" s="6" t="n">
        <v>6132</v>
      </c>
    </row>
    <row r="9">
      <c r="A9" s="9" t="n">
        <v>1933</v>
      </c>
      <c r="B9" s="6" t="n">
        <v>62430</v>
      </c>
      <c r="C9" s="6" t="n">
        <v>35241</v>
      </c>
      <c r="D9" s="6" t="n">
        <v>12330</v>
      </c>
    </row>
    <row r="10">
      <c r="A10" s="9" t="n">
        <v>1934</v>
      </c>
      <c r="B10" s="6" t="n">
        <v>75410</v>
      </c>
      <c r="C10" s="6" t="n">
        <v>54463</v>
      </c>
      <c r="D10" t="inlineStr"/>
    </row>
    <row r="11">
      <c r="A11" s="9" t="n">
        <v>1935</v>
      </c>
      <c r="B11" s="6" t="n">
        <v>70572</v>
      </c>
      <c r="C11" s="6" t="n">
        <v>64288</v>
      </c>
      <c r="D11" t="inlineStr"/>
    </row>
    <row r="12">
      <c r="A12" s="9" t="n">
        <v>1936</v>
      </c>
      <c r="B12" s="6" t="n">
        <v>79250</v>
      </c>
      <c r="C12" s="6" t="n">
        <v>83092</v>
      </c>
      <c r="D12" t="inlineStr"/>
    </row>
    <row r="13">
      <c r="A13" s="9" t="n">
        <v>1937</v>
      </c>
      <c r="B13" t="inlineStr">
        <is>
          <t>—</t>
        </is>
      </c>
      <c r="C13" s="6" t="n">
        <v>111104</v>
      </c>
      <c r="D13" t="inlineStr"/>
    </row>
    <row r="15">
      <c r="A15" s="2" t="inlineStr">
        <is>
          <t>Transcriber's notes</t>
        </is>
      </c>
    </row>
    <row r="16">
      <c r="A16" t="inlineStr">
        <is>
          <t>For 1934–1937 a single shipment figure is printed centred under a brace spanning both 'From Yingkow' and 'From Dairen' (combined total); entered in the first shipment column, second left blank.</t>
        </is>
      </c>
    </row>
    <row r="17">
      <c r="A17" t="inlineStr">
        <is>
          <t>No totals printed.</t>
        </is>
      </c>
    </row>
  </sheetData>
  <hyperlinks>
    <hyperlink xmlns:r="http://schemas.openxmlformats.org/officeDocument/2006/relationships" ref="A3" r:id="rId1"/>
  </hyperlink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19. Alumina Shale Reserves</t>
        </is>
      </c>
    </row>
    <row r="2">
      <c r="A2" t="inlineStr">
        <is>
          <t>Mining · printed pp. 507</t>
        </is>
      </c>
    </row>
    <row r="3">
      <c r="A3" s="3" t="inlineStr">
        <is>
          <t>← Contents</t>
        </is>
      </c>
    </row>
    <row r="5">
      <c r="A5" s="5" t="inlineStr">
        <is>
          <t>District</t>
        </is>
      </c>
      <c r="B5" s="5" t="inlineStr">
        <is>
          <t>Quantity (M. tons)</t>
        </is>
      </c>
      <c r="C5" s="5" t="inlineStr">
        <is>
          <t>Grade (%)</t>
        </is>
      </c>
    </row>
    <row r="6">
      <c r="A6" t="inlineStr">
        <is>
          <t>Yentai</t>
        </is>
      </c>
      <c r="B6" s="6" t="n">
        <v>1034000</v>
      </c>
      <c r="C6" t="inlineStr">
        <is>
          <t>45–41.3</t>
        </is>
      </c>
    </row>
    <row r="7">
      <c r="A7" t="inlineStr">
        <is>
          <t>Penhsihu</t>
        </is>
      </c>
      <c r="B7" s="6" t="n">
        <v>3202000</v>
      </c>
      <c r="C7" t="inlineStr">
        <is>
          <t>40–47.3</t>
        </is>
      </c>
    </row>
    <row r="8">
      <c r="A8" t="inlineStr">
        <is>
          <t>Niusintai</t>
        </is>
      </c>
      <c r="B8" s="6" t="n">
        <v>9382000</v>
      </c>
      <c r="C8" t="inlineStr">
        <is>
          <t>46.4–52.5</t>
        </is>
      </c>
    </row>
    <row r="9">
      <c r="A9" t="inlineStr">
        <is>
          <t>Shaoshin</t>
        </is>
      </c>
      <c r="B9" s="6" t="n">
        <v>5930000</v>
      </c>
      <c r="C9" t="inlineStr">
        <is>
          <t>45.3–55</t>
        </is>
      </c>
    </row>
    <row r="10">
      <c r="A10" t="inlineStr">
        <is>
          <t>Others</t>
        </is>
      </c>
      <c r="B10" s="6" t="n">
        <v>5770900</v>
      </c>
      <c r="C10" t="inlineStr">
        <is>
          <t>37.2–55</t>
        </is>
      </c>
    </row>
    <row r="11">
      <c r="A11" t="inlineStr">
        <is>
          <t>Total</t>
        </is>
      </c>
      <c r="B11" s="6" t="n">
        <v>25318900</v>
      </c>
      <c r="C11" t="inlineStr"/>
    </row>
    <row r="13">
      <c r="A13" s="2" t="inlineStr">
        <is>
          <t>Transcriber's notes</t>
        </is>
      </c>
    </row>
    <row r="14">
      <c r="A14" t="inlineStr">
        <is>
          <t>Printed in two side-by-side blocks; merged.</t>
        </is>
      </c>
    </row>
    <row r="15">
      <c r="A15" t="inlineStr">
        <is>
          <t>Total 25,318,900: parts sum to 25,318,900 — reconciles</t>
        </is>
      </c>
    </row>
  </sheetData>
  <hyperlinks>
    <hyperlink xmlns:r="http://schemas.openxmlformats.org/officeDocument/2006/relationships" ref="A3" r:id="rId1"/>
  </hyperlink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20. Statistics of Principal Magnesite Regions</t>
        </is>
      </c>
    </row>
    <row r="2">
      <c r="A2" t="inlineStr">
        <is>
          <t>Mining · printed pp. 509</t>
        </is>
      </c>
    </row>
    <row r="3">
      <c r="A3" s="3" t="inlineStr">
        <is>
          <t>← Contents</t>
        </is>
      </c>
    </row>
    <row r="5">
      <c r="A5" s="5" t="inlineStr">
        <is>
          <t>Region</t>
        </is>
      </c>
      <c r="B5" s="5" t="inlineStr">
        <is>
          <t>Deposit (1,000 m. tons)</t>
        </is>
      </c>
      <c r="C5" s="5" t="inlineStr">
        <is>
          <t>Analysis (%) — Magnesite</t>
        </is>
      </c>
      <c r="D5" s="5" t="inlineStr">
        <is>
          <t>Analysis (%) — Silicic acid</t>
        </is>
      </c>
      <c r="E5" s="5" t="inlineStr">
        <is>
          <t>Analysis (%) — Oxidized iron</t>
        </is>
      </c>
      <c r="F5" s="5" t="inlineStr">
        <is>
          <t>Analysis (%) — Alumina</t>
        </is>
      </c>
      <c r="G5" s="5" t="inlineStr">
        <is>
          <t>Analysis (%) — Lime</t>
        </is>
      </c>
      <c r="H5" s="5" t="inlineStr">
        <is>
          <t>Analysis (%) — Heat loss</t>
        </is>
      </c>
    </row>
    <row r="6">
      <c r="A6" t="inlineStr">
        <is>
          <t>Chingshanpei</t>
        </is>
      </c>
      <c r="B6" s="6" t="n">
        <v>40000</v>
      </c>
      <c r="C6" s="11" t="n">
        <v>46.78</v>
      </c>
      <c r="D6" s="11" t="n">
        <v>0.67</v>
      </c>
      <c r="E6" s="11" t="n">
        <v>1.01</v>
      </c>
      <c r="F6" s="11" t="n">
        <v>0.11</v>
      </c>
      <c r="G6" s="11" t="n">
        <v>0.12</v>
      </c>
      <c r="H6" s="11" t="n">
        <v>51.39</v>
      </c>
    </row>
    <row r="7">
      <c r="A7" t="inlineStr">
        <is>
          <t>Hsiao Shengshuissu</t>
        </is>
      </c>
      <c r="B7" s="6" t="n">
        <v>200000</v>
      </c>
      <c r="C7" s="11" t="n">
        <v>46.31</v>
      </c>
      <c r="D7" s="11" t="n">
        <v>0.83</v>
      </c>
      <c r="E7" s="11" t="n">
        <v>0.76</v>
      </c>
      <c r="F7" s="11" t="n">
        <v>0.15</v>
      </c>
      <c r="G7" s="11" t="n">
        <v>0.25</v>
      </c>
      <c r="H7" s="11" t="n">
        <v>51.2</v>
      </c>
    </row>
    <row r="8">
      <c r="A8" t="inlineStr">
        <is>
          <t>Kuanmashan</t>
        </is>
      </c>
      <c r="B8" s="6" t="n">
        <v>93200</v>
      </c>
      <c r="C8" s="11" t="n">
        <v>46.36</v>
      </c>
      <c r="D8" s="11" t="n">
        <v>1.23</v>
      </c>
      <c r="E8" s="11" t="n">
        <v>0.46</v>
      </c>
      <c r="F8" s="11" t="n">
        <v>0.41</v>
      </c>
      <c r="G8" s="11" t="n">
        <v>0.42</v>
      </c>
      <c r="H8" s="11" t="n">
        <v>50.74</v>
      </c>
    </row>
    <row r="9">
      <c r="A9" t="inlineStr">
        <is>
          <t>Paihushan</t>
        </is>
      </c>
      <c r="B9" s="6" t="n">
        <v>24652</v>
      </c>
      <c r="C9" s="11" t="n">
        <v>45.64</v>
      </c>
      <c r="D9" s="11" t="n">
        <v>1.99</v>
      </c>
      <c r="E9" s="11" t="n">
        <v>1.44</v>
      </c>
      <c r="F9" s="11" t="n">
        <v>0.6</v>
      </c>
      <c r="G9" s="11" t="n">
        <v>0.25</v>
      </c>
      <c r="H9" s="11" t="n">
        <v>50.02</v>
      </c>
    </row>
    <row r="10">
      <c r="A10" t="inlineStr">
        <is>
          <t>Niusintai</t>
        </is>
      </c>
      <c r="B10" s="6" t="n">
        <v>1590</v>
      </c>
      <c r="C10" s="11" t="n">
        <v>45.72</v>
      </c>
      <c r="D10" s="11" t="n">
        <v>1.04</v>
      </c>
      <c r="E10" s="11" t="n">
        <v>1.34</v>
      </c>
      <c r="F10" s="11" t="n">
        <v>0.63</v>
      </c>
      <c r="G10" s="11" t="n">
        <v>0.67</v>
      </c>
      <c r="H10" s="11" t="n">
        <v>51.2</v>
      </c>
    </row>
    <row r="11">
      <c r="A11" t="inlineStr">
        <is>
          <t>Shengshuissu</t>
        </is>
      </c>
      <c r="B11" s="6" t="n">
        <v>70000</v>
      </c>
      <c r="C11" s="11" t="n">
        <v>45.06</v>
      </c>
      <c r="D11" s="11" t="n">
        <v>2.23</v>
      </c>
      <c r="E11" s="11" t="n">
        <v>0.78</v>
      </c>
      <c r="F11" s="11" t="n">
        <v>0.78</v>
      </c>
      <c r="G11" s="11" t="n">
        <v>0.66</v>
      </c>
      <c r="H11" s="11" t="n">
        <v>50.71</v>
      </c>
    </row>
    <row r="12">
      <c r="A12" t="inlineStr">
        <is>
          <t>Pingerhfang</t>
        </is>
      </c>
      <c r="B12" s="6" t="n">
        <v>150000</v>
      </c>
      <c r="C12" s="11" t="n">
        <v>48.03</v>
      </c>
      <c r="D12" s="11" t="n">
        <v>3.63</v>
      </c>
      <c r="E12" s="11" t="n">
        <v>0.6</v>
      </c>
      <c r="F12" s="11" t="n">
        <v>0.36</v>
      </c>
      <c r="G12" s="11" t="n">
        <v>0.87</v>
      </c>
      <c r="H12" s="11" t="n">
        <v>49.2</v>
      </c>
    </row>
    <row r="14">
      <c r="A14" s="2" t="inlineStr">
        <is>
          <t>Transcriber's notes</t>
        </is>
      </c>
    </row>
    <row r="15">
      <c r="A15" t="inlineStr">
        <is>
          <t>No totals printed.</t>
        </is>
      </c>
    </row>
  </sheetData>
  <hyperlinks>
    <hyperlink xmlns:r="http://schemas.openxmlformats.org/officeDocument/2006/relationships" ref="A3" r:id="rId1"/>
  </hyperlink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21. Chemical Analysis of Manchurian Dolomite</t>
        </is>
      </c>
    </row>
    <row r="2">
      <c r="A2" t="inlineStr">
        <is>
          <t>Mining · printed pp. 510</t>
        </is>
      </c>
    </row>
    <row r="3">
      <c r="A3" t="inlineStr">
        <is>
          <t>(%)</t>
        </is>
      </c>
    </row>
    <row r="4">
      <c r="A4" s="3" t="inlineStr">
        <is>
          <t>← Contents</t>
        </is>
      </c>
    </row>
    <row r="6">
      <c r="A6" s="5" t="inlineStr">
        <is>
          <t>Region</t>
        </is>
      </c>
      <c r="B6" s="5" t="inlineStr">
        <is>
          <t>Silicic acid</t>
        </is>
      </c>
      <c r="C6" s="5" t="inlineStr">
        <is>
          <t>Oxidized iron</t>
        </is>
      </c>
      <c r="D6" s="5" t="inlineStr">
        <is>
          <t>Alumina</t>
        </is>
      </c>
      <c r="E6" s="5" t="inlineStr">
        <is>
          <t>Lime</t>
        </is>
      </c>
      <c r="F6" s="5" t="inlineStr">
        <is>
          <t>Magnesite</t>
        </is>
      </c>
      <c r="G6" s="5" t="inlineStr">
        <is>
          <t>Heat loss</t>
        </is>
      </c>
    </row>
    <row r="7">
      <c r="A7" t="inlineStr">
        <is>
          <t>Dairen</t>
        </is>
      </c>
      <c r="B7" s="11" t="n">
        <v>1.35</v>
      </c>
      <c r="C7" s="11" t="n">
        <v>0.49</v>
      </c>
      <c r="D7" t="inlineStr">
        <is>
          <t>—</t>
        </is>
      </c>
      <c r="E7" s="11" t="n">
        <v>31.01</v>
      </c>
      <c r="F7" s="11" t="n">
        <v>20.33</v>
      </c>
      <c r="G7" s="11" t="n">
        <v>46.55</v>
      </c>
    </row>
    <row r="8">
      <c r="A8" t="inlineStr">
        <is>
          <t>Yingchengtzu</t>
        </is>
      </c>
      <c r="B8" s="11" t="n">
        <v>1.15</v>
      </c>
      <c r="C8" s="11" t="n">
        <v>0.58</v>
      </c>
      <c r="D8" s="11" t="n">
        <v>0.9399999999999999</v>
      </c>
      <c r="E8" s="11" t="n">
        <v>31.7</v>
      </c>
      <c r="F8" s="11" t="n">
        <v>17.05</v>
      </c>
      <c r="G8" t="inlineStr">
        <is>
          <t>—</t>
        </is>
      </c>
    </row>
    <row r="9">
      <c r="A9" t="inlineStr">
        <is>
          <t>Haimaotao</t>
        </is>
      </c>
      <c r="B9" s="11" t="n">
        <v>0.4</v>
      </c>
      <c r="C9" s="11" t="n">
        <v>0.48</v>
      </c>
      <c r="D9" s="11" t="n">
        <v>0.36</v>
      </c>
      <c r="E9" s="11" t="n">
        <v>30.24</v>
      </c>
      <c r="F9" s="11" t="n">
        <v>21.23</v>
      </c>
      <c r="G9" s="11" t="n">
        <v>47</v>
      </c>
    </row>
    <row r="10">
      <c r="A10" t="inlineStr">
        <is>
          <t>Kuanmashan</t>
        </is>
      </c>
      <c r="B10" s="11" t="n">
        <v>0.27</v>
      </c>
      <c r="C10" s="11" t="n">
        <v>0.65</v>
      </c>
      <c r="D10" s="11" t="n">
        <v>0.02</v>
      </c>
      <c r="E10" s="11" t="n">
        <v>30.23</v>
      </c>
      <c r="F10" s="11" t="n">
        <v>21.26</v>
      </c>
      <c r="G10" s="11" t="n">
        <v>47.57</v>
      </c>
    </row>
    <row r="11">
      <c r="A11" t="inlineStr">
        <is>
          <t>Niusintai</t>
        </is>
      </c>
      <c r="B11" s="11" t="n">
        <v>0.5600000000000001</v>
      </c>
      <c r="C11" s="11" t="n">
        <v>0.72</v>
      </c>
      <c r="D11" s="11" t="n">
        <v>0.2</v>
      </c>
      <c r="E11" s="11" t="n">
        <v>30.12</v>
      </c>
      <c r="F11" s="11" t="n">
        <v>21.85</v>
      </c>
      <c r="G11" s="11" t="n">
        <v>46.55</v>
      </c>
    </row>
    <row r="12">
      <c r="A12" t="inlineStr">
        <is>
          <t>Taling</t>
        </is>
      </c>
      <c r="B12" s="11" t="n">
        <v>0.88</v>
      </c>
      <c r="C12" s="11" t="n">
        <v>1.06</v>
      </c>
      <c r="D12" s="11" t="n">
        <v>0.04</v>
      </c>
      <c r="E12" s="11" t="n">
        <v>18.2</v>
      </c>
      <c r="F12" s="11" t="n">
        <v>30.63</v>
      </c>
      <c r="G12" s="11" t="n">
        <v>49.14</v>
      </c>
    </row>
    <row r="14">
      <c r="A14" s="2" t="inlineStr">
        <is>
          <t>Transcriber's notes</t>
        </is>
      </c>
    </row>
    <row r="15">
      <c r="A15" t="inlineStr">
        <is>
          <t>Heat loss column printed about half a line lower than the other columns; matched in order (first value 46.55 to Dairen, '—' to Yingchengtzu).</t>
        </is>
      </c>
    </row>
    <row r="16">
      <c r="A16" t="inlineStr">
        <is>
          <t>No totals printed.</t>
        </is>
      </c>
    </row>
  </sheetData>
  <hyperlinks>
    <hyperlink xmlns:r="http://schemas.openxmlformats.org/officeDocument/2006/relationships" ref="A4" r:id="rId1"/>
  </hyperlink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22. Oil Shale Reserves</t>
        </is>
      </c>
    </row>
    <row r="2">
      <c r="A2" t="inlineStr">
        <is>
          <t>Mining · printed pp. 512</t>
        </is>
      </c>
    </row>
    <row r="3">
      <c r="A3" s="3" t="inlineStr">
        <is>
          <t>← Contents</t>
        </is>
      </c>
    </row>
    <row r="5">
      <c r="A5" s="5" t="inlineStr">
        <is>
          <t>District</t>
        </is>
      </c>
      <c r="B5" s="5" t="inlineStr">
        <is>
          <t>Quantity (M. tons)</t>
        </is>
      </c>
      <c r="C5" s="5" t="inlineStr">
        <is>
          <t>Grade (%)</t>
        </is>
      </c>
    </row>
    <row r="6">
      <c r="A6" t="inlineStr">
        <is>
          <t>Funshun</t>
        </is>
      </c>
      <c r="B6" s="6" t="n">
        <v>5400000000</v>
      </c>
      <c r="C6" s="8" t="n">
        <v>5.5</v>
      </c>
    </row>
    <row r="7">
      <c r="A7" t="inlineStr">
        <is>
          <t>Fengning</t>
        </is>
      </c>
      <c r="B7" s="6" t="n">
        <v>16000000</v>
      </c>
      <c r="C7" t="inlineStr">
        <is>
          <t>4 – 7</t>
        </is>
      </c>
    </row>
    <row r="8">
      <c r="A8" t="inlineStr">
        <is>
          <t>Kingfotang</t>
        </is>
      </c>
      <c r="B8" s="6" t="n">
        <v>12000000</v>
      </c>
      <c r="C8" t="inlineStr">
        <is>
          <t>3 – 7</t>
        </is>
      </c>
    </row>
    <row r="9">
      <c r="A9" t="inlineStr">
        <is>
          <t>Lotzekow</t>
        </is>
      </c>
      <c r="B9" s="6" t="n">
        <v>200000000</v>
      </c>
      <c r="C9" t="inlineStr">
        <is>
          <t>4 – 6</t>
        </is>
      </c>
    </row>
    <row r="10">
      <c r="A10" t="inlineStr">
        <is>
          <t>Ilan</t>
        </is>
      </c>
      <c r="B10" s="6" t="n">
        <v>2000000</v>
      </c>
      <c r="C10" t="inlineStr">
        <is>
          <t>4 – 7</t>
        </is>
      </c>
    </row>
    <row r="11">
      <c r="A11" t="inlineStr">
        <is>
          <t>Total</t>
        </is>
      </c>
      <c r="B11" s="6" t="n">
        <v>7628000000</v>
      </c>
      <c r="C11" t="inlineStr"/>
    </row>
    <row r="13">
      <c r="A13" s="2" t="inlineStr">
        <is>
          <t>Transcriber's notes</t>
        </is>
      </c>
    </row>
    <row r="14">
      <c r="A14" t="inlineStr">
        <is>
          <t>Printed in two side-by-side blocks; merged.</t>
        </is>
      </c>
    </row>
    <row r="15">
      <c r="A15" t="inlineStr">
        <is>
          <t>'Funshun' as printed (i.e. Fushun).</t>
        </is>
      </c>
    </row>
    <row r="16">
      <c r="A16" t="inlineStr">
        <is>
          <t>Total 7,628,000,000: parts sum to 5,630,000,000 — does NOT reconcile (diff +1,998,000,000). Checked: no further rows printed; cells re-read. Total matches the Oil Shale figure in Table 1.</t>
        </is>
      </c>
    </row>
  </sheetData>
  <hyperlinks>
    <hyperlink xmlns:r="http://schemas.openxmlformats.org/officeDocument/2006/relationships" ref="A3" r:id="rId1"/>
  </hyperlink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[Plants capitalized at over 1,000,000 yuan to be completed by end of 1939 in the Tetsunishi district, Mukden]</t>
        </is>
      </c>
    </row>
    <row r="2">
      <c r="A2" t="inlineStr">
        <is>
          <t>Manufacturing Industry · printed pp. 514</t>
        </is>
      </c>
    </row>
    <row r="3">
      <c r="A3" s="3" t="inlineStr">
        <is>
          <t>← Contents</t>
        </is>
      </c>
    </row>
    <row r="5">
      <c r="A5" s="5" t="inlineStr">
        <is>
          <t>Plant</t>
        </is>
      </c>
      <c r="B5" s="5" t="inlineStr">
        <is>
          <t>Capitalization (yuan)</t>
        </is>
      </c>
    </row>
    <row r="6">
      <c r="A6" t="inlineStr">
        <is>
          <t>Spinning Mills</t>
        </is>
      </c>
      <c r="B6" t="inlineStr"/>
    </row>
    <row r="7">
      <c r="A7" t="inlineStr">
        <is>
          <t>Man-Nichi Flax Spinning Co.</t>
        </is>
      </c>
      <c r="B7" s="6" t="n">
        <v>15000000</v>
      </c>
    </row>
    <row r="8">
      <c r="A8" t="inlineStr">
        <is>
          <t>Kyotai Hosiery Co.</t>
        </is>
      </c>
      <c r="B8" s="6" t="n">
        <v>5000000</v>
      </c>
    </row>
    <row r="9">
      <c r="A9" t="inlineStr">
        <is>
          <t>Metal Manufacturing</t>
        </is>
      </c>
      <c r="B9" t="inlineStr"/>
    </row>
    <row r="10">
      <c r="A10" t="inlineStr">
        <is>
          <t>Manshu Shinwa Factory</t>
        </is>
      </c>
      <c r="B10" s="6" t="n">
        <v>1000000</v>
      </c>
    </row>
    <row r="11">
      <c r="A11" t="inlineStr">
        <is>
          <t>Dairen Machinery Co. (Mukden factory)</t>
        </is>
      </c>
      <c r="B11" s="6" t="n">
        <v>10000000</v>
      </c>
    </row>
    <row r="12">
      <c r="A12" t="inlineStr">
        <is>
          <t>Machinery Manufacturing</t>
        </is>
      </c>
      <c r="B12" t="inlineStr"/>
    </row>
    <row r="13">
      <c r="A13" t="inlineStr">
        <is>
          <t>Manshu Tokyo Electric Co.</t>
        </is>
      </c>
      <c r="B13" s="6" t="n">
        <v>10000000</v>
      </c>
    </row>
    <row r="14">
      <c r="A14" t="inlineStr">
        <is>
          <t>Hoten Seisakusho</t>
        </is>
      </c>
      <c r="B14" s="6" t="n">
        <v>2000000</v>
      </c>
    </row>
    <row r="15">
      <c r="A15" t="inlineStr">
        <is>
          <t>Manshu Hidate Co.</t>
        </is>
      </c>
      <c r="B15" s="6" t="n">
        <v>5000000</v>
      </c>
    </row>
    <row r="16">
      <c r="A16" t="inlineStr">
        <is>
          <t>Chemical Industry</t>
        </is>
      </c>
      <c r="B16" t="inlineStr"/>
    </row>
    <row r="17">
      <c r="A17" t="inlineStr">
        <is>
          <t>Kokka Rubber Co.</t>
        </is>
      </c>
      <c r="B17" s="6" t="n">
        <v>1000000</v>
      </c>
    </row>
    <row r="18">
      <c r="A18" t="inlineStr">
        <is>
          <t>Oriental Tire Co.</t>
        </is>
      </c>
      <c r="B18" s="6" t="n">
        <v>10000000</v>
      </c>
    </row>
    <row r="19">
      <c r="A19" t="inlineStr">
        <is>
          <t>Hoten Yushi</t>
        </is>
      </c>
      <c r="B19" s="6" t="n">
        <v>2000000</v>
      </c>
    </row>
    <row r="20">
      <c r="A20" t="inlineStr">
        <is>
          <t>Manshu Kansai Paint Co.</t>
        </is>
      </c>
      <c r="B20" s="6" t="n">
        <v>1000000</v>
      </c>
    </row>
    <row r="21">
      <c r="A21" t="inlineStr">
        <is>
          <t>Manshu Shuto Paint Co.</t>
        </is>
      </c>
      <c r="B21" s="6" t="n">
        <v>1000000</v>
      </c>
    </row>
    <row r="22">
      <c r="A22" t="inlineStr">
        <is>
          <t>Manshu Paint Co.</t>
        </is>
      </c>
      <c r="B22" s="6" t="n">
        <v>1500000</v>
      </c>
    </row>
    <row r="23">
      <c r="A23" t="inlineStr">
        <is>
          <t>Manshu Shoko Glass Co.</t>
        </is>
      </c>
      <c r="B23" s="6" t="n">
        <v>3000000</v>
      </c>
    </row>
    <row r="25">
      <c r="A25" s="2" t="inlineStr">
        <is>
          <t>Transcriber's notes</t>
        </is>
      </c>
    </row>
    <row r="26">
      <c r="A26" t="inlineStr">
        <is>
          <t>Unnumbered in-text list with figures; title supplied from the preceding sentence.</t>
        </is>
      </c>
    </row>
    <row r="27">
      <c r="A27" t="inlineStr">
        <is>
          <t>No total printed.</t>
        </is>
      </c>
    </row>
  </sheetData>
  <hyperlinks>
    <hyperlink xmlns:r="http://schemas.openxmlformats.org/officeDocument/2006/relationships" ref="A3" r:id="rId1"/>
  </hyperlink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J1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Statistics of Manufacturing Industries in Manchuria</t>
        </is>
      </c>
    </row>
    <row r="2">
      <c r="A2" t="inlineStr">
        <is>
          <t>Manufacturing Industry · printed pp. 515, 516</t>
        </is>
      </c>
    </row>
    <row r="3">
      <c r="A3" t="inlineStr">
        <is>
          <t>(Production in M¥1,000)</t>
        </is>
      </c>
    </row>
    <row r="4">
      <c r="A4" s="3" t="inlineStr">
        <is>
          <t>← Contents</t>
        </is>
      </c>
    </row>
    <row r="6">
      <c r="A6" s="5" t="inlineStr">
        <is>
          <t>Industry / Year</t>
        </is>
      </c>
      <c r="B6" s="5" t="inlineStr">
        <is>
          <t>Manchoukuo — No. of factories</t>
        </is>
      </c>
      <c r="C6" s="5" t="inlineStr">
        <is>
          <t>Manchoukuo — Actual No. of workers</t>
        </is>
      </c>
      <c r="D6" s="5" t="inlineStr">
        <is>
          <t>Manchoukuo — Production</t>
        </is>
      </c>
      <c r="E6" s="5" t="inlineStr">
        <is>
          <t>Kwantung &amp; S.M.R. Zone — No. of factories</t>
        </is>
      </c>
      <c r="F6" s="5" t="inlineStr">
        <is>
          <t>Kwantung &amp; S.M.R. Zone — Aggregate No. of workers (1,000)</t>
        </is>
      </c>
      <c r="G6" s="5" t="inlineStr">
        <is>
          <t>Kwantung &amp; S.M.R. Zone — Production</t>
        </is>
      </c>
      <c r="H6" s="5" t="inlineStr">
        <is>
          <t>Total — No. of factories</t>
        </is>
      </c>
      <c r="I6" s="5" t="inlineStr">
        <is>
          <t>Total — No. of workers</t>
        </is>
      </c>
      <c r="J6" s="5" t="inlineStr">
        <is>
          <t>Total — Production</t>
        </is>
      </c>
    </row>
    <row r="7">
      <c r="A7" t="inlineStr">
        <is>
          <t>Textile:</t>
        </is>
      </c>
      <c r="B7" t="inlineStr"/>
      <c r="C7" t="inlineStr"/>
      <c r="D7" t="inlineStr"/>
      <c r="E7" t="inlineStr"/>
      <c r="F7" t="inlineStr"/>
      <c r="G7" t="inlineStr"/>
      <c r="H7" t="inlineStr"/>
      <c r="I7" t="inlineStr"/>
      <c r="J7" t="inlineStr"/>
    </row>
    <row r="8">
      <c r="A8" s="9" t="n">
        <v>1934</v>
      </c>
      <c r="B8" s="6" t="n">
        <v>1139</v>
      </c>
      <c r="C8" s="6" t="n">
        <v>33389</v>
      </c>
      <c r="D8" s="6" t="n">
        <v>39232</v>
      </c>
      <c r="E8" s="9" t="n">
        <v>128</v>
      </c>
      <c r="F8" t="inlineStr">
        <is>
          <t>10,750†</t>
        </is>
      </c>
      <c r="G8" s="6" t="n">
        <v>23312</v>
      </c>
      <c r="H8" s="6" t="n">
        <v>1267</v>
      </c>
      <c r="I8" s="6" t="n">
        <v>44149</v>
      </c>
      <c r="J8" s="6" t="n">
        <v>62544</v>
      </c>
    </row>
    <row r="9">
      <c r="A9" s="9" t="n">
        <v>1935</v>
      </c>
      <c r="B9" t="inlineStr">
        <is>
          <t>—</t>
        </is>
      </c>
      <c r="C9" t="inlineStr">
        <is>
          <t>—</t>
        </is>
      </c>
      <c r="D9" t="inlineStr">
        <is>
          <t>—</t>
        </is>
      </c>
      <c r="E9" s="9" t="n">
        <v>98</v>
      </c>
      <c r="F9" s="6" t="n">
        <v>4090</v>
      </c>
      <c r="G9" s="6" t="n">
        <v>31867</v>
      </c>
      <c r="H9" t="inlineStr">
        <is>
          <t>—</t>
        </is>
      </c>
      <c r="I9" t="inlineStr">
        <is>
          <t>—</t>
        </is>
      </c>
      <c r="J9" t="inlineStr">
        <is>
          <t>—</t>
        </is>
      </c>
    </row>
    <row r="10">
      <c r="A10" s="9" t="n">
        <v>1936</v>
      </c>
      <c r="B10" s="6" t="n">
        <v>1066</v>
      </c>
      <c r="C10" t="inlineStr">
        <is>
          <t>—</t>
        </is>
      </c>
      <c r="D10" s="6" t="n">
        <v>70234</v>
      </c>
      <c r="E10" s="9" t="n">
        <v>99</v>
      </c>
      <c r="F10" s="6" t="n">
        <v>4611</v>
      </c>
      <c r="G10" s="6" t="n">
        <v>40768</v>
      </c>
      <c r="H10" s="6" t="n">
        <v>2065</v>
      </c>
      <c r="I10" t="inlineStr">
        <is>
          <t>—</t>
        </is>
      </c>
      <c r="J10" s="6" t="n">
        <v>111002</v>
      </c>
    </row>
    <row r="11">
      <c r="A11" s="9" t="n">
        <v>1937</v>
      </c>
      <c r="B11" t="inlineStr">
        <is>
          <t>—</t>
        </is>
      </c>
      <c r="C11" t="inlineStr">
        <is>
          <t>—</t>
        </is>
      </c>
      <c r="D11" t="inlineStr">
        <is>
          <t>—</t>
        </is>
      </c>
      <c r="E11" s="9" t="n">
        <v>58</v>
      </c>
      <c r="F11" s="6" t="n">
        <v>2144</v>
      </c>
      <c r="G11" t="inlineStr">
        <is>
          <t>—</t>
        </is>
      </c>
      <c r="H11" t="inlineStr">
        <is>
          <t>—</t>
        </is>
      </c>
      <c r="I11" t="inlineStr">
        <is>
          <t>—</t>
        </is>
      </c>
      <c r="J11" t="inlineStr">
        <is>
          <t>—</t>
        </is>
      </c>
    </row>
    <row r="12">
      <c r="A12" s="9" t="n">
        <v>1938</v>
      </c>
      <c r="B12" t="inlineStr">
        <is>
          <t>—</t>
        </is>
      </c>
      <c r="C12" t="inlineStr">
        <is>
          <t>—</t>
        </is>
      </c>
      <c r="D12" t="inlineStr">
        <is>
          <t>—</t>
        </is>
      </c>
      <c r="E12" s="9" t="n">
        <v>54</v>
      </c>
      <c r="F12" t="inlineStr">
        <is>
          <t>—</t>
        </is>
      </c>
      <c r="G12" t="inlineStr">
        <is>
          <t>—</t>
        </is>
      </c>
      <c r="H12" t="inlineStr">
        <is>
          <t>—</t>
        </is>
      </c>
      <c r="I12" t="inlineStr">
        <is>
          <t>—</t>
        </is>
      </c>
      <c r="J12" t="inlineStr">
        <is>
          <t>—</t>
        </is>
      </c>
    </row>
    <row r="13">
      <c r="A13" t="inlineStr">
        <is>
          <t>Metallic:</t>
        </is>
      </c>
      <c r="B13" t="inlineStr"/>
      <c r="C13" t="inlineStr"/>
      <c r="D13" t="inlineStr"/>
      <c r="E13" t="inlineStr"/>
      <c r="F13" t="inlineStr"/>
      <c r="G13" t="inlineStr"/>
      <c r="H13" t="inlineStr"/>
      <c r="I13" t="inlineStr"/>
      <c r="J13" t="inlineStr"/>
    </row>
    <row r="14">
      <c r="A14" s="9" t="n">
        <v>1934</v>
      </c>
      <c r="B14" s="9" t="n">
        <v>740</v>
      </c>
      <c r="C14" s="6" t="n">
        <v>7635</v>
      </c>
      <c r="D14" s="6" t="n">
        <v>15260</v>
      </c>
      <c r="E14" s="9" t="n">
        <v>116</v>
      </c>
      <c r="F14" t="inlineStr">
        <is>
          <t>2,667†</t>
        </is>
      </c>
      <c r="G14" s="6" t="n">
        <v>4261</v>
      </c>
      <c r="H14" s="9" t="n">
        <v>856</v>
      </c>
      <c r="I14" s="6" t="n">
        <v>10302</v>
      </c>
      <c r="J14" s="6" t="n">
        <v>19521</v>
      </c>
    </row>
    <row r="15">
      <c r="A15" s="9" t="n">
        <v>1935</v>
      </c>
      <c r="B15" t="inlineStr">
        <is>
          <t>—</t>
        </is>
      </c>
      <c r="C15" t="inlineStr">
        <is>
          <t>—</t>
        </is>
      </c>
      <c r="D15" t="inlineStr">
        <is>
          <t>—</t>
        </is>
      </c>
      <c r="E15" s="9" t="n">
        <v>154</v>
      </c>
      <c r="F15" s="6" t="n">
        <v>9049</v>
      </c>
      <c r="G15" s="6" t="n">
        <v>43667</v>
      </c>
      <c r="H15" t="inlineStr">
        <is>
          <t>—</t>
        </is>
      </c>
      <c r="I15" t="inlineStr">
        <is>
          <t>—</t>
        </is>
      </c>
      <c r="J15" t="inlineStr">
        <is>
          <t>—</t>
        </is>
      </c>
    </row>
    <row r="16">
      <c r="A16" s="9" t="n">
        <v>1936</v>
      </c>
      <c r="B16" s="9" t="n">
        <v>812</v>
      </c>
      <c r="C16" t="inlineStr">
        <is>
          <t>—</t>
        </is>
      </c>
      <c r="D16" s="6" t="n">
        <v>23311</v>
      </c>
      <c r="E16" s="9" t="n">
        <v>174</v>
      </c>
      <c r="F16" s="6" t="n">
        <v>6790</v>
      </c>
      <c r="G16" s="6" t="n">
        <v>128629</v>
      </c>
      <c r="H16" s="9" t="n">
        <v>986</v>
      </c>
      <c r="I16" t="inlineStr">
        <is>
          <t>—</t>
        </is>
      </c>
      <c r="J16" s="6" t="n">
        <v>151940</v>
      </c>
    </row>
    <row r="17">
      <c r="A17" s="9" t="n">
        <v>1937</v>
      </c>
      <c r="B17" t="inlineStr">
        <is>
          <t>—</t>
        </is>
      </c>
      <c r="C17" t="inlineStr">
        <is>
          <t>—</t>
        </is>
      </c>
      <c r="D17" t="inlineStr">
        <is>
          <t>—</t>
        </is>
      </c>
      <c r="E17" s="9" t="n">
        <v>120</v>
      </c>
      <c r="F17" s="6" t="n">
        <v>1226</v>
      </c>
      <c r="G17" t="inlineStr">
        <is>
          <t>—</t>
        </is>
      </c>
      <c r="H17" t="inlineStr">
        <is>
          <t>—</t>
        </is>
      </c>
      <c r="I17" t="inlineStr">
        <is>
          <t>—</t>
        </is>
      </c>
      <c r="J17" t="inlineStr">
        <is>
          <t>—</t>
        </is>
      </c>
    </row>
    <row r="18">
      <c r="A18" s="9" t="n">
        <v>1938</v>
      </c>
      <c r="B18" t="inlineStr">
        <is>
          <t>—</t>
        </is>
      </c>
      <c r="C18" t="inlineStr">
        <is>
          <t>—</t>
        </is>
      </c>
      <c r="D18" t="inlineStr">
        <is>
          <t>—</t>
        </is>
      </c>
      <c r="E18" s="9" t="n">
        <v>143</v>
      </c>
      <c r="F18" t="inlineStr">
        <is>
          <t>—</t>
        </is>
      </c>
      <c r="G18" t="inlineStr">
        <is>
          <t>—</t>
        </is>
      </c>
      <c r="H18" t="inlineStr">
        <is>
          <t>—</t>
        </is>
      </c>
      <c r="I18" t="inlineStr">
        <is>
          <t>—</t>
        </is>
      </c>
      <c r="J18" t="inlineStr">
        <is>
          <t>—</t>
        </is>
      </c>
    </row>
    <row r="19">
      <c r="A19" t="inlineStr">
        <is>
          <t>Machine &amp; Tool:</t>
        </is>
      </c>
      <c r="B19" t="inlineStr"/>
      <c r="C19" t="inlineStr"/>
      <c r="D19" t="inlineStr"/>
      <c r="E19" t="inlineStr"/>
      <c r="F19" t="inlineStr"/>
      <c r="G19" t="inlineStr"/>
      <c r="H19" t="inlineStr"/>
      <c r="I19" t="inlineStr"/>
      <c r="J19" t="inlineStr"/>
    </row>
    <row r="20">
      <c r="A20" s="9" t="n">
        <v>1934</v>
      </c>
      <c r="B20" s="9" t="n">
        <v>328</v>
      </c>
      <c r="C20" s="6" t="n">
        <v>4617</v>
      </c>
      <c r="D20" s="6" t="n">
        <v>6727</v>
      </c>
      <c r="E20" s="9" t="n">
        <v>181</v>
      </c>
      <c r="F20" t="inlineStr">
        <is>
          <t>12,425†</t>
        </is>
      </c>
      <c r="G20" s="6" t="n">
        <v>22550</v>
      </c>
      <c r="H20" s="9" t="n">
        <v>509</v>
      </c>
      <c r="I20" s="6" t="n">
        <v>17042</v>
      </c>
      <c r="J20" s="6" t="n">
        <v>19550</v>
      </c>
    </row>
    <row r="21">
      <c r="A21" s="9" t="n">
        <v>1935</v>
      </c>
      <c r="B21" t="inlineStr">
        <is>
          <t>—</t>
        </is>
      </c>
      <c r="C21" t="inlineStr">
        <is>
          <t>—</t>
        </is>
      </c>
      <c r="D21" t="inlineStr">
        <is>
          <t>—</t>
        </is>
      </c>
      <c r="E21" s="9" t="n">
        <v>142</v>
      </c>
      <c r="F21" s="6" t="n">
        <v>6340</v>
      </c>
      <c r="G21" s="6" t="n">
        <v>34416</v>
      </c>
      <c r="H21" t="inlineStr">
        <is>
          <t>—</t>
        </is>
      </c>
      <c r="I21" t="inlineStr">
        <is>
          <t>—</t>
        </is>
      </c>
      <c r="J21" t="inlineStr">
        <is>
          <t>—</t>
        </is>
      </c>
    </row>
    <row r="22">
      <c r="A22" s="9" t="n">
        <v>1936</v>
      </c>
      <c r="B22" s="9" t="n">
        <v>421</v>
      </c>
      <c r="C22" t="inlineStr">
        <is>
          <t>—</t>
        </is>
      </c>
      <c r="D22" s="6" t="n">
        <v>10177</v>
      </c>
      <c r="E22" s="9" t="n">
        <v>207</v>
      </c>
      <c r="F22" s="6" t="n">
        <v>5357</v>
      </c>
      <c r="G22" s="6" t="n">
        <v>40245</v>
      </c>
      <c r="H22" s="9" t="n">
        <v>628</v>
      </c>
      <c r="I22" t="inlineStr">
        <is>
          <t>—</t>
        </is>
      </c>
      <c r="J22" s="6" t="n">
        <v>50422</v>
      </c>
    </row>
    <row r="23">
      <c r="A23" s="9" t="n">
        <v>1937</v>
      </c>
      <c r="B23" t="inlineStr">
        <is>
          <t>—</t>
        </is>
      </c>
      <c r="C23" t="inlineStr">
        <is>
          <t>—</t>
        </is>
      </c>
      <c r="D23" t="inlineStr">
        <is>
          <t>—</t>
        </is>
      </c>
      <c r="E23" s="9" t="n">
        <v>181</v>
      </c>
      <c r="F23" s="6" t="n">
        <v>3841</v>
      </c>
      <c r="G23" t="inlineStr">
        <is>
          <t>—</t>
        </is>
      </c>
      <c r="H23" t="inlineStr">
        <is>
          <t>—</t>
        </is>
      </c>
      <c r="I23" t="inlineStr">
        <is>
          <t>—</t>
        </is>
      </c>
      <c r="J23" t="inlineStr">
        <is>
          <t>—</t>
        </is>
      </c>
    </row>
    <row r="24">
      <c r="A24" s="9" t="n">
        <v>1938</v>
      </c>
      <c r="B24" t="inlineStr">
        <is>
          <t>—</t>
        </is>
      </c>
      <c r="C24" t="inlineStr">
        <is>
          <t>—</t>
        </is>
      </c>
      <c r="D24" t="inlineStr">
        <is>
          <t>—</t>
        </is>
      </c>
      <c r="E24" s="9" t="n">
        <v>161</v>
      </c>
      <c r="F24" t="inlineStr">
        <is>
          <t>—</t>
        </is>
      </c>
      <c r="G24" t="inlineStr">
        <is>
          <t>—</t>
        </is>
      </c>
      <c r="H24" t="inlineStr">
        <is>
          <t>—</t>
        </is>
      </c>
      <c r="I24" t="inlineStr">
        <is>
          <t>—</t>
        </is>
      </c>
      <c r="J24" t="inlineStr">
        <is>
          <t>—</t>
        </is>
      </c>
    </row>
    <row r="25">
      <c r="A25" t="inlineStr">
        <is>
          <t>Ceramic:</t>
        </is>
      </c>
      <c r="B25" t="inlineStr"/>
      <c r="C25" t="inlineStr"/>
      <c r="D25" t="inlineStr"/>
      <c r="E25" t="inlineStr"/>
      <c r="F25" t="inlineStr"/>
      <c r="G25" t="inlineStr"/>
      <c r="H25" t="inlineStr"/>
      <c r="I25" t="inlineStr"/>
      <c r="J25" t="inlineStr"/>
    </row>
    <row r="26">
      <c r="A26" s="9" t="n">
        <v>1934</v>
      </c>
      <c r="B26" s="9" t="n">
        <v>405</v>
      </c>
      <c r="C26" s="6" t="n">
        <v>15522</v>
      </c>
      <c r="D26" s="6" t="n">
        <v>5560</v>
      </c>
      <c r="E26" s="9" t="n">
        <v>184</v>
      </c>
      <c r="F26" t="inlineStr">
        <is>
          <t>9,733†</t>
        </is>
      </c>
      <c r="G26" s="6" t="n">
        <v>10569</v>
      </c>
      <c r="H26" s="9" t="n">
        <v>589</v>
      </c>
      <c r="I26" s="6" t="n">
        <v>26163</v>
      </c>
      <c r="J26" s="6" t="n">
        <v>16127</v>
      </c>
    </row>
    <row r="27">
      <c r="A27" s="9" t="n">
        <v>1935</v>
      </c>
      <c r="B27" t="inlineStr">
        <is>
          <t>—</t>
        </is>
      </c>
      <c r="C27" t="inlineStr">
        <is>
          <t>—</t>
        </is>
      </c>
      <c r="D27" t="inlineStr">
        <is>
          <t>—</t>
        </is>
      </c>
      <c r="E27" s="9" t="n">
        <v>132</v>
      </c>
      <c r="F27" s="6" t="n">
        <v>2412</v>
      </c>
      <c r="G27" s="6" t="n">
        <v>14765</v>
      </c>
      <c r="H27" t="inlineStr">
        <is>
          <t>—</t>
        </is>
      </c>
      <c r="I27" t="inlineStr">
        <is>
          <t>—</t>
        </is>
      </c>
      <c r="J27" t="inlineStr">
        <is>
          <t>—</t>
        </is>
      </c>
    </row>
    <row r="28">
      <c r="A28" s="9" t="n">
        <v>1936</v>
      </c>
      <c r="B28" s="9" t="n">
        <v>427</v>
      </c>
      <c r="C28" t="inlineStr">
        <is>
          <t>—</t>
        </is>
      </c>
      <c r="D28" s="6" t="n">
        <v>11384</v>
      </c>
      <c r="E28" s="9" t="n">
        <v>156</v>
      </c>
      <c r="F28" s="6" t="n">
        <v>4856</v>
      </c>
      <c r="G28" s="6" t="n">
        <v>17037</v>
      </c>
      <c r="H28" s="9" t="n">
        <v>583</v>
      </c>
      <c r="I28" t="inlineStr">
        <is>
          <t>—</t>
        </is>
      </c>
      <c r="J28" s="6" t="n">
        <v>28420</v>
      </c>
    </row>
    <row r="29">
      <c r="A29" s="9" t="n">
        <v>1937</v>
      </c>
      <c r="B29" t="inlineStr">
        <is>
          <t>—</t>
        </is>
      </c>
      <c r="C29" t="inlineStr">
        <is>
          <t>—</t>
        </is>
      </c>
      <c r="D29" t="inlineStr">
        <is>
          <t>—</t>
        </is>
      </c>
      <c r="E29" s="9" t="n">
        <v>132</v>
      </c>
      <c r="F29" s="6" t="n">
        <v>1623</v>
      </c>
      <c r="G29" t="inlineStr">
        <is>
          <t>—</t>
        </is>
      </c>
      <c r="H29" t="inlineStr">
        <is>
          <t>—</t>
        </is>
      </c>
      <c r="I29" t="inlineStr">
        <is>
          <t>—</t>
        </is>
      </c>
      <c r="J29" t="inlineStr">
        <is>
          <t>—</t>
        </is>
      </c>
    </row>
    <row r="30">
      <c r="A30" s="9" t="n">
        <v>1938</v>
      </c>
      <c r="B30" t="inlineStr">
        <is>
          <t>—</t>
        </is>
      </c>
      <c r="C30" t="inlineStr">
        <is>
          <t>—</t>
        </is>
      </c>
      <c r="D30" t="inlineStr">
        <is>
          <t>—</t>
        </is>
      </c>
      <c r="E30" t="inlineStr">
        <is>
          <t>—</t>
        </is>
      </c>
      <c r="F30" t="inlineStr">
        <is>
          <t>—</t>
        </is>
      </c>
      <c r="G30" t="inlineStr">
        <is>
          <t>—</t>
        </is>
      </c>
      <c r="H30" t="inlineStr">
        <is>
          <t>—</t>
        </is>
      </c>
      <c r="I30" t="inlineStr">
        <is>
          <t>—</t>
        </is>
      </c>
      <c r="J30" t="inlineStr">
        <is>
          <t>—</t>
        </is>
      </c>
    </row>
    <row r="31">
      <c r="A31" t="inlineStr">
        <is>
          <t>Chemical:</t>
        </is>
      </c>
      <c r="B31" t="inlineStr"/>
      <c r="C31" t="inlineStr"/>
      <c r="D31" t="inlineStr"/>
      <c r="E31" t="inlineStr"/>
      <c r="F31" t="inlineStr"/>
      <c r="G31" t="inlineStr"/>
      <c r="H31" t="inlineStr"/>
      <c r="I31" t="inlineStr"/>
      <c r="J31" t="inlineStr"/>
    </row>
    <row r="32">
      <c r="A32" s="9" t="n">
        <v>1934</v>
      </c>
      <c r="B32" s="9" t="n">
        <v>601</v>
      </c>
      <c r="C32" s="6" t="n">
        <v>8339</v>
      </c>
      <c r="D32" s="6" t="n">
        <v>29836</v>
      </c>
      <c r="E32" s="9" t="n">
        <v>280</v>
      </c>
      <c r="F32" t="inlineStr">
        <is>
          <t>9,267†</t>
        </is>
      </c>
      <c r="G32" s="6" t="n">
        <v>74005</v>
      </c>
      <c r="H32" s="9" t="n">
        <v>881</v>
      </c>
      <c r="I32" s="6" t="n">
        <v>17606</v>
      </c>
      <c r="J32" s="6" t="n">
        <v>103841</v>
      </c>
    </row>
    <row r="33">
      <c r="A33" s="9" t="n">
        <v>1935</v>
      </c>
      <c r="B33" t="inlineStr">
        <is>
          <t>—</t>
        </is>
      </c>
      <c r="C33" t="inlineStr">
        <is>
          <t>—</t>
        </is>
      </c>
      <c r="D33" t="inlineStr">
        <is>
          <t>—</t>
        </is>
      </c>
      <c r="E33" s="9" t="n">
        <v>177</v>
      </c>
      <c r="F33" s="6" t="n">
        <v>2829</v>
      </c>
      <c r="G33" s="6" t="n">
        <v>116738</v>
      </c>
      <c r="H33" t="inlineStr">
        <is>
          <t>—</t>
        </is>
      </c>
      <c r="I33" t="inlineStr">
        <is>
          <t>—</t>
        </is>
      </c>
      <c r="J33" t="inlineStr">
        <is>
          <t>—</t>
        </is>
      </c>
    </row>
    <row r="34">
      <c r="A34" s="9" t="n">
        <v>1936</v>
      </c>
      <c r="B34" s="9" t="n">
        <v>742</v>
      </c>
      <c r="C34" t="inlineStr">
        <is>
          <t>—</t>
        </is>
      </c>
      <c r="D34" s="6" t="n">
        <v>44483</v>
      </c>
      <c r="E34" s="9" t="n">
        <v>190</v>
      </c>
      <c r="F34" s="6" t="n">
        <v>3146</v>
      </c>
      <c r="G34" s="6" t="n">
        <v>122755</v>
      </c>
      <c r="H34" s="9" t="n">
        <v>932</v>
      </c>
      <c r="I34" t="inlineStr">
        <is>
          <t>—</t>
        </is>
      </c>
      <c r="J34" s="6" t="n">
        <v>167238</v>
      </c>
    </row>
    <row r="35">
      <c r="A35" s="9" t="n">
        <v>1937</v>
      </c>
      <c r="B35" t="inlineStr">
        <is>
          <t>—</t>
        </is>
      </c>
      <c r="C35" t="inlineStr">
        <is>
          <t>—</t>
        </is>
      </c>
      <c r="D35" t="inlineStr">
        <is>
          <t>—</t>
        </is>
      </c>
      <c r="E35" s="9" t="n">
        <v>103</v>
      </c>
      <c r="F35" s="6" t="n">
        <v>2076</v>
      </c>
      <c r="G35" t="inlineStr">
        <is>
          <t>—</t>
        </is>
      </c>
      <c r="H35" t="inlineStr">
        <is>
          <t>—</t>
        </is>
      </c>
      <c r="I35" t="inlineStr">
        <is>
          <t>—</t>
        </is>
      </c>
      <c r="J35" t="inlineStr">
        <is>
          <t>—</t>
        </is>
      </c>
    </row>
    <row r="36">
      <c r="A36" s="9" t="n">
        <v>1938</v>
      </c>
      <c r="B36" t="inlineStr">
        <is>
          <t>—</t>
        </is>
      </c>
      <c r="C36" t="inlineStr">
        <is>
          <t>—</t>
        </is>
      </c>
      <c r="D36" t="inlineStr">
        <is>
          <t>—</t>
        </is>
      </c>
      <c r="E36" t="inlineStr">
        <is>
          <t>—</t>
        </is>
      </c>
      <c r="F36" t="inlineStr">
        <is>
          <t>—</t>
        </is>
      </c>
      <c r="G36" t="inlineStr">
        <is>
          <t>—</t>
        </is>
      </c>
      <c r="H36" t="inlineStr">
        <is>
          <t>—</t>
        </is>
      </c>
      <c r="I36" t="inlineStr">
        <is>
          <t>—</t>
        </is>
      </c>
      <c r="J36" t="inlineStr">
        <is>
          <t>—</t>
        </is>
      </c>
    </row>
    <row r="37">
      <c r="A37" t="inlineStr">
        <is>
          <t>Provision:</t>
        </is>
      </c>
      <c r="B37" t="inlineStr"/>
      <c r="C37" t="inlineStr"/>
      <c r="D37" t="inlineStr"/>
      <c r="E37" t="inlineStr"/>
      <c r="F37" t="inlineStr"/>
      <c r="G37" t="inlineStr"/>
      <c r="H37" t="inlineStr"/>
      <c r="I37" t="inlineStr"/>
      <c r="J37" t="inlineStr"/>
    </row>
    <row r="38">
      <c r="A38" s="9" t="n">
        <v>1934</v>
      </c>
      <c r="B38" s="9" t="n">
        <v>711</v>
      </c>
      <c r="C38" s="6" t="n">
        <v>6708</v>
      </c>
      <c r="D38" s="6" t="n">
        <v>38136</v>
      </c>
      <c r="E38" s="9" t="n">
        <v>413</v>
      </c>
      <c r="F38" t="inlineStr">
        <is>
          <t>7,453†</t>
        </is>
      </c>
      <c r="G38" s="6" t="n">
        <v>28862</v>
      </c>
      <c r="H38" s="6" t="n">
        <v>1124</v>
      </c>
      <c r="I38" s="6" t="n">
        <v>14161</v>
      </c>
      <c r="J38" s="6" t="n">
        <v>69215</v>
      </c>
    </row>
    <row r="39">
      <c r="A39" s="9" t="n">
        <v>1935</v>
      </c>
      <c r="B39" t="inlineStr">
        <is>
          <t>—</t>
        </is>
      </c>
      <c r="C39" t="inlineStr">
        <is>
          <t>—</t>
        </is>
      </c>
      <c r="D39" t="inlineStr">
        <is>
          <t>—</t>
        </is>
      </c>
      <c r="E39" s="9" t="n">
        <v>353</v>
      </c>
      <c r="F39" s="6" t="n">
        <v>1625</v>
      </c>
      <c r="G39" s="6" t="n">
        <v>37070</v>
      </c>
      <c r="H39" t="inlineStr">
        <is>
          <t>—</t>
        </is>
      </c>
      <c r="I39" t="inlineStr">
        <is>
          <t>—</t>
        </is>
      </c>
      <c r="J39" t="inlineStr">
        <is>
          <t>—</t>
        </is>
      </c>
    </row>
    <row r="40">
      <c r="A40" s="9" t="n">
        <v>1936</v>
      </c>
      <c r="B40" s="9" t="n">
        <v>815</v>
      </c>
      <c r="C40" t="inlineStr">
        <is>
          <t>—</t>
        </is>
      </c>
      <c r="D40" s="6" t="n">
        <v>110892</v>
      </c>
      <c r="E40" s="9" t="n">
        <v>393</v>
      </c>
      <c r="F40" s="6" t="n">
        <v>2695</v>
      </c>
      <c r="G40" s="6" t="n">
        <v>54819</v>
      </c>
      <c r="H40" s="6" t="n">
        <v>1208</v>
      </c>
      <c r="I40" t="inlineStr">
        <is>
          <t>—</t>
        </is>
      </c>
      <c r="J40" s="6" t="n">
        <v>165711</v>
      </c>
    </row>
    <row r="41">
      <c r="A41" s="9" t="n">
        <v>1937</v>
      </c>
      <c r="B41" t="inlineStr">
        <is>
          <t>—</t>
        </is>
      </c>
      <c r="C41" t="inlineStr">
        <is>
          <t>—</t>
        </is>
      </c>
      <c r="D41" t="inlineStr">
        <is>
          <t>—</t>
        </is>
      </c>
      <c r="E41" s="9" t="n">
        <v>163</v>
      </c>
      <c r="F41" s="9" t="n">
        <v>750</v>
      </c>
      <c r="G41" t="inlineStr">
        <is>
          <t>—</t>
        </is>
      </c>
      <c r="H41" t="inlineStr">
        <is>
          <t>—</t>
        </is>
      </c>
      <c r="I41" t="inlineStr">
        <is>
          <t>—</t>
        </is>
      </c>
      <c r="J41" t="inlineStr">
        <is>
          <t>—</t>
        </is>
      </c>
    </row>
    <row r="42">
      <c r="A42" s="9" t="n">
        <v>1938</v>
      </c>
      <c r="B42" t="inlineStr">
        <is>
          <t>—</t>
        </is>
      </c>
      <c r="C42" t="inlineStr">
        <is>
          <t>—</t>
        </is>
      </c>
      <c r="D42" t="inlineStr">
        <is>
          <t>—</t>
        </is>
      </c>
      <c r="E42" s="9" t="n">
        <v>161</v>
      </c>
      <c r="F42" t="inlineStr">
        <is>
          <t>—</t>
        </is>
      </c>
      <c r="G42" t="inlineStr">
        <is>
          <t>—</t>
        </is>
      </c>
      <c r="H42" t="inlineStr">
        <is>
          <t>—</t>
        </is>
      </c>
      <c r="I42" t="inlineStr">
        <is>
          <t>—</t>
        </is>
      </c>
      <c r="J42" t="inlineStr">
        <is>
          <t>—</t>
        </is>
      </c>
    </row>
    <row r="43">
      <c r="A43" t="inlineStr">
        <is>
          <t>Lumbering &amp; Woodworking:</t>
        </is>
      </c>
      <c r="B43" t="inlineStr"/>
      <c r="C43" t="inlineStr"/>
      <c r="D43" t="inlineStr"/>
      <c r="E43" t="inlineStr"/>
      <c r="F43" t="inlineStr"/>
      <c r="G43" t="inlineStr"/>
      <c r="H43" t="inlineStr"/>
      <c r="I43" t="inlineStr"/>
      <c r="J43" t="inlineStr"/>
    </row>
    <row r="44">
      <c r="A44" s="9" t="n">
        <v>1934</v>
      </c>
      <c r="B44" s="9" t="n">
        <v>526</v>
      </c>
      <c r="C44" s="6" t="n">
        <v>6387</v>
      </c>
      <c r="D44" s="6" t="n">
        <v>5862</v>
      </c>
      <c r="E44" s="9" t="n">
        <v>121</v>
      </c>
      <c r="F44" t="inlineStr">
        <is>
          <t>2,884†</t>
        </is>
      </c>
      <c r="G44" s="6" t="n">
        <v>10947</v>
      </c>
      <c r="H44" s="9" t="n">
        <v>647</v>
      </c>
      <c r="I44" s="6" t="n">
        <v>9171</v>
      </c>
      <c r="J44" s="6" t="n">
        <v>16809</v>
      </c>
    </row>
    <row r="45">
      <c r="A45" s="9" t="n">
        <v>1935</v>
      </c>
      <c r="B45" t="inlineStr">
        <is>
          <t>—</t>
        </is>
      </c>
      <c r="C45" t="inlineStr">
        <is>
          <t>—</t>
        </is>
      </c>
      <c r="D45" t="inlineStr">
        <is>
          <t>—</t>
        </is>
      </c>
      <c r="E45" s="9" t="n">
        <v>89</v>
      </c>
      <c r="F45" s="9" t="n">
        <v>795</v>
      </c>
      <c r="G45" s="6" t="n">
        <v>10668</v>
      </c>
      <c r="H45" t="inlineStr">
        <is>
          <t>—</t>
        </is>
      </c>
      <c r="I45" t="inlineStr">
        <is>
          <t>—</t>
        </is>
      </c>
      <c r="J45" t="inlineStr">
        <is>
          <t>—</t>
        </is>
      </c>
    </row>
    <row r="46">
      <c r="A46" s="9" t="n">
        <v>1936</v>
      </c>
      <c r="B46" s="9" t="n">
        <v>578</v>
      </c>
      <c r="C46" t="inlineStr">
        <is>
          <t>—</t>
        </is>
      </c>
      <c r="D46" s="6" t="n">
        <v>14635</v>
      </c>
      <c r="E46" s="9" t="n">
        <v>81</v>
      </c>
      <c r="F46" s="9" t="n">
        <v>901</v>
      </c>
      <c r="G46" s="6" t="n">
        <v>10267</v>
      </c>
      <c r="H46" s="9" t="n">
        <v>654</v>
      </c>
      <c r="I46" t="inlineStr">
        <is>
          <t>—</t>
        </is>
      </c>
      <c r="J46" s="6" t="n">
        <v>24902</v>
      </c>
    </row>
    <row r="47">
      <c r="A47" s="9" t="n">
        <v>1937</v>
      </c>
      <c r="B47" t="inlineStr">
        <is>
          <t>—</t>
        </is>
      </c>
      <c r="C47" t="inlineStr">
        <is>
          <t>—</t>
        </is>
      </c>
      <c r="D47" t="inlineStr">
        <is>
          <t>—</t>
        </is>
      </c>
      <c r="E47" s="9" t="n">
        <v>65</v>
      </c>
      <c r="F47" s="9" t="n">
        <v>333</v>
      </c>
      <c r="G47" t="inlineStr">
        <is>
          <t>—</t>
        </is>
      </c>
      <c r="H47" t="inlineStr">
        <is>
          <t>—</t>
        </is>
      </c>
      <c r="I47" t="inlineStr">
        <is>
          <t>—</t>
        </is>
      </c>
      <c r="J47" t="inlineStr">
        <is>
          <t>—</t>
        </is>
      </c>
    </row>
    <row r="48">
      <c r="A48" t="inlineStr">
        <is>
          <t>Printing &amp; Bookbinding:</t>
        </is>
      </c>
      <c r="B48" t="inlineStr"/>
      <c r="C48" t="inlineStr"/>
      <c r="D48" t="inlineStr"/>
      <c r="E48" t="inlineStr"/>
      <c r="F48" t="inlineStr"/>
      <c r="G48" t="inlineStr"/>
      <c r="H48" t="inlineStr"/>
      <c r="I48" t="inlineStr"/>
      <c r="J48" t="inlineStr"/>
    </row>
    <row r="49">
      <c r="A49" s="9" t="n">
        <v>1934</v>
      </c>
      <c r="B49" s="9" t="n">
        <v>275</v>
      </c>
      <c r="C49" s="6" t="n">
        <v>4859</v>
      </c>
      <c r="D49" s="6" t="n">
        <v>4798</v>
      </c>
      <c r="E49" s="9" t="n">
        <v>117</v>
      </c>
      <c r="F49" t="inlineStr">
        <is>
          <t>2,392†</t>
        </is>
      </c>
      <c r="G49" s="6" t="n">
        <v>4126</v>
      </c>
      <c r="H49" s="9" t="n">
        <v>392</v>
      </c>
      <c r="I49" s="6" t="n">
        <v>7251</v>
      </c>
      <c r="J49" s="6" t="n">
        <v>8924</v>
      </c>
    </row>
    <row r="50">
      <c r="A50" s="9" t="n">
        <v>1935</v>
      </c>
      <c r="B50" t="inlineStr">
        <is>
          <t>—</t>
        </is>
      </c>
      <c r="C50" t="inlineStr">
        <is>
          <t>—</t>
        </is>
      </c>
      <c r="D50" t="inlineStr">
        <is>
          <t>—</t>
        </is>
      </c>
      <c r="E50" s="9" t="n">
        <v>101</v>
      </c>
      <c r="F50" s="6" t="n">
        <v>1168</v>
      </c>
      <c r="G50" s="6" t="n">
        <v>6246</v>
      </c>
      <c r="H50" t="inlineStr">
        <is>
          <t>—</t>
        </is>
      </c>
      <c r="I50" t="inlineStr">
        <is>
          <t>—</t>
        </is>
      </c>
      <c r="J50" t="inlineStr">
        <is>
          <t>—</t>
        </is>
      </c>
    </row>
    <row r="51">
      <c r="A51" s="9" t="n">
        <v>1936</v>
      </c>
      <c r="B51" s="9" t="n">
        <v>302</v>
      </c>
      <c r="C51" t="inlineStr">
        <is>
          <t>—</t>
        </is>
      </c>
      <c r="D51" s="6" t="n">
        <v>7414</v>
      </c>
      <c r="E51" s="9" t="n">
        <v>134</v>
      </c>
      <c r="F51" s="6" t="n">
        <v>1464</v>
      </c>
      <c r="G51" s="6" t="n">
        <v>7602</v>
      </c>
      <c r="H51" s="9" t="n">
        <v>434</v>
      </c>
      <c r="I51" t="inlineStr">
        <is>
          <t>—</t>
        </is>
      </c>
      <c r="J51" s="6" t="n">
        <v>15016</v>
      </c>
    </row>
    <row r="52">
      <c r="A52" s="9" t="n">
        <v>1937</v>
      </c>
      <c r="B52" t="inlineStr">
        <is>
          <t>—</t>
        </is>
      </c>
      <c r="C52" t="inlineStr">
        <is>
          <t>—</t>
        </is>
      </c>
      <c r="D52" t="inlineStr">
        <is>
          <t>—</t>
        </is>
      </c>
      <c r="E52" s="9" t="n">
        <v>91</v>
      </c>
      <c r="F52" s="9" t="n">
        <v>674</v>
      </c>
      <c r="G52" t="inlineStr">
        <is>
          <t>—</t>
        </is>
      </c>
      <c r="H52" t="inlineStr">
        <is>
          <t>—</t>
        </is>
      </c>
      <c r="I52" t="inlineStr">
        <is>
          <t>—</t>
        </is>
      </c>
      <c r="J52" t="inlineStr">
        <is>
          <t>—</t>
        </is>
      </c>
    </row>
    <row r="53">
      <c r="A53" t="inlineStr">
        <is>
          <t>Miscellaneous:</t>
        </is>
      </c>
      <c r="B53" t="inlineStr"/>
      <c r="C53" t="inlineStr"/>
      <c r="D53" t="inlineStr"/>
      <c r="E53" t="inlineStr"/>
      <c r="F53" t="inlineStr"/>
      <c r="G53" t="inlineStr"/>
      <c r="H53" t="inlineStr"/>
      <c r="I53" t="inlineStr"/>
      <c r="J53" t="inlineStr"/>
    </row>
    <row r="54">
      <c r="A54" s="9" t="n">
        <v>1934</v>
      </c>
      <c r="B54" s="6" t="n">
        <v>1773</v>
      </c>
      <c r="C54" s="6" t="n">
        <v>20541</v>
      </c>
      <c r="D54" s="6" t="n">
        <v>14781</v>
      </c>
      <c r="E54" s="9" t="n">
        <v>237</v>
      </c>
      <c r="F54" t="inlineStr">
        <is>
          <t>4,792†</t>
        </is>
      </c>
      <c r="G54" t="inlineStr">
        <is>
          <t>11 613</t>
        </is>
      </c>
      <c r="H54" s="6" t="n">
        <v>2010</v>
      </c>
      <c r="I54" s="6" t="n">
        <v>25683</v>
      </c>
      <c r="J54" s="6" t="n">
        <v>28274</v>
      </c>
    </row>
    <row r="55">
      <c r="A55" s="9" t="n">
        <v>1935</v>
      </c>
      <c r="B55" t="inlineStr">
        <is>
          <t>—</t>
        </is>
      </c>
      <c r="C55" t="inlineStr">
        <is>
          <t>—</t>
        </is>
      </c>
      <c r="D55" t="inlineStr">
        <is>
          <t>—</t>
        </is>
      </c>
      <c r="E55" s="9" t="n">
        <v>141</v>
      </c>
      <c r="F55" s="6" t="n">
        <v>3671</v>
      </c>
      <c r="G55" s="6" t="n">
        <v>23510</v>
      </c>
      <c r="H55" t="inlineStr">
        <is>
          <t>—</t>
        </is>
      </c>
      <c r="I55" t="inlineStr">
        <is>
          <t>—</t>
        </is>
      </c>
      <c r="J55" t="inlineStr">
        <is>
          <t>—</t>
        </is>
      </c>
    </row>
    <row r="56">
      <c r="A56" s="9" t="n">
        <v>1936</v>
      </c>
      <c r="B56" s="6" t="n">
        <v>1407</v>
      </c>
      <c r="C56" t="inlineStr">
        <is>
          <t>—</t>
        </is>
      </c>
      <c r="D56" s="6" t="n">
        <v>42878</v>
      </c>
      <c r="E56" s="9" t="n">
        <v>133</v>
      </c>
      <c r="F56" s="6" t="n">
        <v>2060</v>
      </c>
      <c r="G56" s="6" t="n">
        <v>29440</v>
      </c>
      <c r="H56" s="6" t="n">
        <v>1540</v>
      </c>
      <c r="I56" t="inlineStr">
        <is>
          <t>—</t>
        </is>
      </c>
      <c r="J56" s="6" t="n">
        <v>72318</v>
      </c>
    </row>
    <row r="57">
      <c r="A57" s="9" t="n">
        <v>1937</v>
      </c>
      <c r="B57" t="inlineStr">
        <is>
          <t>—</t>
        </is>
      </c>
      <c r="C57" t="inlineStr">
        <is>
          <t>—</t>
        </is>
      </c>
      <c r="D57" t="inlineStr">
        <is>
          <t>—</t>
        </is>
      </c>
      <c r="E57" s="9" t="n">
        <v>103</v>
      </c>
      <c r="F57" s="6" t="n">
        <v>1119</v>
      </c>
      <c r="G57" t="inlineStr">
        <is>
          <t>—</t>
        </is>
      </c>
      <c r="H57" t="inlineStr">
        <is>
          <t>—</t>
        </is>
      </c>
      <c r="I57" t="inlineStr">
        <is>
          <t>—</t>
        </is>
      </c>
      <c r="J57" t="inlineStr">
        <is>
          <t>—</t>
        </is>
      </c>
    </row>
    <row r="58">
      <c r="A58" s="9" t="n">
        <v>1938</v>
      </c>
      <c r="B58" t="inlineStr">
        <is>
          <t>—</t>
        </is>
      </c>
      <c r="C58" t="inlineStr">
        <is>
          <t>—</t>
        </is>
      </c>
      <c r="D58" t="inlineStr">
        <is>
          <t>—</t>
        </is>
      </c>
      <c r="E58" s="9" t="n">
        <v>400</v>
      </c>
      <c r="F58" t="inlineStr">
        <is>
          <t>—</t>
        </is>
      </c>
      <c r="G58" t="inlineStr">
        <is>
          <t>—</t>
        </is>
      </c>
      <c r="H58" t="inlineStr">
        <is>
          <t>—</t>
        </is>
      </c>
      <c r="I58" t="inlineStr">
        <is>
          <t>—</t>
        </is>
      </c>
      <c r="J58" t="inlineStr">
        <is>
          <t>—</t>
        </is>
      </c>
    </row>
    <row r="59">
      <c r="A59" t="inlineStr">
        <is>
          <t>Total:</t>
        </is>
      </c>
      <c r="B59" t="inlineStr"/>
      <c r="C59" t="inlineStr"/>
      <c r="D59" t="inlineStr"/>
      <c r="E59" t="inlineStr"/>
      <c r="F59" t="inlineStr"/>
      <c r="G59" t="inlineStr"/>
      <c r="H59" t="inlineStr"/>
      <c r="I59" t="inlineStr"/>
      <c r="J59" t="inlineStr"/>
    </row>
    <row r="60">
      <c r="A60" s="9" t="n">
        <v>1934</v>
      </c>
      <c r="B60" s="6" t="n">
        <v>6469</v>
      </c>
      <c r="C60" s="6" t="n">
        <v>107997</v>
      </c>
      <c r="D60" s="6" t="n">
        <v>164287</v>
      </c>
      <c r="E60" s="6" t="n">
        <v>1790</v>
      </c>
      <c r="F60" t="inlineStr">
        <is>
          <t>63,524†</t>
        </is>
      </c>
      <c r="G60" s="6" t="n">
        <v>196362</v>
      </c>
      <c r="H60" s="6" t="n">
        <v>8286</v>
      </c>
      <c r="I60" s="6" t="n">
        <v>172979</v>
      </c>
      <c r="J60" s="6" t="n">
        <v>360649</v>
      </c>
    </row>
    <row r="61">
      <c r="A61" s="9" t="n">
        <v>1935</v>
      </c>
      <c r="B61" t="inlineStr">
        <is>
          <t>—</t>
        </is>
      </c>
      <c r="C61" t="inlineStr">
        <is>
          <t>—</t>
        </is>
      </c>
      <c r="D61" t="inlineStr">
        <is>
          <t>—</t>
        </is>
      </c>
      <c r="E61" s="6" t="n">
        <v>1398</v>
      </c>
      <c r="F61" s="6" t="n">
        <v>32273</v>
      </c>
      <c r="G61" s="6" t="n">
        <v>334956</v>
      </c>
      <c r="H61" t="inlineStr">
        <is>
          <t>—</t>
        </is>
      </c>
      <c r="I61" t="inlineStr">
        <is>
          <t>—</t>
        </is>
      </c>
      <c r="J61" t="inlineStr">
        <is>
          <t>—</t>
        </is>
      </c>
    </row>
    <row r="62">
      <c r="A62" s="9" t="n">
        <v>1936</v>
      </c>
      <c r="B62" s="6" t="n">
        <v>6570</v>
      </c>
      <c r="C62" t="inlineStr">
        <is>
          <t>—</t>
        </is>
      </c>
      <c r="D62" s="6" t="n">
        <v>335408</v>
      </c>
      <c r="E62" s="6" t="n">
        <v>1576</v>
      </c>
      <c r="F62" s="6" t="n">
        <v>32332</v>
      </c>
      <c r="G62" s="6" t="n">
        <v>470547</v>
      </c>
      <c r="H62" s="6" t="n">
        <v>8146</v>
      </c>
      <c r="I62" t="inlineStr">
        <is>
          <t>—</t>
        </is>
      </c>
      <c r="J62" s="6" t="n">
        <v>805955</v>
      </c>
    </row>
    <row r="63">
      <c r="A63" s="9" t="n">
        <v>1937</v>
      </c>
      <c r="B63" t="inlineStr">
        <is>
          <t>—</t>
        </is>
      </c>
      <c r="C63" t="inlineStr">
        <is>
          <t>—</t>
        </is>
      </c>
      <c r="D63" t="inlineStr">
        <is>
          <t>—</t>
        </is>
      </c>
      <c r="E63" s="6" t="n">
        <v>1021</v>
      </c>
      <c r="F63" s="6" t="n">
        <v>13786</v>
      </c>
      <c r="G63" t="inlineStr">
        <is>
          <t>—</t>
        </is>
      </c>
      <c r="H63" t="inlineStr">
        <is>
          <t>—</t>
        </is>
      </c>
      <c r="I63" t="inlineStr">
        <is>
          <t>—</t>
        </is>
      </c>
      <c r="J63" t="inlineStr">
        <is>
          <t>—</t>
        </is>
      </c>
    </row>
    <row r="64">
      <c r="A64" s="9" t="n">
        <v>1938</v>
      </c>
      <c r="B64" t="inlineStr">
        <is>
          <t>—</t>
        </is>
      </c>
      <c r="C64" t="inlineStr">
        <is>
          <t>—</t>
        </is>
      </c>
      <c r="D64" t="inlineStr">
        <is>
          <t>—</t>
        </is>
      </c>
      <c r="E64" s="6" t="n">
        <v>1032</v>
      </c>
      <c r="F64" s="6" t="n">
        <v>17398</v>
      </c>
      <c r="G64" t="inlineStr">
        <is>
          <t>—</t>
        </is>
      </c>
      <c r="H64" t="inlineStr">
        <is>
          <t>—</t>
        </is>
      </c>
      <c r="I64" t="inlineStr">
        <is>
          <t>—</t>
        </is>
      </c>
      <c r="J64" t="inlineStr">
        <is>
          <t>—</t>
        </is>
      </c>
    </row>
    <row r="66">
      <c r="A66" s="2" t="inlineStr">
        <is>
          <t>Footnotes</t>
        </is>
      </c>
    </row>
    <row r="67">
      <c r="A67" t="inlineStr">
        <is>
          <t>Note: Statistics for 1937 with regard to Kwantung are exclusive of the S.M.R. zone, jurisdiction over which was transferre dto Manchoukuo as a result of the abolition of extra-territoriality.</t>
        </is>
      </c>
    </row>
    <row r="68">
      <c r="A68" t="inlineStr">
        <is>
          <t>† Indicates actual number of operatives.</t>
        </is>
      </c>
    </row>
    <row r="69">
      <c r="A69" t="inlineStr">
        <is>
          <t>Factories operating less than five workers are excluded in the statistics for Kwantung.</t>
        </is>
      </c>
    </row>
    <row r="71">
      <c r="A71" s="2" t="inlineStr">
        <is>
          <t>Transcriber's notes</t>
        </is>
      </c>
    </row>
    <row r="72">
      <c r="A72" t="inlineStr">
        <is>
          <t>Table runs from p.515 (Textile–Provision) to p.516 (Lumbering &amp; Woodworking, Printing &amp; Bookbinding, Miscellaneous, Total); merged. P.516 repeats the column heads, including a stray 'Textile:' under 'Industries:'.</t>
        </is>
      </c>
    </row>
    <row r="73">
      <c r="A73" t="inlineStr">
        <is>
          <t>Lumbering &amp; Woodworking and Printing &amp; Bookbinding have rows for 1934–1937 only (no 1938 row printed).</t>
        </is>
      </c>
    </row>
    <row r="74">
      <c r="A74" t="inlineStr">
        <is>
          <t>On p.516 the three 'Total' columns are printed about half a line below the other columns (and the Production column is cramped against the gutter); matched row by row in order.</t>
        </is>
      </c>
    </row>
    <row r="75">
      <c r="A75" t="inlineStr">
        <is>
          <t>Miscellaneous 1934 Kwantung Production printed '11 613' (space, no comma).</t>
        </is>
      </c>
    </row>
    <row r="76">
      <c r="A76" t="inlineStr">
        <is>
          <t>Header 'Aggregate No. of workers (1,000)' as printed, though figures appear to be plain counts.</t>
        </is>
      </c>
    </row>
    <row r="77">
      <c r="A77" t="inlineStr">
        <is>
          <t>Reconciliation checks (Total = Manchoukuo + Kwantung; Total section = sum of industries). The Kwantung/Total columns may include industries not listed, so shortfalls in industry sums are not necessarily errors. Cells flagged below were re-read on zoomed crops; figures as printed:</t>
        </is>
      </c>
    </row>
    <row r="78">
      <c r="A78" t="inlineStr">
        <is>
          <t>Textile 1934 workers: Manchoukuo 33,389 + Kwantung 10,750† = 44,139 vs Total 44,149 — does NOT reconcile (diff +10)</t>
        </is>
      </c>
    </row>
    <row r="79">
      <c r="A79" t="inlineStr">
        <is>
          <t>Textile 1936 factories: Manchoukuo 1,066 + Kwantung 99 = 1,165 vs Total 2,065 — does NOT reconcile (diff +900)</t>
        </is>
      </c>
    </row>
    <row r="80">
      <c r="A80" t="inlineStr">
        <is>
          <t>Machine &amp; Tool 1934 production: Manchoukuo 6,727 + Kwantung 22,550 = 29,277 vs Total 19,550 — does NOT reconcile (diff -9,727)</t>
        </is>
      </c>
    </row>
    <row r="81">
      <c r="A81" t="inlineStr">
        <is>
          <t>Ceramic 1934 workers: Manchoukuo 15,522 + Kwantung 9,733† = 25,255 vs Total 26,163 — does NOT reconcile (diff +908)</t>
        </is>
      </c>
    </row>
    <row r="82">
      <c r="A82" t="inlineStr">
        <is>
          <t>Ceramic 1934 production: Manchoukuo 5,560 + Kwantung 10,569 = 16,129 vs Total 16,127 — does NOT reconcile (diff -2)</t>
        </is>
      </c>
    </row>
    <row r="83">
      <c r="A83" t="inlineStr">
        <is>
          <t>Ceramic 1936 production: Manchoukuo 11,384 + Kwantung 17,037 = 28,421 vs Total 28,420 — does NOT reconcile (diff -1)</t>
        </is>
      </c>
    </row>
    <row r="84">
      <c r="A84" t="inlineStr">
        <is>
          <t>Provision 1934 production: Manchoukuo 38,136 + Kwantung 28,862 = 66,998 vs Total 69,215 — does NOT reconcile (diff +2,217)</t>
        </is>
      </c>
    </row>
    <row r="85">
      <c r="A85" t="inlineStr">
        <is>
          <t>Lumbering &amp; Woodworking 1934 workers: Manchoukuo 6,387 + Kwantung 2,884† = 9,271 vs Total 9,171 — does NOT reconcile (diff -100)</t>
        </is>
      </c>
    </row>
    <row r="86">
      <c r="A86" t="inlineStr">
        <is>
          <t>Lumbering &amp; Woodworking 1936 factories: Manchoukuo 578 + Kwantung 81 = 659 vs Total 654 — does NOT reconcile (diff -5)</t>
        </is>
      </c>
    </row>
    <row r="87">
      <c r="A87" t="inlineStr">
        <is>
          <t>Printing &amp; Bookbinding 1936 factories: Manchoukuo 302 + Kwantung 134 = 436 vs Total 434 — does NOT reconcile (diff -2)</t>
        </is>
      </c>
    </row>
    <row r="88">
      <c r="A88" t="inlineStr">
        <is>
          <t>Miscellaneous 1934 workers: Manchoukuo 20,541 + Kwantung 4,792† = 25,333 vs Total 25,683 — does NOT reconcile (diff +350)</t>
        </is>
      </c>
    </row>
    <row r="89">
      <c r="A89" t="inlineStr">
        <is>
          <t>Miscellaneous 1934 production: Manchoukuo 14,781 + Kwantung 11 613 = 26,394 vs Total 28,274 — does NOT reconcile (diff +1,880)</t>
        </is>
      </c>
    </row>
    <row r="90">
      <c r="A90" t="inlineStr">
        <is>
          <t>Total 1934 factories: Manchoukuo 6,469 + Kwantung 1,790 = 8,259 vs Total 8,286 — does NOT reconcile (diff +27)</t>
        </is>
      </c>
    </row>
    <row r="91">
      <c r="A91" t="inlineStr">
        <is>
          <t>Total 1934 workers: Manchoukuo 107,997 + Kwantung 63,524† = 171,521 vs Total 172,979 — does NOT reconcile (diff +1,458)</t>
        </is>
      </c>
    </row>
    <row r="92">
      <c r="A92" t="inlineStr">
        <is>
          <t>Grand Total 1934 col 1: industries sum to 6,498 vs printed 6,469 — does NOT reconcile (diff -29)</t>
        </is>
      </c>
    </row>
    <row r="93">
      <c r="A93" t="inlineStr">
        <is>
          <t>Grand Total 1934 col 2: industries sum to 107,997 vs printed 107,997 — reconciles</t>
        </is>
      </c>
    </row>
    <row r="94">
      <c r="A94" t="inlineStr">
        <is>
          <t>Grand Total 1934 col 3: industries sum to 160,192 vs printed 164,287 — does NOT reconcile (diff +4,095)</t>
        </is>
      </c>
    </row>
    <row r="95">
      <c r="A95" t="inlineStr">
        <is>
          <t>Grand Total 1934 col 4: industries sum to 1,777 vs printed 1,790 — does NOT reconcile (diff +13)</t>
        </is>
      </c>
    </row>
    <row r="96">
      <c r="A96" t="inlineStr">
        <is>
          <t>Grand Total 1934 col 5: industries sum to 62,363 vs printed 63,524† — does NOT reconcile (diff +1,161)</t>
        </is>
      </c>
    </row>
    <row r="97">
      <c r="A97" t="inlineStr">
        <is>
          <t>Grand Total 1934 col 6: industries sum to 190,245 vs printed 196,362 — does NOT reconcile (diff +6,117)</t>
        </is>
      </c>
    </row>
    <row r="98">
      <c r="A98" t="inlineStr">
        <is>
          <t>Grand Total 1934 col 7: industries sum to 8,275 vs printed 8,286 — does NOT reconcile (diff +11)</t>
        </is>
      </c>
    </row>
    <row r="99">
      <c r="A99" t="inlineStr">
        <is>
          <t>Grand Total 1934 col 8: industries sum to 171,528 vs printed 172,979 — does NOT reconcile (diff +1,451)</t>
        </is>
      </c>
    </row>
    <row r="100">
      <c r="A100" t="inlineStr">
        <is>
          <t>Grand Total 1934 col 9: industries sum to 344,805 vs printed 360,649 — does NOT reconcile (diff +15,844)</t>
        </is>
      </c>
    </row>
    <row r="101">
      <c r="A101" t="inlineStr">
        <is>
          <t>Grand Total 1935 col 4: industries sum to 1,387 vs printed 1,398 — does NOT reconcile (diff +11)</t>
        </is>
      </c>
    </row>
    <row r="102">
      <c r="A102" t="inlineStr">
        <is>
          <t>Grand Total 1935 col 5: industries sum to 31,979 vs printed 32,273 — does NOT reconcile (diff +294)</t>
        </is>
      </c>
    </row>
    <row r="103">
      <c r="A103" t="inlineStr">
        <is>
          <t>Grand Total 1935 col 6: industries sum to 318,947 vs printed 334,956 — does NOT reconcile (diff +16,009)</t>
        </is>
      </c>
    </row>
    <row r="104">
      <c r="A104" t="inlineStr">
        <is>
          <t>Grand Total 1936 col 1: industries sum to 6,570 vs printed 6,570 — reconciles</t>
        </is>
      </c>
    </row>
    <row r="105">
      <c r="A105" t="inlineStr">
        <is>
          <t>Grand Total 1936 col 3: industries sum to 335,408 vs printed 335,408 — reconciles</t>
        </is>
      </c>
    </row>
    <row r="106">
      <c r="A106" t="inlineStr">
        <is>
          <t>Grand Total 1936 col 4: industries sum to 1,567 vs printed 1,576 — does NOT reconcile (diff +9)</t>
        </is>
      </c>
    </row>
    <row r="107">
      <c r="A107" t="inlineStr">
        <is>
          <t>Grand Total 1936 col 5: industries sum to 31,880 vs printed 32,332 — does NOT reconcile (diff +452)</t>
        </is>
      </c>
    </row>
    <row r="108">
      <c r="A108" t="inlineStr">
        <is>
          <t>Grand Total 1936 col 6: industries sum to 451,562 vs printed 470,547 — does NOT reconcile (diff +18,985)</t>
        </is>
      </c>
    </row>
    <row r="109">
      <c r="A109" t="inlineStr">
        <is>
          <t>Grand Total 1936 col 7: industries sum to 9,030 vs printed 8,146 — does NOT reconcile (diff -884)</t>
        </is>
      </c>
    </row>
    <row r="110">
      <c r="A110" t="inlineStr">
        <is>
          <t>Grand Total 1936 col 9: industries sum to 786,969 vs printed 805,955 — does NOT reconcile (diff +18,986)</t>
        </is>
      </c>
    </row>
    <row r="111">
      <c r="A111" t="inlineStr">
        <is>
          <t>Grand Total 1937 col 4: industries sum to 1,016 vs printed 1,021 — does NOT reconcile (diff +5)</t>
        </is>
      </c>
    </row>
    <row r="112">
      <c r="A112" t="inlineStr">
        <is>
          <t>Grand Total 1937 col 5: industries sum to 13,786 vs printed 13,786 — reconciles</t>
        </is>
      </c>
    </row>
    <row r="113">
      <c r="A113" t="inlineStr">
        <is>
          <t>Grand Total 1938 col 4: industries sum to 919 vs printed 1,032 — does NOT reconcile (diff +113)</t>
        </is>
      </c>
    </row>
    <row r="114">
      <c r="A114" t="inlineStr">
        <is>
          <t>Grand Total 1938 col 5: industries sum to 0 vs printed 17,398 — does NOT reconcile (diff +17,398)</t>
        </is>
      </c>
    </row>
  </sheetData>
  <hyperlinks>
    <hyperlink xmlns:r="http://schemas.openxmlformats.org/officeDocument/2006/relationships" ref="A4" r:id="rId1"/>
  </hyperlink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K1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Condition of Industrial Companies</t>
        </is>
      </c>
    </row>
    <row r="2">
      <c r="A2" t="inlineStr">
        <is>
          <t>Manufacturing Industry · printed pp. 516, 517</t>
        </is>
      </c>
    </row>
    <row r="3">
      <c r="A3" t="inlineStr">
        <is>
          <t>(Capital in Million Yen, A. &amp; B. represent authorized and paid-up capital respectively)</t>
        </is>
      </c>
    </row>
    <row r="4">
      <c r="A4" s="3" t="inlineStr">
        <is>
          <t>← Contents</t>
        </is>
      </c>
    </row>
    <row r="6">
      <c r="A6" s="5" t="inlineStr">
        <is>
          <t>Industry / Year</t>
        </is>
      </c>
      <c r="B6" s="5" t="inlineStr">
        <is>
          <t>Japanese Firms — No.</t>
        </is>
      </c>
      <c r="C6" s="5" t="inlineStr">
        <is>
          <t>Japanese Firms — Capital A.</t>
        </is>
      </c>
      <c r="D6" s="5" t="inlineStr">
        <is>
          <t>Japanese Firms — Capital B.</t>
        </is>
      </c>
      <c r="E6" s="5" t="inlineStr">
        <is>
          <t>Manchoukuoan Firms — No.</t>
        </is>
      </c>
      <c r="F6" s="5" t="inlineStr">
        <is>
          <t>Manchoukuoan Firms — Capital A.</t>
        </is>
      </c>
      <c r="G6" s="5" t="inlineStr">
        <is>
          <t>Manchoukuoan Firms — Capital B.</t>
        </is>
      </c>
      <c r="H6" s="5" t="inlineStr">
        <is>
          <t>Total — No.</t>
        </is>
      </c>
      <c r="I6" s="5" t="inlineStr">
        <is>
          <t>Total — Capital A.</t>
        </is>
      </c>
      <c r="J6" s="5" t="inlineStr">
        <is>
          <t>Total — Capital B.</t>
        </is>
      </c>
      <c r="K6" s="5" t="inlineStr">
        <is>
          <t>% against Total</t>
        </is>
      </c>
    </row>
    <row r="7">
      <c r="A7" t="inlineStr">
        <is>
          <t>TEXTILE:</t>
        </is>
      </c>
      <c r="B7" t="inlineStr"/>
      <c r="C7" t="inlineStr"/>
      <c r="D7" t="inlineStr"/>
      <c r="E7" t="inlineStr"/>
      <c r="F7" t="inlineStr"/>
      <c r="G7" t="inlineStr"/>
      <c r="H7" t="inlineStr"/>
      <c r="I7" t="inlineStr"/>
      <c r="J7" t="inlineStr"/>
      <c r="K7" t="inlineStr"/>
    </row>
    <row r="8">
      <c r="A8" s="9" t="n">
        <v>1937</v>
      </c>
      <c r="B8" s="9" t="n">
        <v>10</v>
      </c>
      <c r="C8" s="8" t="n">
        <v>9.5</v>
      </c>
      <c r="D8" s="8" t="n">
        <v>4.4</v>
      </c>
      <c r="E8" s="9" t="n">
        <v>37</v>
      </c>
      <c r="F8" s="8" t="n">
        <v>51.8</v>
      </c>
      <c r="G8" s="8" t="n">
        <v>31.7</v>
      </c>
      <c r="H8" s="9" t="n">
        <v>47</v>
      </c>
      <c r="I8" s="8" t="n">
        <v>61.3</v>
      </c>
      <c r="J8" s="8" t="n">
        <v>36.1</v>
      </c>
      <c r="K8" s="11" t="n">
        <v>4.08</v>
      </c>
    </row>
    <row r="9">
      <c r="A9" s="9" t="n">
        <v>1938</v>
      </c>
      <c r="B9" s="9" t="n">
        <v>9</v>
      </c>
      <c r="C9" s="8" t="n">
        <v>9.4</v>
      </c>
      <c r="D9" s="8" t="n">
        <v>4.3</v>
      </c>
      <c r="E9" s="9" t="n">
        <v>51</v>
      </c>
      <c r="F9" s="8" t="n">
        <v>39.2</v>
      </c>
      <c r="G9" s="8" t="n">
        <v>42.5</v>
      </c>
      <c r="H9" s="9" t="n">
        <v>60</v>
      </c>
      <c r="I9" s="8" t="n">
        <v>88.5</v>
      </c>
      <c r="J9" s="8" t="n">
        <v>46.8</v>
      </c>
      <c r="K9" s="11" t="n">
        <v>3.58</v>
      </c>
    </row>
    <row r="10">
      <c r="A10" s="9" t="n">
        <v>1939</v>
      </c>
      <c r="B10" s="9" t="n">
        <v>11</v>
      </c>
      <c r="C10" s="8" t="n">
        <v>9.699999999999999</v>
      </c>
      <c r="D10" s="8" t="n">
        <v>6.4</v>
      </c>
      <c r="E10" s="9" t="n">
        <v>61</v>
      </c>
      <c r="F10" s="8" t="n">
        <v>87.59999999999999</v>
      </c>
      <c r="G10" s="8" t="n">
        <v>48.3</v>
      </c>
      <c r="H10" s="9" t="n">
        <v>72</v>
      </c>
      <c r="I10" s="8" t="n">
        <v>97.3</v>
      </c>
      <c r="J10" s="8" t="n">
        <v>54.7</v>
      </c>
      <c r="K10" s="11" t="n">
        <v>3.26</v>
      </c>
    </row>
    <row r="11">
      <c r="A11" s="9" t="n">
        <v>1940</v>
      </c>
      <c r="B11" s="9" t="n">
        <v>13</v>
      </c>
      <c r="C11" s="8" t="n">
        <v>9.9</v>
      </c>
      <c r="D11" s="8" t="n">
        <v>7.3</v>
      </c>
      <c r="E11" s="9" t="n">
        <v>69</v>
      </c>
      <c r="F11" s="8" t="n">
        <v>119.7</v>
      </c>
      <c r="G11" s="8" t="n">
        <v>63.6</v>
      </c>
      <c r="H11" s="9" t="n">
        <v>82</v>
      </c>
      <c r="I11" s="8" t="n">
        <v>129.7</v>
      </c>
      <c r="J11" s="8" t="n">
        <v>70.90000000000001</v>
      </c>
      <c r="K11" s="11" t="n">
        <v>2.95</v>
      </c>
    </row>
    <row r="12">
      <c r="A12" t="inlineStr">
        <is>
          <t>CHEMICAL:</t>
        </is>
      </c>
      <c r="B12" t="inlineStr"/>
      <c r="C12" t="inlineStr"/>
      <c r="D12" t="inlineStr"/>
      <c r="E12" t="inlineStr"/>
      <c r="F12" t="inlineStr"/>
      <c r="G12" t="inlineStr"/>
      <c r="H12" t="inlineStr"/>
      <c r="I12" t="inlineStr"/>
      <c r="J12" t="inlineStr"/>
      <c r="K12" t="inlineStr"/>
    </row>
    <row r="13">
      <c r="A13" s="9" t="n">
        <v>1937</v>
      </c>
      <c r="B13" s="9" t="n">
        <v>47</v>
      </c>
      <c r="C13" s="8" t="n">
        <v>48.5</v>
      </c>
      <c r="D13" s="8" t="n">
        <v>33.6</v>
      </c>
      <c r="E13" s="9" t="n">
        <v>64</v>
      </c>
      <c r="F13" s="8" t="n">
        <v>140</v>
      </c>
      <c r="G13" s="8" t="n">
        <v>68.09999999999999</v>
      </c>
      <c r="H13" s="9" t="n">
        <v>111</v>
      </c>
      <c r="I13" s="8" t="n">
        <v>188.5</v>
      </c>
      <c r="J13" s="8" t="n">
        <v>101.7</v>
      </c>
      <c r="K13" s="11" t="n">
        <v>11.47</v>
      </c>
    </row>
    <row r="14">
      <c r="A14" s="9" t="n">
        <v>1938</v>
      </c>
      <c r="B14" s="9" t="n">
        <v>51</v>
      </c>
      <c r="C14" s="8" t="n">
        <v>48.9</v>
      </c>
      <c r="D14" s="8" t="n">
        <v>33.9</v>
      </c>
      <c r="E14" s="9" t="n">
        <v>91</v>
      </c>
      <c r="F14" s="8" t="n">
        <v>215</v>
      </c>
      <c r="G14" s="8" t="n">
        <v>97.2</v>
      </c>
      <c r="H14" s="9" t="n">
        <v>142</v>
      </c>
      <c r="I14" s="8" t="n">
        <v>263.9</v>
      </c>
      <c r="J14" s="8" t="n">
        <v>131.1</v>
      </c>
      <c r="K14" s="11" t="n">
        <v>10.03</v>
      </c>
    </row>
    <row r="15">
      <c r="A15" s="9" t="n">
        <v>1939</v>
      </c>
      <c r="B15" s="9" t="n">
        <v>52</v>
      </c>
      <c r="C15" s="8" t="n">
        <v>53</v>
      </c>
      <c r="D15" s="8" t="n">
        <v>36</v>
      </c>
      <c r="E15" s="9" t="n">
        <v>113</v>
      </c>
      <c r="F15" s="8" t="n">
        <v>320.8</v>
      </c>
      <c r="G15" s="8" t="n">
        <v>131.2</v>
      </c>
      <c r="H15" s="9" t="n">
        <v>165</v>
      </c>
      <c r="I15" s="8" t="n">
        <v>373.9</v>
      </c>
      <c r="J15" s="8" t="n">
        <v>167.3</v>
      </c>
      <c r="K15" s="11" t="n">
        <v>9.949999999999999</v>
      </c>
    </row>
    <row r="16">
      <c r="A16" s="9" t="n">
        <v>1940</v>
      </c>
      <c r="B16" s="9" t="n">
        <v>53</v>
      </c>
      <c r="C16" s="8" t="n">
        <v>53.5</v>
      </c>
      <c r="D16" s="8" t="n">
        <v>38.1</v>
      </c>
      <c r="E16" s="9" t="n">
        <v>131</v>
      </c>
      <c r="F16" s="8" t="n">
        <v>462</v>
      </c>
      <c r="G16" s="8" t="n">
        <v>214.4</v>
      </c>
      <c r="H16" s="9" t="n">
        <v>184</v>
      </c>
      <c r="I16" s="8" t="n">
        <v>515.5</v>
      </c>
      <c r="J16" s="8" t="n">
        <v>262.5</v>
      </c>
      <c r="K16" s="11" t="n">
        <v>10.51</v>
      </c>
    </row>
    <row r="17">
      <c r="A17" t="inlineStr">
        <is>
          <t>METALLIC:</t>
        </is>
      </c>
      <c r="B17" t="inlineStr"/>
      <c r="C17" t="inlineStr"/>
      <c r="D17" t="inlineStr"/>
      <c r="E17" t="inlineStr"/>
      <c r="F17" t="inlineStr"/>
      <c r="G17" t="inlineStr"/>
      <c r="H17" t="inlineStr"/>
      <c r="I17" t="inlineStr"/>
      <c r="J17" t="inlineStr"/>
      <c r="K17" t="inlineStr"/>
    </row>
    <row r="18">
      <c r="A18" s="9" t="n">
        <v>1937</v>
      </c>
      <c r="B18" s="9" t="n">
        <v>47</v>
      </c>
      <c r="C18" s="8" t="n">
        <v>19.4</v>
      </c>
      <c r="D18" s="8" t="n">
        <v>9.9</v>
      </c>
      <c r="E18" s="9" t="n">
        <v>53</v>
      </c>
      <c r="F18" s="8" t="n">
        <v>213.1</v>
      </c>
      <c r="G18" s="8" t="n">
        <v>157.6</v>
      </c>
      <c r="H18" s="9" t="n">
        <v>100</v>
      </c>
      <c r="I18" s="8" t="n">
        <v>232.5</v>
      </c>
      <c r="J18" s="8" t="n">
        <v>167.5</v>
      </c>
      <c r="K18" s="11" t="n">
        <v>18.88</v>
      </c>
    </row>
    <row r="19">
      <c r="A19" s="9" t="n">
        <v>1938</v>
      </c>
      <c r="B19" s="9" t="n">
        <v>51</v>
      </c>
      <c r="C19" s="8" t="n">
        <v>25</v>
      </c>
      <c r="D19" s="8" t="n">
        <v>13.7</v>
      </c>
      <c r="E19" s="9" t="n">
        <v>76</v>
      </c>
      <c r="F19" s="8" t="n">
        <v>259.6</v>
      </c>
      <c r="G19" s="8" t="n">
        <v>208.5</v>
      </c>
      <c r="H19" s="9" t="n">
        <v>127</v>
      </c>
      <c r="I19" s="8" t="n">
        <v>284.6</v>
      </c>
      <c r="J19" s="8" t="n">
        <v>222.1</v>
      </c>
      <c r="K19" s="11" t="n">
        <v>17</v>
      </c>
    </row>
    <row r="20">
      <c r="A20" s="9" t="n">
        <v>1939</v>
      </c>
      <c r="B20" s="9" t="n">
        <v>60</v>
      </c>
      <c r="C20" s="8" t="n">
        <v>46.9</v>
      </c>
      <c r="D20" s="8" t="n">
        <v>21.5</v>
      </c>
      <c r="E20" s="9" t="n">
        <v>106</v>
      </c>
      <c r="F20" s="8" t="n">
        <v>507.2</v>
      </c>
      <c r="G20" s="8" t="n">
        <v>394.8</v>
      </c>
      <c r="H20" s="9" t="n">
        <v>166</v>
      </c>
      <c r="I20" s="8" t="n">
        <v>554.1</v>
      </c>
      <c r="J20" s="8" t="n">
        <v>416.3</v>
      </c>
      <c r="K20" s="11" t="n">
        <v>24.76</v>
      </c>
    </row>
    <row r="21">
      <c r="A21" s="9" t="n">
        <v>1940</v>
      </c>
      <c r="B21" s="9" t="n">
        <v>63</v>
      </c>
      <c r="C21" s="8" t="n">
        <v>50.5</v>
      </c>
      <c r="D21" s="8" t="n">
        <v>40.3</v>
      </c>
      <c r="E21" s="9" t="n">
        <v>159</v>
      </c>
      <c r="F21" s="8" t="n">
        <v>621</v>
      </c>
      <c r="G21" s="8" t="n">
        <v>498.6</v>
      </c>
      <c r="H21" s="9" t="n">
        <v>222</v>
      </c>
      <c r="I21" s="8" t="n">
        <v>671.5</v>
      </c>
      <c r="J21" s="8" t="n">
        <v>538.9</v>
      </c>
      <c r="K21" s="11" t="n">
        <v>22.43</v>
      </c>
    </row>
    <row r="22">
      <c r="A22" t="inlineStr">
        <is>
          <t>LUMBERING:</t>
        </is>
      </c>
      <c r="B22" t="inlineStr"/>
      <c r="C22" t="inlineStr"/>
      <c r="D22" t="inlineStr"/>
      <c r="E22" t="inlineStr"/>
      <c r="F22" t="inlineStr"/>
      <c r="G22" t="inlineStr"/>
      <c r="H22" t="inlineStr"/>
      <c r="I22" t="inlineStr"/>
      <c r="J22" t="inlineStr"/>
      <c r="K22" t="inlineStr"/>
    </row>
    <row r="23">
      <c r="A23" s="9" t="n">
        <v>1937</v>
      </c>
      <c r="B23" s="9" t="n">
        <v>19</v>
      </c>
      <c r="C23" s="8" t="n">
        <v>8.199999999999999</v>
      </c>
      <c r="D23" s="8" t="n">
        <v>3.4</v>
      </c>
      <c r="E23" s="9" t="n">
        <v>61</v>
      </c>
      <c r="F23" s="8" t="n">
        <v>14.5</v>
      </c>
      <c r="G23" s="8" t="n">
        <v>8.5</v>
      </c>
      <c r="H23" s="9" t="n">
        <v>80</v>
      </c>
      <c r="I23" s="8" t="n">
        <v>22.7</v>
      </c>
      <c r="J23" s="8" t="n">
        <v>11.9</v>
      </c>
      <c r="K23" s="11" t="n">
        <v>1.34</v>
      </c>
    </row>
    <row r="24">
      <c r="A24" s="9" t="n">
        <v>1938</v>
      </c>
      <c r="B24" s="9" t="n">
        <v>21</v>
      </c>
      <c r="C24" s="8" t="n">
        <v>8.300000000000001</v>
      </c>
      <c r="D24" s="8" t="n">
        <v>3.5</v>
      </c>
      <c r="E24" s="9" t="n">
        <v>72</v>
      </c>
      <c r="F24" s="8" t="n">
        <v>21.9</v>
      </c>
      <c r="G24" s="8" t="n">
        <v>12.2</v>
      </c>
      <c r="H24" s="9" t="n">
        <v>93</v>
      </c>
      <c r="I24" s="8" t="n">
        <v>30.3</v>
      </c>
      <c r="J24" s="8" t="n">
        <v>15.8</v>
      </c>
      <c r="K24" s="11" t="n">
        <v>1.21</v>
      </c>
    </row>
    <row r="25">
      <c r="A25" s="9" t="n">
        <v>1939</v>
      </c>
      <c r="B25" s="9" t="n">
        <v>24</v>
      </c>
      <c r="C25" s="8" t="n">
        <v>9.199999999999999</v>
      </c>
      <c r="D25" s="8" t="n">
        <v>4.5</v>
      </c>
      <c r="E25" s="9" t="n">
        <v>80</v>
      </c>
      <c r="F25" s="8" t="n">
        <v>21.7</v>
      </c>
      <c r="G25" s="8" t="n">
        <v>17.8</v>
      </c>
      <c r="H25" s="9" t="n">
        <v>104</v>
      </c>
      <c r="I25" s="8" t="n">
        <v>30.9</v>
      </c>
      <c r="J25" s="8" t="n">
        <v>22.3</v>
      </c>
      <c r="K25" s="11" t="n">
        <v>1.33</v>
      </c>
    </row>
    <row r="26">
      <c r="A26" s="9" t="n">
        <v>1940</v>
      </c>
      <c r="B26" s="9" t="n">
        <v>24</v>
      </c>
      <c r="C26" s="8" t="n">
        <v>9.5</v>
      </c>
      <c r="D26" s="8" t="n">
        <v>5</v>
      </c>
      <c r="E26" s="9" t="n">
        <v>100</v>
      </c>
      <c r="F26" s="8" t="n">
        <v>37</v>
      </c>
      <c r="G26" s="8" t="n">
        <v>30.3</v>
      </c>
      <c r="H26" s="9" t="n">
        <v>124</v>
      </c>
      <c r="I26" s="8" t="n">
        <v>46.6</v>
      </c>
      <c r="J26" s="8" t="n">
        <v>35.3</v>
      </c>
      <c r="K26" s="11" t="n">
        <v>1.47</v>
      </c>
    </row>
    <row r="27">
      <c r="A27" t="inlineStr">
        <is>
          <t>PROVISION:</t>
        </is>
      </c>
      <c r="B27" t="inlineStr"/>
      <c r="C27" t="inlineStr"/>
      <c r="D27" t="inlineStr"/>
      <c r="E27" t="inlineStr"/>
      <c r="F27" t="inlineStr"/>
      <c r="G27" t="inlineStr"/>
      <c r="H27" t="inlineStr"/>
      <c r="I27" t="inlineStr"/>
      <c r="J27" t="inlineStr"/>
      <c r="K27" t="inlineStr"/>
    </row>
    <row r="28">
      <c r="A28" s="9" t="n">
        <v>1937</v>
      </c>
      <c r="B28" s="9" t="n">
        <v>36</v>
      </c>
      <c r="C28" s="8" t="n">
        <v>12.1</v>
      </c>
      <c r="D28" s="8" t="n">
        <v>5.7</v>
      </c>
      <c r="E28" s="9" t="n">
        <v>146</v>
      </c>
      <c r="F28" s="8" t="n">
        <v>76.59999999999999</v>
      </c>
      <c r="G28" s="8" t="n">
        <v>48</v>
      </c>
      <c r="H28" s="9" t="n">
        <v>182</v>
      </c>
      <c r="I28" s="8" t="n">
        <v>88.7</v>
      </c>
      <c r="J28" s="8" t="n">
        <v>53.7</v>
      </c>
      <c r="K28" s="11" t="n">
        <v>6.06</v>
      </c>
    </row>
    <row r="29">
      <c r="A29" s="9" t="n">
        <v>1938</v>
      </c>
      <c r="B29" s="9" t="n">
        <v>41</v>
      </c>
      <c r="C29" s="8" t="n">
        <v>12.1</v>
      </c>
      <c r="D29" s="8" t="n">
        <v>5.8</v>
      </c>
      <c r="E29" s="9" t="n">
        <v>180</v>
      </c>
      <c r="F29" s="8" t="n">
        <v>65.5</v>
      </c>
      <c r="G29" s="8" t="n">
        <v>44.3</v>
      </c>
      <c r="H29" s="9" t="n">
        <v>221</v>
      </c>
      <c r="I29" s="8" t="n">
        <v>77.59999999999999</v>
      </c>
      <c r="J29" s="8" t="n">
        <v>50.2</v>
      </c>
      <c r="K29" s="11" t="n">
        <v>3.89</v>
      </c>
    </row>
    <row r="30">
      <c r="A30" s="9" t="n">
        <v>1939</v>
      </c>
      <c r="B30" s="9" t="n">
        <v>43</v>
      </c>
      <c r="C30" s="8" t="n">
        <v>16.7</v>
      </c>
      <c r="D30" s="8" t="n">
        <v>7.4</v>
      </c>
      <c r="E30" s="9" t="n">
        <v>199</v>
      </c>
      <c r="F30" s="8" t="n">
        <v>71</v>
      </c>
      <c r="G30" s="8" t="n">
        <v>52.3</v>
      </c>
      <c r="H30" s="9" t="n">
        <v>242</v>
      </c>
      <c r="I30" s="8" t="n">
        <v>87.7</v>
      </c>
      <c r="J30" s="8" t="n">
        <v>59.7</v>
      </c>
      <c r="K30" s="11" t="n">
        <v>3.56</v>
      </c>
    </row>
    <row r="31">
      <c r="A31" s="9" t="n">
        <v>1940</v>
      </c>
      <c r="B31" s="9" t="n">
        <v>46</v>
      </c>
      <c r="C31" s="8" t="n">
        <v>18.2</v>
      </c>
      <c r="D31" s="8" t="n">
        <v>8</v>
      </c>
      <c r="E31" s="9" t="n">
        <v>223</v>
      </c>
      <c r="F31" s="8" t="n">
        <v>75.5</v>
      </c>
      <c r="G31" s="8" t="n">
        <v>57.6</v>
      </c>
      <c r="H31" s="9" t="n">
        <v>269</v>
      </c>
      <c r="I31" s="8" t="n">
        <v>93.59999999999999</v>
      </c>
      <c r="J31" s="8" t="n">
        <v>65.59999999999999</v>
      </c>
      <c r="K31" s="11" t="n">
        <v>2.73</v>
      </c>
    </row>
    <row r="32">
      <c r="A32" t="inlineStr">
        <is>
          <t>MISCELLANEOUS:</t>
        </is>
      </c>
      <c r="B32" t="inlineStr"/>
      <c r="C32" t="inlineStr"/>
      <c r="D32" t="inlineStr"/>
      <c r="E32" t="inlineStr"/>
      <c r="F32" t="inlineStr"/>
      <c r="G32" t="inlineStr"/>
      <c r="H32" t="inlineStr"/>
      <c r="I32" t="inlineStr"/>
      <c r="J32" t="inlineStr"/>
      <c r="K32" t="inlineStr"/>
    </row>
    <row r="33">
      <c r="A33" s="9" t="n">
        <v>1937</v>
      </c>
      <c r="B33" s="9" t="n">
        <v>42</v>
      </c>
      <c r="C33" s="8" t="n">
        <v>3.3</v>
      </c>
      <c r="D33" s="8" t="n">
        <v>1.8</v>
      </c>
      <c r="E33" s="9" t="n">
        <v>73</v>
      </c>
      <c r="F33" s="8" t="n">
        <v>107.8</v>
      </c>
      <c r="G33" s="8" t="n">
        <v>91.3</v>
      </c>
      <c r="H33" s="9" t="n">
        <v>115</v>
      </c>
      <c r="I33" s="8" t="n">
        <v>101.4</v>
      </c>
      <c r="J33" s="8" t="n">
        <v>93.09999999999999</v>
      </c>
      <c r="K33" s="11" t="n">
        <v>10.5</v>
      </c>
    </row>
    <row r="34">
      <c r="A34" s="9" t="n">
        <v>1938</v>
      </c>
      <c r="B34" s="9" t="n">
        <v>43</v>
      </c>
      <c r="C34" s="8" t="n">
        <v>3.4</v>
      </c>
      <c r="D34" s="8" t="n">
        <v>1.9</v>
      </c>
      <c r="E34" s="9" t="n">
        <v>78</v>
      </c>
      <c r="F34" s="8" t="n">
        <v>113</v>
      </c>
      <c r="G34" s="8" t="n">
        <v>93.90000000000001</v>
      </c>
      <c r="H34" s="9" t="n">
        <v>121</v>
      </c>
      <c r="I34" s="8" t="n">
        <v>116.3</v>
      </c>
      <c r="J34" s="8" t="n">
        <v>95.8</v>
      </c>
      <c r="K34" s="11" t="n">
        <v>7.33</v>
      </c>
    </row>
    <row r="35">
      <c r="A35" s="9" t="n">
        <v>1939</v>
      </c>
      <c r="B35" s="9" t="n">
        <v>43</v>
      </c>
      <c r="C35" s="8" t="n">
        <v>3.8</v>
      </c>
      <c r="D35" s="8" t="n">
        <v>2.5</v>
      </c>
      <c r="E35" s="9" t="n">
        <v>95</v>
      </c>
      <c r="F35" s="8" t="n">
        <v>127.6</v>
      </c>
      <c r="G35" s="8" t="n">
        <v>99.7</v>
      </c>
      <c r="H35" s="9" t="n">
        <v>138</v>
      </c>
      <c r="I35" s="8" t="n">
        <v>131.5</v>
      </c>
      <c r="J35" s="8" t="n">
        <v>102.2</v>
      </c>
      <c r="K35" s="11" t="n">
        <v>6.08</v>
      </c>
    </row>
    <row r="36">
      <c r="A36" s="9" t="n">
        <v>1940</v>
      </c>
      <c r="B36" s="9" t="n">
        <v>43</v>
      </c>
      <c r="C36" s="8" t="n">
        <v>6</v>
      </c>
      <c r="D36" s="8" t="n">
        <v>4.7</v>
      </c>
      <c r="E36" s="9" t="n">
        <v>118</v>
      </c>
      <c r="F36" s="8" t="n">
        <v>137.3</v>
      </c>
      <c r="G36" s="8" t="n">
        <v>107.1</v>
      </c>
      <c r="H36" s="9" t="n">
        <v>161</v>
      </c>
      <c r="I36" s="8" t="n">
        <v>143.3</v>
      </c>
      <c r="J36" s="8" t="n">
        <v>118.8</v>
      </c>
      <c r="K36" s="11" t="n">
        <v>4.65</v>
      </c>
    </row>
    <row r="37">
      <c r="A37" t="inlineStr">
        <is>
          <t>MINING &amp; CERAMIC:</t>
        </is>
      </c>
      <c r="B37" t="inlineStr"/>
      <c r="C37" t="inlineStr"/>
      <c r="D37" t="inlineStr"/>
      <c r="E37" t="inlineStr"/>
      <c r="F37" t="inlineStr"/>
      <c r="G37" t="inlineStr"/>
      <c r="H37" t="inlineStr"/>
      <c r="I37" t="inlineStr"/>
      <c r="J37" t="inlineStr"/>
      <c r="K37" t="inlineStr"/>
    </row>
    <row r="38">
      <c r="A38" s="9" t="n">
        <v>1937</v>
      </c>
      <c r="B38" s="9" t="n">
        <v>46</v>
      </c>
      <c r="C38" s="8" t="n">
        <v>11.7</v>
      </c>
      <c r="D38" s="8" t="n">
        <v>6.2</v>
      </c>
      <c r="E38" s="9" t="n">
        <v>113</v>
      </c>
      <c r="F38" s="8" t="n">
        <v>380.2</v>
      </c>
      <c r="G38" s="8" t="n">
        <v>286.3</v>
      </c>
      <c r="H38" s="9" t="n">
        <v>159</v>
      </c>
      <c r="I38" s="8" t="n">
        <v>391.9</v>
      </c>
      <c r="J38" s="8" t="n">
        <v>292.6</v>
      </c>
      <c r="K38" s="11" t="n">
        <v>32.98</v>
      </c>
    </row>
    <row r="39">
      <c r="A39" s="9" t="n">
        <v>1938</v>
      </c>
      <c r="B39" s="9" t="n">
        <v>49</v>
      </c>
      <c r="C39" s="8" t="n">
        <v>12.2</v>
      </c>
      <c r="D39" s="8" t="n">
        <v>6.6</v>
      </c>
      <c r="E39" s="9" t="n">
        <v>136</v>
      </c>
      <c r="F39" s="8" t="n">
        <v>720.2</v>
      </c>
      <c r="G39" s="8" t="n">
        <v>594.7</v>
      </c>
      <c r="H39" s="9" t="n">
        <v>185</v>
      </c>
      <c r="I39" s="8" t="n">
        <v>732.4</v>
      </c>
      <c r="J39" s="8" t="n">
        <v>601.3</v>
      </c>
      <c r="K39" s="11" t="n">
        <v>46.01</v>
      </c>
    </row>
    <row r="40">
      <c r="A40" s="9" t="n">
        <v>1939</v>
      </c>
      <c r="B40" s="9" t="n">
        <v>53</v>
      </c>
      <c r="C40" s="8" t="n">
        <v>14</v>
      </c>
      <c r="D40" s="8" t="n">
        <v>8</v>
      </c>
      <c r="E40" s="9" t="n">
        <v>157</v>
      </c>
      <c r="F40" s="8" t="n">
        <v>833.8</v>
      </c>
      <c r="G40" s="8" t="n">
        <v>700.5</v>
      </c>
      <c r="H40" s="9" t="n">
        <v>210</v>
      </c>
      <c r="I40" s="8" t="n">
        <v>847.8</v>
      </c>
      <c r="J40" s="8" t="n">
        <v>708.5</v>
      </c>
      <c r="K40" s="11" t="n">
        <v>42.14</v>
      </c>
    </row>
    <row r="41">
      <c r="A41" s="9" t="n">
        <v>1940</v>
      </c>
      <c r="B41" s="9" t="n">
        <v>54</v>
      </c>
      <c r="C41" s="8" t="n">
        <v>16.6</v>
      </c>
      <c r="D41" s="8" t="n">
        <v>9.699999999999999</v>
      </c>
      <c r="E41" s="9" t="n">
        <v>186</v>
      </c>
      <c r="F41" s="7" t="n">
        <v>1309.3</v>
      </c>
      <c r="G41" s="7" t="n">
        <v>1119.1</v>
      </c>
      <c r="H41" s="9" t="n">
        <v>240</v>
      </c>
      <c r="I41" s="7" t="n">
        <v>1326</v>
      </c>
      <c r="J41" s="7" t="n">
        <v>1128.9</v>
      </c>
      <c r="K41" s="11" t="n">
        <v>46.98</v>
      </c>
    </row>
    <row r="42">
      <c r="A42" t="inlineStr">
        <is>
          <t>ELECTRIC &amp; GAS:</t>
        </is>
      </c>
      <c r="B42" t="inlineStr"/>
      <c r="C42" t="inlineStr"/>
      <c r="D42" t="inlineStr"/>
      <c r="E42" t="inlineStr"/>
      <c r="F42" t="inlineStr"/>
      <c r="G42" t="inlineStr"/>
      <c r="H42" t="inlineStr"/>
      <c r="I42" t="inlineStr"/>
      <c r="J42" t="inlineStr"/>
      <c r="K42" t="inlineStr"/>
    </row>
    <row r="43">
      <c r="A43" s="9" t="n">
        <v>1937</v>
      </c>
      <c r="B43" s="9" t="n">
        <v>2</v>
      </c>
      <c r="C43" s="8" t="n">
        <v>15</v>
      </c>
      <c r="D43" s="8" t="n">
        <v>11.3</v>
      </c>
      <c r="E43" s="9" t="n">
        <v>26</v>
      </c>
      <c r="F43" s="8" t="n">
        <v>174.8</v>
      </c>
      <c r="G43" s="8" t="n">
        <v>119.3</v>
      </c>
      <c r="H43" s="9" t="n">
        <v>28</v>
      </c>
      <c r="I43" s="8" t="n">
        <v>189.8</v>
      </c>
      <c r="J43" s="8" t="n">
        <v>130.5</v>
      </c>
      <c r="K43" s="11" t="n">
        <v>14.71</v>
      </c>
    </row>
    <row r="44">
      <c r="A44" s="9" t="n">
        <v>1938</v>
      </c>
      <c r="B44" s="9" t="n">
        <v>2</v>
      </c>
      <c r="C44" s="8" t="n">
        <v>15</v>
      </c>
      <c r="D44" s="8" t="n">
        <v>11.3</v>
      </c>
      <c r="E44" s="9" t="n">
        <v>25</v>
      </c>
      <c r="F44" s="8" t="n">
        <v>175.5</v>
      </c>
      <c r="G44" s="8" t="n">
        <v>132.7</v>
      </c>
      <c r="H44" s="9" t="n">
        <v>27</v>
      </c>
      <c r="I44" s="8" t="n">
        <v>190.5</v>
      </c>
      <c r="J44" s="8" t="n">
        <v>143.9</v>
      </c>
      <c r="K44" s="11" t="n">
        <v>11.01</v>
      </c>
    </row>
    <row r="45">
      <c r="A45" s="9" t="n">
        <v>1939</v>
      </c>
      <c r="B45" s="9" t="n">
        <v>2</v>
      </c>
      <c r="C45" s="8" t="n">
        <v>40</v>
      </c>
      <c r="D45" s="8" t="n">
        <v>17.5</v>
      </c>
      <c r="E45" s="9" t="n">
        <v>24</v>
      </c>
      <c r="F45" s="8" t="n">
        <v>175.4</v>
      </c>
      <c r="G45" s="8" t="n">
        <v>132.5</v>
      </c>
      <c r="H45" s="9" t="n">
        <v>26</v>
      </c>
      <c r="I45" s="8" t="n">
        <v>215.4</v>
      </c>
      <c r="J45" s="8" t="n">
        <v>150</v>
      </c>
      <c r="K45" s="11" t="n">
        <v>8.93</v>
      </c>
    </row>
    <row r="46">
      <c r="A46" s="9" t="n">
        <v>1940</v>
      </c>
      <c r="B46" s="9" t="n">
        <v>3</v>
      </c>
      <c r="C46" s="8" t="n">
        <v>40.1</v>
      </c>
      <c r="D46" s="8" t="n">
        <v>17.6</v>
      </c>
      <c r="E46" s="9" t="n">
        <v>21</v>
      </c>
      <c r="F46" s="8" t="n">
        <v>174.4</v>
      </c>
      <c r="G46" s="11" t="n">
        <v>18.13</v>
      </c>
      <c r="H46" s="9" t="n">
        <v>24</v>
      </c>
      <c r="I46" s="8" t="n">
        <v>214.4</v>
      </c>
      <c r="J46" s="8" t="n">
        <v>198.8</v>
      </c>
      <c r="K46" s="11" t="n">
        <v>8.279999999999999</v>
      </c>
    </row>
    <row r="47">
      <c r="A47" t="inlineStr">
        <is>
          <t>TOTAL:</t>
        </is>
      </c>
      <c r="B47" t="inlineStr"/>
      <c r="C47" t="inlineStr"/>
      <c r="D47" t="inlineStr"/>
      <c r="E47" t="inlineStr"/>
      <c r="F47" t="inlineStr"/>
      <c r="G47" t="inlineStr"/>
      <c r="H47" t="inlineStr"/>
      <c r="I47" t="inlineStr"/>
      <c r="J47" t="inlineStr"/>
      <c r="K47" t="inlineStr"/>
    </row>
    <row r="48">
      <c r="A48" s="9" t="n">
        <v>1937</v>
      </c>
      <c r="B48" s="9" t="n">
        <v>249</v>
      </c>
      <c r="C48" s="8" t="n">
        <v>127.6</v>
      </c>
      <c r="D48" s="8" t="n">
        <v>76.3</v>
      </c>
      <c r="E48" s="9" t="n">
        <v>573</v>
      </c>
      <c r="F48" s="7" t="n">
        <v>1158</v>
      </c>
      <c r="G48" s="8" t="n">
        <v>810.7</v>
      </c>
      <c r="H48" s="9" t="n">
        <v>822</v>
      </c>
      <c r="I48" s="7" t="n">
        <v>1285.7</v>
      </c>
      <c r="J48" s="8" t="n">
        <v>887.1</v>
      </c>
      <c r="K48" s="11" t="n">
        <v>100</v>
      </c>
    </row>
    <row r="49">
      <c r="A49" s="9" t="n">
        <v>1938</v>
      </c>
      <c r="B49" s="9" t="n">
        <v>267</v>
      </c>
      <c r="C49" s="8" t="n">
        <v>134.2</v>
      </c>
      <c r="D49" s="8" t="n">
        <v>80.90000000000001</v>
      </c>
      <c r="E49" s="9" t="n">
        <v>709</v>
      </c>
      <c r="F49" s="7" t="n">
        <v>1649.9</v>
      </c>
      <c r="G49" s="7" t="n">
        <v>1225.9</v>
      </c>
      <c r="H49" s="9" t="n">
        <v>976</v>
      </c>
      <c r="I49" s="7" t="n">
        <v>1784.2</v>
      </c>
      <c r="J49" s="7" t="n">
        <v>1306.9</v>
      </c>
      <c r="K49" s="11" t="n">
        <v>100</v>
      </c>
    </row>
    <row r="50">
      <c r="A50" s="9" t="n">
        <v>1939</v>
      </c>
      <c r="B50" s="9" t="n">
        <v>288</v>
      </c>
      <c r="C50" s="8" t="n">
        <v>193.4</v>
      </c>
      <c r="D50" s="8" t="n">
        <v>103.8</v>
      </c>
      <c r="E50" s="9" t="n">
        <v>835</v>
      </c>
      <c r="F50" s="7" t="n">
        <v>2145.2</v>
      </c>
      <c r="G50" s="7" t="n">
        <v>1577.3</v>
      </c>
      <c r="H50" s="6" t="n">
        <v>1123</v>
      </c>
      <c r="I50" s="7" t="n">
        <v>2338.6</v>
      </c>
      <c r="J50" s="7" t="n">
        <v>1681.1</v>
      </c>
      <c r="K50" s="11" t="n">
        <v>100</v>
      </c>
    </row>
    <row r="51">
      <c r="A51" s="9" t="n">
        <v>1940</v>
      </c>
      <c r="B51" s="9" t="n">
        <v>299</v>
      </c>
      <c r="C51" s="8" t="n">
        <v>204.3</v>
      </c>
      <c r="D51" s="8" t="n">
        <v>130.7</v>
      </c>
      <c r="E51" s="6" t="n">
        <v>1007</v>
      </c>
      <c r="F51" s="7" t="n">
        <v>2936.3</v>
      </c>
      <c r="G51" s="7" t="n">
        <v>2272</v>
      </c>
      <c r="H51" s="6" t="n">
        <v>1306</v>
      </c>
      <c r="I51" s="7" t="n">
        <v>3140.6</v>
      </c>
      <c r="J51" s="7" t="n">
        <v>2402.7</v>
      </c>
      <c r="K51" s="11" t="n">
        <v>100</v>
      </c>
    </row>
    <row r="53">
      <c r="A53" s="2" t="inlineStr">
        <is>
          <t>Transcriber's notes</t>
        </is>
      </c>
    </row>
    <row r="54">
      <c r="A54" t="inlineStr">
        <is>
          <t>Begins p.516 (Textile, Chemical, Metallic) and continues on p.517 headed '(Continued)' (Lumbering to Total); merged.</t>
        </is>
      </c>
    </row>
    <row r="55">
      <c r="A55" t="inlineStr">
        <is>
          <t>On p.517 the year labels in the stub are set about half a line below the figures; rows matched in order (four years per section).</t>
        </is>
      </c>
    </row>
    <row r="56">
      <c r="A56" t="inlineStr">
        <is>
          <t>'% against Total' does not match any section's share of Total A.; its basis is not stated. Its column sums are checked only against the printed 100.00.</t>
        </is>
      </c>
    </row>
    <row r="57">
      <c r="A57" t="inlineStr">
        <is>
          <t>Electric &amp; Gas 1940 Manchoukuoan B printed '18.13' (likely misprint for 181.3; Total B 198.8 = 17.6 + 181.2) — transcribed as printed.</t>
        </is>
      </c>
    </row>
    <row r="58">
      <c r="A58" t="inlineStr">
        <is>
          <t>Reconciliation (flagged cells re-read):</t>
        </is>
      </c>
    </row>
    <row r="59">
      <c r="A59" t="inlineStr">
        <is>
          <t>TEXTILE 1938 Capital A: Japanese 9.4 + Manchoukuoan 39.2 = 48.6 vs Total 88.5 (diff +39.9)</t>
        </is>
      </c>
    </row>
    <row r="60">
      <c r="A60" t="inlineStr">
        <is>
          <t>TEXTILE 1940 Capital A: Japanese 9.9 + Manchoukuoan 119.7 = 129.6 vs Total 129.7 (diff +0.1)</t>
        </is>
      </c>
    </row>
    <row r="61">
      <c r="A61" t="inlineStr">
        <is>
          <t>CHEMICAL 1939 Capital A: Japanese 53.0 + Manchoukuoan 320.8 = 373.8 vs Total 373.9 (diff +0.1)</t>
        </is>
      </c>
    </row>
    <row r="62">
      <c r="A62" t="inlineStr">
        <is>
          <t>CHEMICAL 1939 Capital B: Japanese 36.0 + Manchoukuoan 131.2 = 167.2 vs Total 167.3 (diff +0.1)</t>
        </is>
      </c>
    </row>
    <row r="63">
      <c r="A63" t="inlineStr">
        <is>
          <t>CHEMICAL 1940 Capital B: Japanese 38.1 + Manchoukuoan 214.4 = 252.5 vs Total 262.5 (diff +10.0)</t>
        </is>
      </c>
    </row>
    <row r="64">
      <c r="A64" t="inlineStr">
        <is>
          <t>METALLIC 1938 Capital B: Japanese 13.7 + Manchoukuoan 208.5 = 222.2 vs Total 222.1 (diff -0.1)</t>
        </is>
      </c>
    </row>
    <row r="65">
      <c r="A65" t="inlineStr">
        <is>
          <t>LUMBERING 1938 Capital A: Japanese 8.3 + Manchoukuoan 21.9 = 30.2 vs Total 30.3 (diff +0.1)</t>
        </is>
      </c>
    </row>
    <row r="66">
      <c r="A66" t="inlineStr">
        <is>
          <t>LUMBERING 1938 Capital B: Japanese 3.5 + Manchoukuoan 12.2 = 15.7 vs Total 15.8 (diff +0.1)</t>
        </is>
      </c>
    </row>
    <row r="67">
      <c r="A67" t="inlineStr">
        <is>
          <t>LUMBERING 1940 Capital A: Japanese 9.5 + Manchoukuoan 37.0 = 46.5 vs Total 46.6 (diff +0.1)</t>
        </is>
      </c>
    </row>
    <row r="68">
      <c r="A68" t="inlineStr">
        <is>
          <t>PROVISION 1938 Capital B: Japanese 5.8 + Manchoukuoan 44.3 = 50.1 vs Total 50.2 (diff +0.1)</t>
        </is>
      </c>
    </row>
    <row r="69">
      <c r="A69" t="inlineStr">
        <is>
          <t>PROVISION 1940 Capital A: Japanese 18.2 + Manchoukuoan 75.5 = 93.7 vs Total 93.6 (diff -0.1)</t>
        </is>
      </c>
    </row>
    <row r="70">
      <c r="A70" t="inlineStr">
        <is>
          <t>MISCELLANEOUS 1937 Capital A: Japanese 3.3 + Manchoukuoan 107.8 = 111.1 vs Total 101.4 (diff -9.7)</t>
        </is>
      </c>
    </row>
    <row r="71">
      <c r="A71" t="inlineStr">
        <is>
          <t>MISCELLANEOUS 1938 Capital A: Japanese 3.4 + Manchoukuoan 113.0 = 116.4 vs Total 116.3 (diff -0.1)</t>
        </is>
      </c>
    </row>
    <row r="72">
      <c r="A72" t="inlineStr">
        <is>
          <t>MISCELLANEOUS 1939 Capital A: Japanese 3.8 + Manchoukuoan 127.6 = 131.4 vs Total 131.5 (diff +0.1)</t>
        </is>
      </c>
    </row>
    <row r="73">
      <c r="A73" t="inlineStr">
        <is>
          <t>MISCELLANEOUS 1940 Capital B: Japanese 4.7 + Manchoukuoan 107.1 = 111.8 vs Total 118.8 (diff +7.0)</t>
        </is>
      </c>
    </row>
    <row r="74">
      <c r="A74" t="inlineStr">
        <is>
          <t>MINING &amp; CERAMIC 1937 Capital B: Japanese 6.2 + Manchoukuoan 286.3 = 292.5 vs Total 292.6 (diff +0.1)</t>
        </is>
      </c>
    </row>
    <row r="75">
      <c r="A75" t="inlineStr">
        <is>
          <t>MINING &amp; CERAMIC 1940 Capital A: Japanese 16.6 + Manchoukuoan 1,309.3 = 1,325.9 vs Total 1,326.0 (diff +0.1)</t>
        </is>
      </c>
    </row>
    <row r="76">
      <c r="A76" t="inlineStr">
        <is>
          <t>MINING &amp; CERAMIC 1940 Capital B: Japanese 9.7 + Manchoukuoan 1,119.1 = 1,128.8 vs Total 1,128.9 (diff +0.1)</t>
        </is>
      </c>
    </row>
    <row r="77">
      <c r="A77" t="inlineStr">
        <is>
          <t>ELECTRIC &amp; GAS 1937 Capital B: Japanese 11.3 + Manchoukuoan 119.3 = 130.6 vs Total 130.5 (diff -0.1)</t>
        </is>
      </c>
    </row>
    <row r="78">
      <c r="A78" t="inlineStr">
        <is>
          <t>ELECTRIC &amp; GAS 1938 Capital B: Japanese 11.3 + Manchoukuoan 132.7 = 144.0 vs Total 143.9 (diff -0.1)</t>
        </is>
      </c>
    </row>
    <row r="79">
      <c r="A79" t="inlineStr">
        <is>
          <t>ELECTRIC &amp; GAS 1940 Capital A: Japanese 40.1 + Manchoukuoan 174.4 = 214.5 vs Total 214.4 (diff -0.1)</t>
        </is>
      </c>
    </row>
    <row r="80">
      <c r="A80" t="inlineStr">
        <is>
          <t>ELECTRIC &amp; GAS 1940 Capital B: Japanese 17.6 + Manchoukuoan 18.13 = 35.7 vs Total 198.8 (diff +163.1)</t>
        </is>
      </c>
    </row>
    <row r="81">
      <c r="A81" t="inlineStr">
        <is>
          <t>TOTAL 1937 Capital A: Japanese 127.6 + Manchoukuoan 1,158.0 = 1,285.6 vs Total 1,285.7 (diff +0.1)</t>
        </is>
      </c>
    </row>
    <row r="82">
      <c r="A82" t="inlineStr">
        <is>
          <t>TOTAL 1937 Capital B: Japanese 76.3 + Manchoukuoan 810.7 = 887.0 vs Total 887.1 (diff +0.1)</t>
        </is>
      </c>
    </row>
    <row r="83">
      <c r="A83" t="inlineStr">
        <is>
          <t>TOTAL 1938 Capital A: Japanese 134.2 + Manchoukuoan 1,649.9 = 1,784.1 vs Total 1,784.2 (diff +0.1)</t>
        </is>
      </c>
    </row>
    <row r="84">
      <c r="A84" t="inlineStr">
        <is>
          <t>TOTAL 1938 Capital B: Japanese 80.9 + Manchoukuoan 1,225.9 = 1,306.8 vs Total 1,306.9 (diff +0.1)</t>
        </is>
      </c>
    </row>
    <row r="85">
      <c r="A85" t="inlineStr">
        <is>
          <t>TOTAL 1937 Jap No.: sections sum to 249.0 vs printed 249 — reconciles</t>
        </is>
      </c>
    </row>
    <row r="86">
      <c r="A86" t="inlineStr">
        <is>
          <t>TOTAL 1937 Jap A: sections sum to 127.7 vs printed 127.6 — does NOT reconcile (diff -0.1)</t>
        </is>
      </c>
    </row>
    <row r="87">
      <c r="A87" t="inlineStr">
        <is>
          <t>TOTAL 1937 Jap B: sections sum to 76.3 vs printed 76.3 — reconciles</t>
        </is>
      </c>
    </row>
    <row r="88">
      <c r="A88" t="inlineStr">
        <is>
          <t>TOTAL 1937 Manch No.: sections sum to 573.0 vs printed 573 — reconciles</t>
        </is>
      </c>
    </row>
    <row r="89">
      <c r="A89" t="inlineStr">
        <is>
          <t>TOTAL 1937 Manch A: sections sum to 1,158.8 vs printed 1,158.0 — does NOT reconcile (diff -0.8)</t>
        </is>
      </c>
    </row>
    <row r="90">
      <c r="A90" t="inlineStr">
        <is>
          <t>TOTAL 1937 Manch B: sections sum to 810.8 vs printed 810.7 — does NOT reconcile (diff -0.1)</t>
        </is>
      </c>
    </row>
    <row r="91">
      <c r="A91" t="inlineStr">
        <is>
          <t>TOTAL 1937 Tot No.: sections sum to 822.0 vs printed 822 — reconciles</t>
        </is>
      </c>
    </row>
    <row r="92">
      <c r="A92" t="inlineStr">
        <is>
          <t>TOTAL 1937 Tot A: sections sum to 1,276.8 vs printed 1,285.7 — does NOT reconcile (diff +8.9)</t>
        </is>
      </c>
    </row>
    <row r="93">
      <c r="A93" t="inlineStr">
        <is>
          <t>TOTAL 1937 Tot B: sections sum to 887.1 vs printed 887.1 — reconciles</t>
        </is>
      </c>
    </row>
    <row r="94">
      <c r="A94" t="inlineStr">
        <is>
          <t>TOTAL 1937 %: sections sum to 100.02 vs printed 100.00 — does NOT reconcile (diff -0.02)</t>
        </is>
      </c>
    </row>
    <row r="95">
      <c r="A95" t="inlineStr">
        <is>
          <t>TOTAL 1938 Jap No.: sections sum to 267.0 vs printed 267 — reconciles</t>
        </is>
      </c>
    </row>
    <row r="96">
      <c r="A96" t="inlineStr">
        <is>
          <t>TOTAL 1938 Jap A: sections sum to 134.3 vs printed 134.2 — does NOT reconcile (diff -0.1)</t>
        </is>
      </c>
    </row>
    <row r="97">
      <c r="A97" t="inlineStr">
        <is>
          <t>TOTAL 1938 Jap B: sections sum to 81.0 vs printed 80.9 — does NOT reconcile (diff -0.1)</t>
        </is>
      </c>
    </row>
    <row r="98">
      <c r="A98" t="inlineStr">
        <is>
          <t>TOTAL 1938 Manch No.: sections sum to 709.0 vs printed 709 — reconciles</t>
        </is>
      </c>
    </row>
    <row r="99">
      <c r="A99" t="inlineStr">
        <is>
          <t>TOTAL 1938 Manch A: sections sum to 1,609.9 vs printed 1,649.9 — does NOT reconcile (diff +40.0)</t>
        </is>
      </c>
    </row>
    <row r="100">
      <c r="A100" t="inlineStr">
        <is>
          <t>TOTAL 1938 Manch B: sections sum to 1,226.0 vs printed 1,225.9 — does NOT reconcile (diff -0.1)</t>
        </is>
      </c>
    </row>
    <row r="101">
      <c r="A101" t="inlineStr">
        <is>
          <t>TOTAL 1938 Tot No.: sections sum to 976.0 vs printed 976 — reconciles</t>
        </is>
      </c>
    </row>
    <row r="102">
      <c r="A102" t="inlineStr">
        <is>
          <t>TOTAL 1938 Tot A: sections sum to 1,784.1 vs printed 1,784.2 — does NOT reconcile (diff +0.1)</t>
        </is>
      </c>
    </row>
    <row r="103">
      <c r="A103" t="inlineStr">
        <is>
          <t>TOTAL 1938 Tot B: sections sum to 1,307.0 vs printed 1,306.9 — does NOT reconcile (diff -0.1)</t>
        </is>
      </c>
    </row>
    <row r="104">
      <c r="A104" t="inlineStr">
        <is>
          <t>TOTAL 1938 %: sections sum to 100.06 vs printed 100.00 — does NOT reconcile (diff -0.06)</t>
        </is>
      </c>
    </row>
    <row r="105">
      <c r="A105" t="inlineStr">
        <is>
          <t>TOTAL 1939 Jap No.: sections sum to 288.0 vs printed 288 — reconciles</t>
        </is>
      </c>
    </row>
    <row r="106">
      <c r="A106" t="inlineStr">
        <is>
          <t>TOTAL 1939 Jap A: sections sum to 193.3 vs printed 193.4 — does NOT reconcile (diff +0.1)</t>
        </is>
      </c>
    </row>
    <row r="107">
      <c r="A107" t="inlineStr">
        <is>
          <t>TOTAL 1939 Jap B: sections sum to 103.8 vs printed 103.8 — reconciles</t>
        </is>
      </c>
    </row>
    <row r="108">
      <c r="A108" t="inlineStr">
        <is>
          <t>TOTAL 1939 Manch No.: sections sum to 835.0 vs printed 835 — reconciles</t>
        </is>
      </c>
    </row>
    <row r="109">
      <c r="A109" t="inlineStr">
        <is>
          <t>TOTAL 1939 Manch A: sections sum to 2,145.1 vs printed 2,145.2 — does NOT reconcile (diff +0.1)</t>
        </is>
      </c>
    </row>
    <row r="110">
      <c r="A110" t="inlineStr">
        <is>
          <t>TOTAL 1939 Manch B: sections sum to 1,577.1 vs printed 1,577.3 — does NOT reconcile (diff +0.2)</t>
        </is>
      </c>
    </row>
    <row r="111">
      <c r="A111" t="inlineStr">
        <is>
          <t>TOTAL 1939 Tot No.: sections sum to 1,123.0 vs printed 1,123 — reconciles</t>
        </is>
      </c>
    </row>
    <row r="112">
      <c r="A112" t="inlineStr">
        <is>
          <t>TOTAL 1939 Tot A: sections sum to 2,338.6 vs printed 2,338.6 — reconciles</t>
        </is>
      </c>
    </row>
    <row r="113">
      <c r="A113" t="inlineStr">
        <is>
          <t>TOTAL 1939 Tot B: sections sum to 1,681.0 vs printed 1,681.1 — does NOT reconcile (diff +0.1)</t>
        </is>
      </c>
    </row>
    <row r="114">
      <c r="A114" t="inlineStr">
        <is>
          <t>TOTAL 1939 %: sections sum to 100.01 vs printed 100.00 — reconciles</t>
        </is>
      </c>
    </row>
    <row r="115">
      <c r="A115" t="inlineStr">
        <is>
          <t>TOTAL 1940 Jap No.: sections sum to 299.0 vs printed 299 — reconciles</t>
        </is>
      </c>
    </row>
    <row r="116">
      <c r="A116" t="inlineStr">
        <is>
          <t>TOTAL 1940 Jap A: sections sum to 204.3 vs printed 204.3 — reconciles</t>
        </is>
      </c>
    </row>
    <row r="117">
      <c r="A117" t="inlineStr">
        <is>
          <t>TOTAL 1940 Jap B: sections sum to 130.7 vs printed 130.7 — reconciles</t>
        </is>
      </c>
    </row>
    <row r="118">
      <c r="A118" t="inlineStr">
        <is>
          <t>TOTAL 1940 Manch No.: sections sum to 1,007.0 vs printed 1,007 — reconciles</t>
        </is>
      </c>
    </row>
    <row r="119">
      <c r="A119" t="inlineStr">
        <is>
          <t>TOTAL 1940 Manch A: sections sum to 2,936.2 vs printed 2,936.3 — does NOT reconcile (diff +0.1)</t>
        </is>
      </c>
    </row>
    <row r="120">
      <c r="A120" t="inlineStr">
        <is>
          <t>TOTAL 1940 Manch B: sections sum to 2,108.83 vs printed 2,272.0 — does NOT reconcile (diff +163.17)</t>
        </is>
      </c>
    </row>
    <row r="121">
      <c r="A121" t="inlineStr">
        <is>
          <t>TOTAL 1940 Tot No.: sections sum to 1,306.0 vs printed 1,306 — reconciles</t>
        </is>
      </c>
    </row>
    <row r="122">
      <c r="A122" t="inlineStr">
        <is>
          <t>TOTAL 1940 Tot A: sections sum to 3,140.6 vs printed 3,140.6 — reconciles</t>
        </is>
      </c>
    </row>
    <row r="123">
      <c r="A123" t="inlineStr">
        <is>
          <t>TOTAL 1940 Tot B: sections sum to 2,419.7 vs printed 2,402.7 — does NOT reconcile (diff -17.0)</t>
        </is>
      </c>
    </row>
    <row r="124">
      <c r="A124" t="inlineStr">
        <is>
          <t>TOTAL 1940 %: sections sum to 100.0 vs printed 100.00 — reconciles</t>
        </is>
      </c>
    </row>
  </sheetData>
  <hyperlinks>
    <hyperlink xmlns:r="http://schemas.openxmlformats.org/officeDocument/2006/relationships" ref="A4" r:id="rId1"/>
  </hyperlink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Details of Spinning Industry</t>
        </is>
      </c>
    </row>
    <row r="2">
      <c r="A2" t="inlineStr">
        <is>
          <t>Manufacturing Industry · printed pp. 518</t>
        </is>
      </c>
    </row>
    <row r="3">
      <c r="A3" t="inlineStr">
        <is>
          <t>(1935)</t>
        </is>
      </c>
    </row>
    <row r="4">
      <c r="A4" s="3" t="inlineStr">
        <is>
          <t>← Contents</t>
        </is>
      </c>
    </row>
    <row r="6">
      <c r="A6" s="5" t="inlineStr">
        <is>
          <t>Industry</t>
        </is>
      </c>
      <c r="B6" s="5" t="inlineStr">
        <is>
          <t>Number of Factories</t>
        </is>
      </c>
      <c r="C6" s="5" t="inlineStr">
        <is>
          <t>% (factories)</t>
        </is>
      </c>
      <c r="D6" s="5" t="inlineStr">
        <is>
          <t>Production (M¥1,000)</t>
        </is>
      </c>
      <c r="E6" s="5" t="inlineStr">
        <is>
          <t>% (production)</t>
        </is>
      </c>
      <c r="F6" s="5" t="inlineStr">
        <is>
          <t>Amount of Investment (M¥1,000)</t>
        </is>
      </c>
      <c r="G6" s="5" t="inlineStr">
        <is>
          <t>% (investment)</t>
        </is>
      </c>
      <c r="H6" s="5" t="inlineStr">
        <is>
          <t>Number of Workers</t>
        </is>
      </c>
      <c r="I6" s="5" t="inlineStr">
        <is>
          <t>% (workers)</t>
        </is>
      </c>
    </row>
    <row r="7">
      <c r="A7" t="inlineStr">
        <is>
          <t>Wild Silk Reeling</t>
        </is>
      </c>
      <c r="B7" s="9" t="n">
        <v>70</v>
      </c>
      <c r="C7" s="8" t="n">
        <v>6.1</v>
      </c>
      <c r="D7" s="6" t="n">
        <v>2859</v>
      </c>
      <c r="E7" s="8" t="n">
        <v>7.3</v>
      </c>
      <c r="F7" s="9" t="n">
        <v>604</v>
      </c>
      <c r="G7" s="8" t="n">
        <v>3.5</v>
      </c>
      <c r="H7" s="6" t="n">
        <v>10398</v>
      </c>
      <c r="I7" s="8" t="n">
        <v>31.1</v>
      </c>
    </row>
    <row r="8">
      <c r="A8" t="inlineStr">
        <is>
          <t>Cotton Yarn</t>
        </is>
      </c>
      <c r="B8" s="9" t="n">
        <v>2</v>
      </c>
      <c r="C8" s="8" t="n">
        <v>0.2</v>
      </c>
      <c r="D8" s="6" t="n">
        <v>6538</v>
      </c>
      <c r="E8" s="8" t="n">
        <v>16.7</v>
      </c>
      <c r="F8" s="6" t="n">
        <v>6172</v>
      </c>
      <c r="G8" s="8" t="n">
        <v>35.5</v>
      </c>
      <c r="H8" s="6" t="n">
        <v>2339</v>
      </c>
      <c r="I8" s="8" t="n">
        <v>7</v>
      </c>
    </row>
    <row r="9">
      <c r="A9" t="inlineStr">
        <is>
          <t>Cotton Tissue</t>
        </is>
      </c>
      <c r="B9" s="9" t="n">
        <v>405</v>
      </c>
      <c r="C9" s="8" t="n">
        <v>35.6</v>
      </c>
      <c r="D9" s="6" t="n">
        <v>15099</v>
      </c>
      <c r="E9" s="8" t="n">
        <v>38.5</v>
      </c>
      <c r="F9" s="6" t="n">
        <v>1886</v>
      </c>
      <c r="G9" s="8" t="n">
        <v>10.8</v>
      </c>
      <c r="H9" s="6" t="n">
        <v>9444</v>
      </c>
      <c r="I9" s="8" t="n">
        <v>28.2</v>
      </c>
    </row>
    <row r="10">
      <c r="A10" t="inlineStr">
        <is>
          <t>Woollen Textile</t>
        </is>
      </c>
      <c r="B10" s="9" t="n">
        <v>10</v>
      </c>
      <c r="C10" s="8" t="n">
        <v>0.9</v>
      </c>
      <c r="D10" s="6" t="n">
        <v>2663</v>
      </c>
      <c r="E10" s="8" t="n">
        <v>6.8</v>
      </c>
      <c r="F10" s="6" t="n">
        <v>5655</v>
      </c>
      <c r="G10" s="8" t="n">
        <v>32.5</v>
      </c>
      <c r="H10" s="6" t="n">
        <v>1381</v>
      </c>
      <c r="I10" s="8" t="n">
        <v>4.4</v>
      </c>
    </row>
    <row r="11">
      <c r="A11" t="inlineStr">
        <is>
          <t>Silk Fabric</t>
        </is>
      </c>
      <c r="B11" s="9" t="n">
        <v>7</v>
      </c>
      <c r="C11" s="8" t="n">
        <v>0.6</v>
      </c>
      <c r="D11" s="9" t="n">
        <v>236</v>
      </c>
      <c r="E11" s="8" t="n">
        <v>0.6</v>
      </c>
      <c r="F11" s="9" t="n">
        <v>82</v>
      </c>
      <c r="G11" s="8" t="n">
        <v>0.5</v>
      </c>
      <c r="H11" s="9" t="n">
        <v>398</v>
      </c>
      <c r="I11" s="8" t="n">
        <v>1.2</v>
      </c>
    </row>
    <row r="12">
      <c r="A12" t="inlineStr">
        <is>
          <t>Knitted Goods</t>
        </is>
      </c>
      <c r="B12" s="9" t="n">
        <v>375</v>
      </c>
      <c r="C12" s="8" t="n">
        <v>32.9</v>
      </c>
      <c r="D12" s="6" t="n">
        <v>5196</v>
      </c>
      <c r="E12" s="8" t="n">
        <v>13.2</v>
      </c>
      <c r="F12" s="6" t="n">
        <v>1602</v>
      </c>
      <c r="G12" s="8" t="n">
        <v>6.1</v>
      </c>
      <c r="H12" s="6" t="n">
        <v>6345</v>
      </c>
      <c r="I12" s="8" t="n">
        <v>19</v>
      </c>
    </row>
    <row r="13">
      <c r="A13" t="inlineStr">
        <is>
          <t>Dyeing &amp; Weaving</t>
        </is>
      </c>
      <c r="B13" s="9" t="n">
        <v>242</v>
      </c>
      <c r="C13" s="8" t="n">
        <v>21.3</v>
      </c>
      <c r="D13" s="6" t="n">
        <v>5634</v>
      </c>
      <c r="E13" s="8" t="n">
        <v>14.3</v>
      </c>
      <c r="F13" s="9" t="n">
        <v>784</v>
      </c>
      <c r="G13" s="8" t="n">
        <v>4.5</v>
      </c>
      <c r="H13" s="6" t="n">
        <v>2612</v>
      </c>
      <c r="I13" s="8" t="n">
        <v>7.8</v>
      </c>
    </row>
    <row r="14">
      <c r="A14" t="inlineStr">
        <is>
          <t>Cotton Mfg.</t>
        </is>
      </c>
      <c r="B14" s="9" t="n">
        <v>11</v>
      </c>
      <c r="C14" s="8" t="n">
        <v>1</v>
      </c>
      <c r="D14" s="9" t="n">
        <v>705</v>
      </c>
      <c r="E14" s="8" t="n">
        <v>1.8</v>
      </c>
      <c r="F14" s="9" t="n">
        <v>46</v>
      </c>
      <c r="G14" s="8" t="n">
        <v>0.3</v>
      </c>
      <c r="H14" s="9" t="n">
        <v>265</v>
      </c>
      <c r="I14" s="8" t="n">
        <v>0.8</v>
      </c>
    </row>
    <row r="15">
      <c r="A15" t="inlineStr">
        <is>
          <t>Others</t>
        </is>
      </c>
      <c r="B15" s="9" t="n">
        <v>17</v>
      </c>
      <c r="C15" s="8" t="n">
        <v>1.4</v>
      </c>
      <c r="D15" s="9" t="n">
        <v>302</v>
      </c>
      <c r="E15" s="8" t="n">
        <v>0.8</v>
      </c>
      <c r="F15" s="6" t="n">
        <v>1096</v>
      </c>
      <c r="G15" s="8" t="n">
        <v>6.3</v>
      </c>
      <c r="H15" s="9" t="n">
        <v>207</v>
      </c>
      <c r="I15" s="8" t="n">
        <v>0.5</v>
      </c>
    </row>
    <row r="16">
      <c r="A16" t="inlineStr">
        <is>
          <t>Total</t>
        </is>
      </c>
      <c r="B16" s="6" t="n">
        <v>1139</v>
      </c>
      <c r="C16" s="8" t="n">
        <v>100</v>
      </c>
      <c r="D16" s="6" t="n">
        <v>39233</v>
      </c>
      <c r="E16" s="8" t="n">
        <v>100</v>
      </c>
      <c r="F16" s="6" t="n">
        <v>17387</v>
      </c>
      <c r="G16" s="8" t="n">
        <v>100</v>
      </c>
      <c r="H16" s="6" t="n">
        <v>33389</v>
      </c>
      <c r="I16" s="8" t="n">
        <v>100</v>
      </c>
    </row>
    <row r="18">
      <c r="A18" s="2" t="inlineStr">
        <is>
          <t>Transcriber's notes</t>
        </is>
      </c>
    </row>
    <row r="19">
      <c r="A19" t="inlineStr">
        <is>
          <t>The four '%' columns are each printed immediately after the figure column they refer to (the last '%' after Workers, set in small type at the gutter).</t>
        </is>
      </c>
    </row>
    <row r="20">
      <c r="A20" t="inlineStr">
        <is>
          <t>Total Number of Factories 1,139: parts sum to 1,139.0 — reconciles</t>
        </is>
      </c>
    </row>
    <row r="21">
      <c r="A21" t="inlineStr">
        <is>
          <t>Total % (factories) 100.0: parts sum to 100.0 — reconciles</t>
        </is>
      </c>
    </row>
    <row r="22">
      <c r="A22" t="inlineStr">
        <is>
          <t>Total Production (M¥1,000) 39,233: parts sum to 39,232.0 — does NOT reconcile (diff +1.0)</t>
        </is>
      </c>
    </row>
    <row r="23">
      <c r="A23" t="inlineStr">
        <is>
          <t>Total % (production) 100.0: parts sum to 100.0 — reconciles</t>
        </is>
      </c>
    </row>
    <row r="24">
      <c r="A24" t="inlineStr">
        <is>
          <t>Total Amount of Investment (M¥1,000) 17,387: parts sum to 17,927.0 — does NOT reconcile (diff -540.0)</t>
        </is>
      </c>
    </row>
    <row r="25">
      <c r="A25" t="inlineStr">
        <is>
          <t>Total % (investment) 100.0: parts sum to 100.0 — reconciles</t>
        </is>
      </c>
    </row>
    <row r="26">
      <c r="A26" t="inlineStr">
        <is>
          <t>Total Number of Workers 33,389: parts sum to 33,389.0 — reconciles</t>
        </is>
      </c>
    </row>
    <row r="27">
      <c r="A27" t="inlineStr">
        <is>
          <t>Total % (workers) 100.0: parts sum to 100.0 — reconciles</t>
        </is>
      </c>
    </row>
    <row r="28">
      <c r="A28" t="inlineStr">
        <is>
          <t>Investment discrepancy of 540: Knitted Goods investment printed 1,602 but its printed 6.1% of 17,387 ≈ 1,061, and 1,062 would make the column reconcile — likely a transposition in the source; transcribed as printed after re-reading.</t>
        </is>
      </c>
    </row>
  </sheetData>
  <hyperlinks>
    <hyperlink xmlns:r="http://schemas.openxmlformats.org/officeDocument/2006/relationships" ref="A4" r:id="rId1"/>
  </hyperlink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Spinning Cos. in Manchuria</t>
        </is>
      </c>
    </row>
    <row r="2">
      <c r="A2" t="inlineStr">
        <is>
          <t>Manufacturing Industry · printed pp. 518</t>
        </is>
      </c>
    </row>
    <row r="3">
      <c r="A3" t="inlineStr">
        <is>
          <t>(June, 1939)</t>
        </is>
      </c>
    </row>
    <row r="4">
      <c r="A4" s="3" t="inlineStr">
        <is>
          <t>← Contents</t>
        </is>
      </c>
    </row>
    <row r="6">
      <c r="A6" s="5" t="inlineStr">
        <is>
          <t>Cos.</t>
        </is>
      </c>
      <c r="B6" s="5" t="inlineStr">
        <is>
          <t>Factories</t>
        </is>
      </c>
      <c r="C6" s="5" t="inlineStr">
        <is>
          <t>No. of — Spindles</t>
        </is>
      </c>
      <c r="D6" s="5" t="inlineStr">
        <is>
          <t>No. of — Twisting Spindles</t>
        </is>
      </c>
      <c r="E6" s="5" t="inlineStr">
        <is>
          <t>No. of — Looms</t>
        </is>
      </c>
    </row>
    <row r="7">
      <c r="A7" t="inlineStr">
        <is>
          <t>Naigai Cotton Spin.</t>
        </is>
      </c>
      <c r="B7" t="inlineStr">
        <is>
          <t>Chinchow, (Kwantung)</t>
        </is>
      </c>
      <c r="C7" s="6" t="n">
        <v>107552</v>
      </c>
      <c r="D7" t="inlineStr">
        <is>
          <t>—</t>
        </is>
      </c>
      <c r="E7" s="6" t="n">
        <v>2272</v>
      </c>
    </row>
    <row r="8">
      <c r="A8" t="inlineStr">
        <is>
          <t>Manshu Fukubo</t>
        </is>
      </c>
      <c r="B8" t="inlineStr">
        <is>
          <t>Kwantung</t>
        </is>
      </c>
      <c r="C8" s="6" t="n">
        <v>49520</v>
      </c>
      <c r="D8" s="9" t="n">
        <v>960</v>
      </c>
      <c r="E8" t="inlineStr">
        <is>
          <t>—</t>
        </is>
      </c>
    </row>
    <row r="9">
      <c r="A9" t="inlineStr">
        <is>
          <t>Manshu Spinning</t>
        </is>
      </c>
      <c r="B9" t="inlineStr">
        <is>
          <t>Liaoyuang</t>
        </is>
      </c>
      <c r="C9" s="6" t="n">
        <v>78700</v>
      </c>
      <c r="D9" s="6" t="n">
        <v>2808</v>
      </c>
      <c r="E9" s="6" t="n">
        <v>1045</v>
      </c>
    </row>
    <row r="10">
      <c r="A10" t="inlineStr">
        <is>
          <t>Yingkow Spinning</t>
        </is>
      </c>
      <c r="B10" t="inlineStr">
        <is>
          <t>Yingkow</t>
        </is>
      </c>
      <c r="C10" s="6" t="n">
        <v>55728</v>
      </c>
      <c r="D10" t="inlineStr">
        <is>
          <t>—</t>
        </is>
      </c>
      <c r="E10" s="6" t="n">
        <v>1730</v>
      </c>
    </row>
    <row r="11">
      <c r="A11" t="inlineStr">
        <is>
          <t>Azuma Spin. &amp; Weav.</t>
        </is>
      </c>
      <c r="B11" t="inlineStr">
        <is>
          <t>Chinchow</t>
        </is>
      </c>
      <c r="C11" s="6" t="n">
        <v>52400</v>
      </c>
      <c r="D11" t="inlineStr">
        <is>
          <t>—</t>
        </is>
      </c>
      <c r="E11" s="9" t="n">
        <v>740</v>
      </c>
    </row>
    <row r="12">
      <c r="A12" t="inlineStr">
        <is>
          <t>Manshu Cotton Yarn</t>
        </is>
      </c>
      <c r="B12" t="inlineStr">
        <is>
          <t>Wafangtien</t>
        </is>
      </c>
      <c r="C12" s="6" t="n">
        <v>30920</v>
      </c>
      <c r="D12" s="6" t="n">
        <v>18752</v>
      </c>
      <c r="E12" t="inlineStr">
        <is>
          <t>—</t>
        </is>
      </c>
    </row>
    <row r="13">
      <c r="A13" t="inlineStr">
        <is>
          <t>Mukden Spin. &amp; Weav.</t>
        </is>
      </c>
      <c r="B13" t="inlineStr">
        <is>
          <t>Mukden</t>
        </is>
      </c>
      <c r="C13" s="6" t="n">
        <v>50816</v>
      </c>
      <c r="D13" s="6" t="n">
        <v>10888</v>
      </c>
      <c r="E13" s="6" t="n">
        <v>2000</v>
      </c>
    </row>
    <row r="14">
      <c r="A14" t="inlineStr">
        <is>
          <t>Kungtai Hosiery</t>
        </is>
      </c>
      <c r="B14" t="inlineStr">
        <is>
          <t>Mukden</t>
        </is>
      </c>
      <c r="C14" s="6" t="n">
        <v>50400</v>
      </c>
      <c r="D14" t="inlineStr">
        <is>
          <t>—</t>
        </is>
      </c>
      <c r="E14" t="inlineStr">
        <is>
          <t>—</t>
        </is>
      </c>
    </row>
    <row r="15">
      <c r="A15" t="inlineStr">
        <is>
          <t>Toyo Tyre Ind.</t>
        </is>
      </c>
      <c r="B15" t="inlineStr">
        <is>
          <t>Mukden</t>
        </is>
      </c>
      <c r="C15" s="6" t="n">
        <v>5000</v>
      </c>
      <c r="D15" t="inlineStr">
        <is>
          <t>—</t>
        </is>
      </c>
      <c r="E15" t="inlineStr">
        <is>
          <t>—</t>
        </is>
      </c>
    </row>
    <row r="16">
      <c r="A16" t="inlineStr">
        <is>
          <t>Kunghuo Spin. &amp; Weav.</t>
        </is>
      </c>
      <c r="B16" t="inlineStr">
        <is>
          <t>Mukden</t>
        </is>
      </c>
      <c r="C16" t="inlineStr">
        <is>
          <t>—</t>
        </is>
      </c>
      <c r="D16" t="inlineStr">
        <is>
          <t>—</t>
        </is>
      </c>
      <c r="E16" s="9" t="n">
        <v>276</v>
      </c>
    </row>
    <row r="17">
      <c r="A17" t="inlineStr">
        <is>
          <t>Fukuju Weaving</t>
        </is>
      </c>
      <c r="B17" t="inlineStr">
        <is>
          <t>Chinchow</t>
        </is>
      </c>
      <c r="C17" t="inlineStr">
        <is>
          <t>—</t>
        </is>
      </c>
      <c r="D17" t="inlineStr">
        <is>
          <t>—</t>
        </is>
      </c>
      <c r="E17" s="6" t="n">
        <v>1600</v>
      </c>
    </row>
    <row r="18">
      <c r="A18" t="inlineStr">
        <is>
          <t>Total</t>
        </is>
      </c>
      <c r="B18" t="inlineStr">
        <is>
          <t>11 cos.</t>
        </is>
      </c>
      <c r="C18" s="6" t="n">
        <v>481036</v>
      </c>
      <c r="D18" s="6" t="n">
        <v>33408</v>
      </c>
      <c r="E18" s="6" t="n">
        <v>9663</v>
      </c>
    </row>
    <row r="20">
      <c r="A20" s="2" t="inlineStr">
        <is>
          <t>Transcriber's notes</t>
        </is>
      </c>
    </row>
    <row r="21">
      <c r="A21" t="inlineStr">
        <is>
          <t>'Liaoyuang' as printed.</t>
        </is>
      </c>
    </row>
    <row r="22">
      <c r="A22" t="inlineStr">
        <is>
          <t>Total row prints '11 cos.' in the Factories column; 11 companies are listed.</t>
        </is>
      </c>
    </row>
    <row r="23">
      <c r="A23" t="inlineStr">
        <is>
          <t>Total Spindles 481,036: parts sum to 481,036.0 — reconciles</t>
        </is>
      </c>
    </row>
    <row r="24">
      <c r="A24" t="inlineStr">
        <is>
          <t>Total Twisting Spindles 33,408: parts sum to 33,408.0 — reconciles</t>
        </is>
      </c>
    </row>
    <row r="25">
      <c r="A25" t="inlineStr">
        <is>
          <t>Total Looms 9,663: parts sum to 9,663.0 — reconciles</t>
        </is>
      </c>
    </row>
  </sheetData>
  <hyperlinks>
    <hyperlink xmlns:r="http://schemas.openxmlformats.org/officeDocument/2006/relationships" ref="A4" r:id="rId1"/>
  </hyperlink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Raw Cotton Import</t>
        </is>
      </c>
    </row>
    <row r="2">
      <c r="A2" t="inlineStr">
        <is>
          <t>Manufacturing Industry · printed pp. 519</t>
        </is>
      </c>
    </row>
    <row r="3">
      <c r="A3" t="inlineStr">
        <is>
          <t>(Unit: in metric tons)</t>
        </is>
      </c>
    </row>
    <row r="4">
      <c r="A4" s="3" t="inlineStr">
        <is>
          <t>← Contents</t>
        </is>
      </c>
    </row>
    <row r="6">
      <c r="A6" s="5" t="inlineStr">
        <is>
          <t>Year</t>
        </is>
      </c>
      <c r="B6" s="5" t="inlineStr">
        <is>
          <t>Japan</t>
        </is>
      </c>
      <c r="C6" s="5" t="inlineStr">
        <is>
          <t>Chosen</t>
        </is>
      </c>
      <c r="D6" s="5" t="inlineStr">
        <is>
          <t>China</t>
        </is>
      </c>
      <c r="E6" s="5" t="inlineStr">
        <is>
          <t>Brit. India</t>
        </is>
      </c>
      <c r="F6" s="5" t="inlineStr">
        <is>
          <t>U.S.A.</t>
        </is>
      </c>
      <c r="G6" s="5" t="inlineStr">
        <is>
          <t>Total incl. Others — (metric tons)</t>
        </is>
      </c>
      <c r="H6" s="5" t="inlineStr">
        <is>
          <t>Total incl. Others — (M¥1,000)</t>
        </is>
      </c>
    </row>
    <row r="7">
      <c r="A7" s="9" t="n">
        <v>1934</v>
      </c>
      <c r="B7" s="9" t="n">
        <v>633</v>
      </c>
      <c r="C7" s="9" t="n">
        <v>27</v>
      </c>
      <c r="D7" s="9" t="n">
        <v>774</v>
      </c>
      <c r="E7" s="6" t="n">
        <v>14400</v>
      </c>
      <c r="F7" s="6" t="n">
        <v>1140</v>
      </c>
      <c r="G7" s="6" t="n">
        <v>17000</v>
      </c>
      <c r="H7" s="6" t="n">
        <v>12284</v>
      </c>
    </row>
    <row r="8">
      <c r="A8" s="9" t="n">
        <v>1935</v>
      </c>
      <c r="B8" s="9" t="n">
        <v>0</v>
      </c>
      <c r="C8" s="9" t="n">
        <v>89</v>
      </c>
      <c r="D8" s="6" t="n">
        <v>1300</v>
      </c>
      <c r="E8" s="6" t="n">
        <v>10700</v>
      </c>
      <c r="F8" s="9" t="n">
        <v>220</v>
      </c>
      <c r="G8" s="6" t="n">
        <v>12300</v>
      </c>
      <c r="H8" s="6" t="n">
        <v>9407</v>
      </c>
    </row>
    <row r="9">
      <c r="A9" s="9" t="n">
        <v>1936</v>
      </c>
      <c r="B9" t="inlineStr">
        <is>
          <t>—</t>
        </is>
      </c>
      <c r="C9" s="9" t="n">
        <v>34</v>
      </c>
      <c r="D9" s="6" t="n">
        <v>5000</v>
      </c>
      <c r="E9" s="6" t="n">
        <v>16800</v>
      </c>
      <c r="F9" s="9" t="n">
        <v>790</v>
      </c>
      <c r="G9" s="6" t="n">
        <v>23200</v>
      </c>
      <c r="H9" s="6" t="n">
        <v>18601</v>
      </c>
    </row>
    <row r="10">
      <c r="A10" s="9" t="n">
        <v>1937</v>
      </c>
      <c r="B10" t="inlineStr">
        <is>
          <t>—</t>
        </is>
      </c>
      <c r="C10" s="9" t="n">
        <v>45</v>
      </c>
      <c r="D10" s="6" t="n">
        <v>5000</v>
      </c>
      <c r="E10" s="6" t="n">
        <v>26300</v>
      </c>
      <c r="F10" s="6" t="n">
        <v>4100</v>
      </c>
      <c r="G10" s="6" t="n">
        <v>37200</v>
      </c>
      <c r="H10" s="6" t="n">
        <v>32202</v>
      </c>
    </row>
    <row r="11">
      <c r="A11" s="9" t="n">
        <v>1938</v>
      </c>
      <c r="B11" s="9" t="n">
        <v>554</v>
      </c>
      <c r="C11" s="9" t="n">
        <v>116</v>
      </c>
      <c r="D11" s="6" t="n">
        <v>1667</v>
      </c>
      <c r="E11" t="inlineStr">
        <is>
          <t>—</t>
        </is>
      </c>
      <c r="F11" t="inlineStr">
        <is>
          <t>—</t>
        </is>
      </c>
      <c r="G11" s="6" t="n">
        <v>2337</v>
      </c>
      <c r="H11" s="6" t="n">
        <v>2357</v>
      </c>
    </row>
    <row r="12">
      <c r="A12" s="9" t="n">
        <v>1939</v>
      </c>
      <c r="B12" s="9" t="n">
        <v>572</v>
      </c>
      <c r="C12" s="9" t="n">
        <v>213</v>
      </c>
      <c r="D12" s="9" t="n">
        <v>536</v>
      </c>
      <c r="E12" t="inlineStr">
        <is>
          <t>—</t>
        </is>
      </c>
      <c r="F12" t="inlineStr">
        <is>
          <t>—</t>
        </is>
      </c>
      <c r="G12" s="6" t="n">
        <v>1321</v>
      </c>
      <c r="H12" s="6" t="n">
        <v>1713</v>
      </c>
    </row>
    <row r="14">
      <c r="A14" s="2" t="inlineStr">
        <is>
          <t>Transcriber's notes</t>
        </is>
      </c>
    </row>
    <row r="15">
      <c r="A15" t="inlineStr">
        <is>
          <t>Under the 'Total incl. Others' brace the first sub-column is unheaded (quantity, metric tons) and the second is headed '(M¥1,000)'.</t>
        </is>
      </c>
    </row>
    <row r="16">
      <c r="A16" t="inlineStr">
        <is>
          <t>Totals include others, so listed parts need not reconcile:</t>
        </is>
      </c>
    </row>
    <row r="17">
      <c r="A17" t="inlineStr">
        <is>
          <t>1934: listed parts 16,974.0 vs total incl. others 17,000 (others +26.0)</t>
        </is>
      </c>
    </row>
    <row r="18">
      <c r="A18" t="inlineStr">
        <is>
          <t>1935: listed parts 12,309.0 vs total incl. others 12,300 (others -9.0)</t>
        </is>
      </c>
    </row>
    <row r="19">
      <c r="A19" t="inlineStr">
        <is>
          <t>1936: listed parts 22,624.0 vs total incl. others 23,200 (others +576.0)</t>
        </is>
      </c>
    </row>
    <row r="20">
      <c r="A20" t="inlineStr">
        <is>
          <t>1937: listed parts 35,445.0 vs total incl. others 37,200 (others +1,755.0)</t>
        </is>
      </c>
    </row>
    <row r="21">
      <c r="A21" t="inlineStr">
        <is>
          <t>1938: listed parts 2,337.0 vs total incl. others 2,337 (others +0.0)</t>
        </is>
      </c>
    </row>
    <row r="22">
      <c r="A22" t="inlineStr">
        <is>
          <t>1939: listed parts 1,321.0 vs total incl. others 1,321 (others +0.0)</t>
        </is>
      </c>
    </row>
    <row r="23">
      <c r="A23" t="inlineStr">
        <is>
          <t>1935: listed countries (12,309) exceed 'Total incl. Others' 12,300 by 9 — does NOT reconcile.</t>
        </is>
      </c>
    </row>
  </sheetData>
  <hyperlinks>
    <hyperlink xmlns:r="http://schemas.openxmlformats.org/officeDocument/2006/relationships" ref="A4" r:id="rId1"/>
  </hyperlink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Cotton Yarn Import</t>
        </is>
      </c>
    </row>
    <row r="2">
      <c r="A2" t="inlineStr">
        <is>
          <t>Manufacturing Industry · printed pp. 519</t>
        </is>
      </c>
    </row>
    <row r="3">
      <c r="A3" t="inlineStr">
        <is>
          <t>(Unit: in metric tons)</t>
        </is>
      </c>
    </row>
    <row r="4">
      <c r="A4" s="3" t="inlineStr">
        <is>
          <t>← Contents</t>
        </is>
      </c>
    </row>
    <row r="6">
      <c r="A6" s="5" t="inlineStr">
        <is>
          <t>Year</t>
        </is>
      </c>
      <c r="B6" s="5" t="inlineStr">
        <is>
          <t>Japan</t>
        </is>
      </c>
      <c r="C6" s="5" t="inlineStr">
        <is>
          <t>Chosen</t>
        </is>
      </c>
      <c r="D6" s="5" t="inlineStr">
        <is>
          <t>China</t>
        </is>
      </c>
      <c r="E6" s="5" t="inlineStr">
        <is>
          <t>Total incl. Others — (metric tons)</t>
        </is>
      </c>
      <c r="F6" s="5" t="inlineStr">
        <is>
          <t>Total incl. Others — (M¥1,000)</t>
        </is>
      </c>
    </row>
    <row r="7">
      <c r="A7" s="9" t="n">
        <v>1934</v>
      </c>
      <c r="B7" s="6" t="n">
        <v>3441</v>
      </c>
      <c r="C7" s="9" t="n">
        <v>275</v>
      </c>
      <c r="D7" s="6" t="n">
        <v>6110</v>
      </c>
      <c r="E7" s="6" t="n">
        <v>10016</v>
      </c>
      <c r="F7" s="6" t="n">
        <v>12533</v>
      </c>
    </row>
    <row r="8">
      <c r="A8" s="9" t="n">
        <v>1935</v>
      </c>
      <c r="B8" s="6" t="n">
        <v>3660</v>
      </c>
      <c r="C8" s="9" t="n">
        <v>35</v>
      </c>
      <c r="D8" s="6" t="n">
        <v>1980</v>
      </c>
      <c r="E8" s="6" t="n">
        <v>5690</v>
      </c>
      <c r="F8" s="6" t="n">
        <v>7938</v>
      </c>
    </row>
    <row r="9">
      <c r="A9" s="9" t="n">
        <v>1936</v>
      </c>
      <c r="B9" s="6" t="n">
        <v>4760</v>
      </c>
      <c r="C9" s="9" t="n">
        <v>33</v>
      </c>
      <c r="D9" s="9" t="n">
        <v>596</v>
      </c>
      <c r="E9" s="6" t="n">
        <v>5380</v>
      </c>
      <c r="F9" s="6" t="n">
        <v>7699</v>
      </c>
    </row>
    <row r="10">
      <c r="A10" s="9" t="n">
        <v>1937</v>
      </c>
      <c r="B10" s="6" t="n">
        <v>5550</v>
      </c>
      <c r="C10" s="9" t="n">
        <v>570</v>
      </c>
      <c r="D10" s="9" t="n">
        <v>344</v>
      </c>
      <c r="E10" s="6" t="n">
        <v>6500</v>
      </c>
      <c r="F10" s="6" t="n">
        <v>10740</v>
      </c>
    </row>
    <row r="11">
      <c r="A11" s="9" t="n">
        <v>1938</v>
      </c>
      <c r="B11" s="6" t="n">
        <v>2889</v>
      </c>
      <c r="C11" s="9" t="n">
        <v>290</v>
      </c>
      <c r="D11" s="9" t="n">
        <v>78</v>
      </c>
      <c r="E11" s="6" t="n">
        <v>3280</v>
      </c>
      <c r="F11" s="6" t="n">
        <v>5478</v>
      </c>
    </row>
    <row r="12">
      <c r="A12" s="9" t="n">
        <v>1939</v>
      </c>
      <c r="B12" s="6" t="n">
        <v>1922</v>
      </c>
      <c r="C12" t="inlineStr">
        <is>
          <t>—</t>
        </is>
      </c>
      <c r="D12" s="9" t="n">
        <v>69</v>
      </c>
      <c r="E12" s="6" t="n">
        <v>1991</v>
      </c>
      <c r="F12" s="6" t="n">
        <v>4384</v>
      </c>
    </row>
    <row r="14">
      <c r="A14" s="2" t="inlineStr">
        <is>
          <t>Transcriber's notes</t>
        </is>
      </c>
    </row>
    <row r="15">
      <c r="A15" t="inlineStr">
        <is>
          <t>Under the 'Total incl. Others' brace the first sub-column is unheaded (quantity) and the second is headed '(M¥1,000)'.</t>
        </is>
      </c>
    </row>
    <row r="16">
      <c r="A16" t="inlineStr">
        <is>
          <t>Totals include others:</t>
        </is>
      </c>
    </row>
    <row r="17">
      <c r="A17" t="inlineStr">
        <is>
          <t>1934: listed parts 9,826.0 vs total incl. others 10,016 (others +190.0)</t>
        </is>
      </c>
    </row>
    <row r="18">
      <c r="A18" t="inlineStr">
        <is>
          <t>1935: listed parts 5,675.0 vs total incl. others 5,690 (others +15.0)</t>
        </is>
      </c>
    </row>
    <row r="19">
      <c r="A19" t="inlineStr">
        <is>
          <t>1936: listed parts 5,389.0 vs total incl. others 5,380 (others -9.0)</t>
        </is>
      </c>
    </row>
    <row r="20">
      <c r="A20" t="inlineStr">
        <is>
          <t>1937: listed parts 6,464.0 vs total incl. others 6,500 (others +36.0)</t>
        </is>
      </c>
    </row>
    <row r="21">
      <c r="A21" t="inlineStr">
        <is>
          <t>1938: listed parts 3,257.0 vs total incl. others 3,280 (others +23.0)</t>
        </is>
      </c>
    </row>
    <row r="22">
      <c r="A22" t="inlineStr">
        <is>
          <t>1939: listed parts 1,991.0 vs total incl. others 1,991 (others +0.0)</t>
        </is>
      </c>
    </row>
    <row r="23">
      <c r="A23" t="inlineStr">
        <is>
          <t>1936: listed countries (5,389) exceed 'Total incl. Others' 5,380 by 9 — does NOT reconcile.</t>
        </is>
      </c>
    </row>
  </sheetData>
  <hyperlinks>
    <hyperlink xmlns:r="http://schemas.openxmlformats.org/officeDocument/2006/relationships" ref="A4" r:id="rId1"/>
  </hyperlink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12. Export (Inclusive of Shipment to Japan) of Wild Silk Cocoons and Others</t>
        </is>
      </c>
    </row>
    <row r="2">
      <c r="A2" t="inlineStr">
        <is>
          <t>Manufacturing Industry · printed pp. 520</t>
        </is>
      </c>
    </row>
    <row r="3">
      <c r="A3" t="inlineStr">
        <is>
          <t>(Volume in m. tons; Value in M¥1,000)</t>
        </is>
      </c>
    </row>
    <row r="4">
      <c r="A4" s="3" t="inlineStr">
        <is>
          <t>← Contents</t>
        </is>
      </c>
    </row>
    <row r="6">
      <c r="A6" s="5" t="inlineStr">
        <is>
          <t>Year</t>
        </is>
      </c>
      <c r="B6" s="5" t="inlineStr">
        <is>
          <t>Cocoons, refuse and wild — Volume</t>
        </is>
      </c>
      <c r="C6" s="5" t="inlineStr">
        <is>
          <t>Cocoons, refuse and wild — Value</t>
        </is>
      </c>
      <c r="D6" s="5" t="inlineStr">
        <is>
          <t>Raw silk yarn wild — Volume</t>
        </is>
      </c>
      <c r="E6" s="5" t="inlineStr">
        <is>
          <t>Raw silk yarn wild — Value</t>
        </is>
      </c>
      <c r="F6" s="5" t="inlineStr">
        <is>
          <t>Waste silk — Volume</t>
        </is>
      </c>
      <c r="G6" s="5" t="inlineStr">
        <is>
          <t>Waste silk — Value</t>
        </is>
      </c>
      <c r="H6" s="5" t="inlineStr">
        <is>
          <t>Silk pongees — Volume</t>
        </is>
      </c>
      <c r="I6" s="5" t="inlineStr">
        <is>
          <t>Silk pongees — Value</t>
        </is>
      </c>
      <c r="J6" s="5" t="inlineStr">
        <is>
          <t>Total Value</t>
        </is>
      </c>
    </row>
    <row r="7">
      <c r="A7" s="9" t="n">
        <v>1934</v>
      </c>
      <c r="B7" s="6" t="n">
        <v>1395</v>
      </c>
      <c r="C7" s="9" t="n">
        <v>230</v>
      </c>
      <c r="D7" s="6" t="n">
        <v>1480</v>
      </c>
      <c r="E7" s="6" t="n">
        <v>7409</v>
      </c>
      <c r="F7" s="6" t="n">
        <v>1635</v>
      </c>
      <c r="G7" s="9" t="n">
        <v>796</v>
      </c>
      <c r="H7" s="9" t="n">
        <v>17</v>
      </c>
      <c r="I7" s="9" t="n">
        <v>178</v>
      </c>
      <c r="J7" t="inlineStr">
        <is>
          <t>8 613</t>
        </is>
      </c>
    </row>
    <row r="8">
      <c r="A8" s="9" t="n">
        <v>1935</v>
      </c>
      <c r="B8" s="9" t="n">
        <v>790</v>
      </c>
      <c r="C8" s="9" t="n">
        <v>137</v>
      </c>
      <c r="D8" s="6" t="n">
        <v>1360</v>
      </c>
      <c r="E8" s="6" t="n">
        <v>7279</v>
      </c>
      <c r="F8" s="6" t="n">
        <v>1493</v>
      </c>
      <c r="G8" s="6" t="n">
        <v>1106</v>
      </c>
      <c r="H8" s="9" t="n">
        <v>35</v>
      </c>
      <c r="I8" s="9" t="n">
        <v>325</v>
      </c>
      <c r="J8" s="6" t="n">
        <v>8846</v>
      </c>
    </row>
    <row r="9">
      <c r="A9" s="9" t="n">
        <v>1936</v>
      </c>
      <c r="B9" s="6" t="n">
        <v>1430</v>
      </c>
      <c r="C9" s="9" t="n">
        <v>317</v>
      </c>
      <c r="D9" s="9" t="n">
        <v>990</v>
      </c>
      <c r="E9" s="6" t="n">
        <v>6118</v>
      </c>
      <c r="F9" s="9" t="n">
        <v>990</v>
      </c>
      <c r="G9" s="6" t="n">
        <v>1155</v>
      </c>
      <c r="H9" s="9" t="n">
        <v>35</v>
      </c>
      <c r="I9" s="9" t="n">
        <v>329</v>
      </c>
      <c r="J9" s="6" t="n">
        <v>7919</v>
      </c>
    </row>
    <row r="10">
      <c r="A10" s="9" t="n">
        <v>1937</v>
      </c>
      <c r="B10" s="9" t="n">
        <v>880</v>
      </c>
      <c r="C10" s="9" t="n">
        <v>177</v>
      </c>
      <c r="D10" s="6" t="n">
        <v>1485</v>
      </c>
      <c r="E10" s="6" t="n">
        <v>8386</v>
      </c>
      <c r="F10" s="6" t="n">
        <v>1585</v>
      </c>
      <c r="G10" s="6" t="n">
        <v>2623</v>
      </c>
      <c r="H10" s="9" t="n">
        <v>34</v>
      </c>
      <c r="I10" s="9" t="n">
        <v>298</v>
      </c>
      <c r="J10" s="6" t="n">
        <v>11484</v>
      </c>
    </row>
    <row r="11">
      <c r="A11" s="9" t="n">
        <v>1938</v>
      </c>
      <c r="B11" s="9" t="n">
        <v>258</v>
      </c>
      <c r="C11" s="9" t="n">
        <v>164</v>
      </c>
      <c r="D11" s="6" t="n">
        <v>1199</v>
      </c>
      <c r="E11" s="6" t="n">
        <v>6257</v>
      </c>
      <c r="F11" s="6" t="n">
        <v>1804</v>
      </c>
      <c r="G11" s="6" t="n">
        <v>4698</v>
      </c>
      <c r="H11" s="9" t="n">
        <v>45</v>
      </c>
      <c r="I11" s="9" t="n">
        <v>513</v>
      </c>
      <c r="J11" s="6" t="n">
        <v>11632</v>
      </c>
    </row>
    <row r="12">
      <c r="A12" s="9" t="n">
        <v>1939</v>
      </c>
      <c r="B12" s="9" t="n">
        <v>161</v>
      </c>
      <c r="C12" s="9" t="n">
        <v>70</v>
      </c>
      <c r="D12" s="9" t="n">
        <v>769</v>
      </c>
      <c r="E12" s="6" t="n">
        <v>5877</v>
      </c>
      <c r="F12" s="6" t="n">
        <v>1816</v>
      </c>
      <c r="G12" s="6" t="n">
        <v>7996</v>
      </c>
      <c r="H12" s="9" t="n">
        <v>55</v>
      </c>
      <c r="I12" s="6" t="n">
        <v>1054</v>
      </c>
      <c r="J12" s="6" t="n">
        <v>14997</v>
      </c>
    </row>
    <row r="14">
      <c r="A14" s="2" t="inlineStr">
        <is>
          <t>Transcriber's notes</t>
        </is>
      </c>
    </row>
    <row r="15">
      <c r="A15" t="inlineStr">
        <is>
          <t>Table numbering in this chapter runs 1–6 (pp.515–519), then 12 (p.520), then 9, 10, 11 (p.522); Tables 7 and 8 do not appear on pp.514–523 — irregularity is in the source (pages are consecutive).</t>
        </is>
      </c>
    </row>
    <row r="16">
      <c r="A16" t="inlineStr">
        <is>
          <t>1934 Total Value printed '8 613' (space for comma).</t>
        </is>
      </c>
    </row>
    <row r="17">
      <c r="A17" t="inlineStr">
        <is>
          <t>1934: four Values sum to 8,613 vs Total Value 8 613 — reconciles</t>
        </is>
      </c>
    </row>
    <row r="18">
      <c r="A18" t="inlineStr">
        <is>
          <t>1935: four Values sum to 8,847 vs Total Value 8,846 — does NOT reconcile (diff -1)</t>
        </is>
      </c>
    </row>
    <row r="19">
      <c r="A19" t="inlineStr">
        <is>
          <t>1936: four Values sum to 7,919 vs Total Value 7,919 — reconciles</t>
        </is>
      </c>
    </row>
    <row r="20">
      <c r="A20" t="inlineStr">
        <is>
          <t>1937: four Values sum to 11,484 vs Total Value 11,484 — reconciles</t>
        </is>
      </c>
    </row>
    <row r="21">
      <c r="A21" t="inlineStr">
        <is>
          <t>1938: four Values sum to 11,632 vs Total Value 11,632 — reconciles</t>
        </is>
      </c>
    </row>
    <row r="22">
      <c r="A22" t="inlineStr">
        <is>
          <t>1939: four Values sum to 14,997 vs Total Value 14,997 — reconciles</t>
        </is>
      </c>
    </row>
  </sheetData>
  <hyperlinks>
    <hyperlink xmlns:r="http://schemas.openxmlformats.org/officeDocument/2006/relationships" ref="A4" r:id="rId1"/>
  </hyperlink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9. Manufactures of Manchuria Hemp-Dressing Co.</t>
        </is>
      </c>
    </row>
    <row r="2">
      <c r="A2" t="inlineStr">
        <is>
          <t>Manufacturing Industry · printed pp. 522</t>
        </is>
      </c>
    </row>
    <row r="3">
      <c r="A3" s="3" t="inlineStr">
        <is>
          <t>← Contents</t>
        </is>
      </c>
    </row>
    <row r="5">
      <c r="A5" s="5" t="inlineStr">
        <is>
          <t>Year</t>
        </is>
      </c>
      <c r="B5" s="5" t="inlineStr">
        <is>
          <t>Gunny bags (Pieces)</t>
        </is>
      </c>
      <c r="C5" s="5" t="inlineStr">
        <is>
          <t>Hemp Cloth (yards)</t>
        </is>
      </c>
      <c r="D5" s="5" t="inlineStr">
        <is>
          <t>Hemp yarn</t>
        </is>
      </c>
    </row>
    <row r="6">
      <c r="A6" s="9" t="n">
        <v>1930</v>
      </c>
      <c r="B6" s="6" t="n">
        <v>3028000</v>
      </c>
      <c r="C6" s="6" t="n">
        <v>442000</v>
      </c>
      <c r="D6" s="6" t="n">
        <v>1560000</v>
      </c>
    </row>
    <row r="7">
      <c r="A7" s="9" t="n">
        <v>1931</v>
      </c>
      <c r="B7" s="6" t="n">
        <v>3765500</v>
      </c>
      <c r="C7" s="6" t="n">
        <v>331000</v>
      </c>
      <c r="D7" s="6" t="n">
        <v>1630000</v>
      </c>
    </row>
    <row r="8">
      <c r="A8" s="9" t="n">
        <v>1932</v>
      </c>
      <c r="B8" s="6" t="n">
        <v>4773000</v>
      </c>
      <c r="C8" s="6" t="n">
        <v>182000</v>
      </c>
      <c r="D8" s="6" t="n">
        <v>1261000</v>
      </c>
    </row>
    <row r="9">
      <c r="A9" s="9" t="n">
        <v>1933</v>
      </c>
      <c r="B9" s="6" t="n">
        <v>4649000</v>
      </c>
      <c r="C9" s="6" t="n">
        <v>175000</v>
      </c>
      <c r="D9" s="6" t="n">
        <v>1166000</v>
      </c>
    </row>
    <row r="10">
      <c r="A10" s="9" t="n">
        <v>1934</v>
      </c>
      <c r="B10" s="6" t="n">
        <v>4629000</v>
      </c>
      <c r="C10" s="6" t="n">
        <v>174000</v>
      </c>
      <c r="D10" s="6" t="n">
        <v>1829000</v>
      </c>
    </row>
    <row r="11">
      <c r="A11" s="9" t="n">
        <v>1937</v>
      </c>
      <c r="B11" s="6" t="n">
        <v>16800000</v>
      </c>
      <c r="C11" t="inlineStr">
        <is>
          <t>—</t>
        </is>
      </c>
      <c r="D11" t="inlineStr">
        <is>
          <t>—</t>
        </is>
      </c>
    </row>
    <row r="13">
      <c r="A13" s="2" t="inlineStr">
        <is>
          <t>Transcriber's notes</t>
        </is>
      </c>
    </row>
    <row r="14">
      <c r="A14" t="inlineStr">
        <is>
          <t>No 1935–1936 rows printed.</t>
        </is>
      </c>
    </row>
    <row r="15">
      <c r="A15" t="inlineStr">
        <is>
          <t>No totals printed.</t>
        </is>
      </c>
    </row>
  </sheetData>
  <hyperlinks>
    <hyperlink xmlns:r="http://schemas.openxmlformats.org/officeDocument/2006/relationships" ref="A3" r:id="rId1"/>
  </hyperlink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10. Plantation of Ni-Chi-Man Flax Spinning &amp; Weaving Co.</t>
        </is>
      </c>
    </row>
    <row r="2">
      <c r="A2" t="inlineStr">
        <is>
          <t>Manufacturing Industry · printed pp. 522</t>
        </is>
      </c>
    </row>
    <row r="3">
      <c r="A3" s="3" t="inlineStr">
        <is>
          <t>← Contents</t>
        </is>
      </c>
    </row>
    <row r="5">
      <c r="A5" s="5" t="inlineStr">
        <is>
          <t>Year</t>
        </is>
      </c>
      <c r="B5" s="5" t="inlineStr">
        <is>
          <t>Area under Cultivation (Cho)</t>
        </is>
      </c>
      <c r="C5" s="5" t="inlineStr">
        <is>
          <t>Crop of Green flax (Lbs.)</t>
        </is>
      </c>
    </row>
    <row r="6">
      <c r="A6" s="9" t="n">
        <v>1934</v>
      </c>
      <c r="B6" s="6" t="n">
        <v>2000</v>
      </c>
      <c r="C6" s="6" t="n">
        <v>70000000</v>
      </c>
    </row>
    <row r="7">
      <c r="A7" s="9" t="n">
        <v>1935</v>
      </c>
      <c r="B7" s="6" t="n">
        <v>6000</v>
      </c>
      <c r="C7" s="6" t="n">
        <v>150000000</v>
      </c>
    </row>
    <row r="8">
      <c r="A8" s="9" t="n">
        <v>1936</v>
      </c>
      <c r="B8" s="6" t="n">
        <v>10000</v>
      </c>
      <c r="C8" s="6" t="n">
        <v>300000000</v>
      </c>
    </row>
    <row r="9">
      <c r="A9" s="9" t="n">
        <v>1937</v>
      </c>
      <c r="B9" s="6" t="n">
        <v>15000</v>
      </c>
      <c r="C9" s="6" t="n">
        <v>450000000</v>
      </c>
    </row>
    <row r="10">
      <c r="A10" t="inlineStr">
        <is>
          <t>1938 (Estimate)</t>
        </is>
      </c>
      <c r="B10" s="6" t="n">
        <v>28000</v>
      </c>
      <c r="C10" s="6" t="n">
        <v>700000000</v>
      </c>
    </row>
    <row r="12">
      <c r="A12" s="2" t="inlineStr">
        <is>
          <t>Transcriber's notes</t>
        </is>
      </c>
    </row>
    <row r="13">
      <c r="A13" t="inlineStr">
        <is>
          <t>No totals printed.</t>
        </is>
      </c>
    </row>
  </sheetData>
  <hyperlinks>
    <hyperlink xmlns:r="http://schemas.openxmlformats.org/officeDocument/2006/relationships" ref="A3" r:id="rId1"/>
  </hyperlink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11. Import of Flax, Ramie, Hemp and Manufactures Thereof</t>
        </is>
      </c>
    </row>
    <row r="2">
      <c r="A2" t="inlineStr">
        <is>
          <t>Manufacturing Industry · printed pp. 522</t>
        </is>
      </c>
    </row>
    <row r="3">
      <c r="A3" s="3" t="inlineStr">
        <is>
          <t>← Contents</t>
        </is>
      </c>
    </row>
    <row r="5">
      <c r="A5" s="5" t="inlineStr">
        <is>
          <t>Year</t>
        </is>
      </c>
      <c r="B5" s="5" t="inlineStr">
        <is>
          <t>Jute, Flax, Ramie, etc. — (m. tons)</t>
        </is>
      </c>
      <c r="C5" s="5" t="inlineStr">
        <is>
          <t>Jute, Flax, Ramie, etc. — (M¥1,000)</t>
        </is>
      </c>
      <c r="D5" s="5" t="inlineStr">
        <is>
          <t>Yarn, thread, cordage twine and rope — (m. tons)</t>
        </is>
      </c>
      <c r="E5" s="5" t="inlineStr">
        <is>
          <t>Yarn, thread, cordage twine and rope — (M¥1,000)</t>
        </is>
      </c>
      <c r="F5" s="5" t="inlineStr">
        <is>
          <t>Gunny bags, new — Piculs (1,000)</t>
        </is>
      </c>
      <c r="G5" s="5" t="inlineStr">
        <is>
          <t>Gunny bags, new — (M¥1,000)</t>
        </is>
      </c>
      <c r="H5" s="5" t="inlineStr">
        <is>
          <t>Gunny bags, old — Piculs (1,000)</t>
        </is>
      </c>
      <c r="I5" s="5" t="inlineStr">
        <is>
          <t>Gunny bags, old — (M¥1,000)</t>
        </is>
      </c>
      <c r="J5" s="5" t="inlineStr">
        <is>
          <t>Total value (M¥1,000)</t>
        </is>
      </c>
    </row>
    <row r="6">
      <c r="A6" s="9" t="n">
        <v>1933</v>
      </c>
      <c r="B6" s="6" t="n">
        <v>7806</v>
      </c>
      <c r="C6" s="6" t="n">
        <v>1394</v>
      </c>
      <c r="D6" t="inlineStr">
        <is>
          <t>—</t>
        </is>
      </c>
      <c r="E6" t="inlineStr">
        <is>
          <t>—</t>
        </is>
      </c>
      <c r="F6" s="9" t="n">
        <v>467</v>
      </c>
      <c r="G6" s="6" t="n">
        <v>11925</v>
      </c>
      <c r="H6" s="9" t="n">
        <v>353</v>
      </c>
      <c r="I6" s="6" t="n">
        <v>5067</v>
      </c>
      <c r="J6" s="6" t="n">
        <v>20377</v>
      </c>
    </row>
    <row r="7">
      <c r="A7" s="9" t="n">
        <v>1934</v>
      </c>
      <c r="B7" s="6" t="n">
        <v>18367</v>
      </c>
      <c r="C7" s="6" t="n">
        <v>2666</v>
      </c>
      <c r="D7" s="6" t="n">
        <v>1900</v>
      </c>
      <c r="E7" s="9" t="n">
        <v>912</v>
      </c>
      <c r="F7" s="9" t="n">
        <v>427</v>
      </c>
      <c r="G7" s="6" t="n">
        <v>10390</v>
      </c>
      <c r="H7" s="9" t="n">
        <v>506</v>
      </c>
      <c r="I7" s="6" t="n">
        <v>5744</v>
      </c>
      <c r="J7" s="6" t="n">
        <v>20463</v>
      </c>
    </row>
    <row r="8">
      <c r="A8" s="9" t="n">
        <v>1935</v>
      </c>
      <c r="B8" s="6" t="n">
        <v>17362</v>
      </c>
      <c r="C8" s="6" t="n">
        <v>2205</v>
      </c>
      <c r="D8" s="6" t="n">
        <v>2520</v>
      </c>
      <c r="E8" s="6" t="n">
        <v>3326</v>
      </c>
      <c r="F8" s="9" t="n">
        <v>556</v>
      </c>
      <c r="G8" s="6" t="n">
        <v>10599</v>
      </c>
      <c r="H8" s="9" t="n">
        <v>345</v>
      </c>
      <c r="I8" s="6" t="n">
        <v>4041</v>
      </c>
      <c r="J8" s="6" t="n">
        <v>18913</v>
      </c>
    </row>
    <row r="9">
      <c r="A9" s="9" t="n">
        <v>1936</v>
      </c>
      <c r="B9" s="6" t="n">
        <v>21684</v>
      </c>
      <c r="C9" s="6" t="n">
        <v>3049</v>
      </c>
      <c r="D9" s="6" t="n">
        <v>2840</v>
      </c>
      <c r="E9" s="6" t="n">
        <v>1652</v>
      </c>
      <c r="F9" s="9" t="n">
        <v>446</v>
      </c>
      <c r="G9" s="6" t="n">
        <v>9468</v>
      </c>
      <c r="H9" s="9" t="n">
        <v>368</v>
      </c>
      <c r="I9" s="6" t="n">
        <v>4557</v>
      </c>
      <c r="J9" s="6" t="n">
        <v>19516</v>
      </c>
    </row>
    <row r="10">
      <c r="A10" s="9" t="n">
        <v>1937</v>
      </c>
      <c r="B10" s="6" t="n">
        <v>26041</v>
      </c>
      <c r="C10" s="6" t="n">
        <v>3942</v>
      </c>
      <c r="D10" s="6" t="n">
        <v>4180</v>
      </c>
      <c r="E10" s="6" t="n">
        <v>2343</v>
      </c>
      <c r="F10" s="9" t="n">
        <v>737</v>
      </c>
      <c r="G10" s="6" t="n">
        <v>15347</v>
      </c>
      <c r="H10" s="9" t="n">
        <v>301</v>
      </c>
      <c r="I10" s="6" t="n">
        <v>3926</v>
      </c>
      <c r="J10" s="6" t="n">
        <v>27590</v>
      </c>
    </row>
    <row r="11">
      <c r="A11" s="9" t="n">
        <v>1938</v>
      </c>
      <c r="B11" s="6" t="n">
        <v>14057</v>
      </c>
      <c r="C11" s="6" t="n">
        <v>4929</v>
      </c>
      <c r="D11" s="6" t="n">
        <v>2191</v>
      </c>
      <c r="E11" s="6" t="n">
        <v>1447</v>
      </c>
      <c r="F11" t="inlineStr">
        <is>
          <t>52,993*</t>
        </is>
      </c>
      <c r="G11" s="6" t="n">
        <v>18196</v>
      </c>
      <c r="H11" t="inlineStr">
        <is>
          <t>9,204*</t>
        </is>
      </c>
      <c r="I11" s="6" t="n">
        <v>2714</v>
      </c>
      <c r="J11" s="6" t="n">
        <v>27286</v>
      </c>
    </row>
    <row r="12">
      <c r="A12" s="9" t="n">
        <v>1939</v>
      </c>
      <c r="B12" s="6" t="n">
        <v>12420</v>
      </c>
      <c r="C12" s="6" t="n">
        <v>4311</v>
      </c>
      <c r="D12" s="6" t="n">
        <v>1696</v>
      </c>
      <c r="E12" s="6" t="n">
        <v>2262</v>
      </c>
      <c r="F12" t="inlineStr">
        <is>
          <t>31,210*</t>
        </is>
      </c>
      <c r="G12" s="6" t="n">
        <v>14521</v>
      </c>
      <c r="H12" t="inlineStr">
        <is>
          <t>25,509*</t>
        </is>
      </c>
      <c r="I12" s="6" t="n">
        <v>18792</v>
      </c>
      <c r="J12" s="6" t="n">
        <v>39886</v>
      </c>
    </row>
    <row r="14">
      <c r="A14" s="2" t="inlineStr">
        <is>
          <t>Footnotes</t>
        </is>
      </c>
    </row>
    <row r="15">
      <c r="A15" t="inlineStr">
        <is>
          <t>Note: * 1,000 Pieces.</t>
        </is>
      </c>
    </row>
    <row r="17">
      <c r="A17" s="2" t="inlineStr">
        <is>
          <t>Transcriber's notes</t>
        </is>
      </c>
    </row>
    <row r="18">
      <c r="A18" t="inlineStr">
        <is>
          <t>Total value column set in small type at the gutter.</t>
        </is>
      </c>
    </row>
    <row r="19">
      <c r="A19" t="inlineStr">
        <is>
          <t>1933: four value columns sum to 18,386 vs Total value 20,377 — does NOT reconcile (diff +1,991)</t>
        </is>
      </c>
    </row>
    <row r="20">
      <c r="A20" t="inlineStr">
        <is>
          <t>1934: four value columns sum to 19,712 vs Total value 20,463 — does NOT reconcile (diff +751)</t>
        </is>
      </c>
    </row>
    <row r="21">
      <c r="A21" t="inlineStr">
        <is>
          <t>1935: four value columns sum to 20,171 vs Total value 18,913 — does NOT reconcile (diff -1,258)</t>
        </is>
      </c>
    </row>
    <row r="22">
      <c r="A22" t="inlineStr">
        <is>
          <t>1936: four value columns sum to 18,726 vs Total value 19,516 — does NOT reconcile (diff +790)</t>
        </is>
      </c>
    </row>
    <row r="23">
      <c r="A23" t="inlineStr">
        <is>
          <t>1937: four value columns sum to 25,558 vs Total value 27,590 — does NOT reconcile (diff +2,032)</t>
        </is>
      </c>
    </row>
    <row r="24">
      <c r="A24" t="inlineStr">
        <is>
          <t>1938: four value columns sum to 27,286 vs Total value 27,286 — reconciles</t>
        </is>
      </c>
    </row>
    <row r="25">
      <c r="A25" t="inlineStr">
        <is>
          <t>1939: four value columns sum to 39,886 vs Total value 39,886 — reconciles</t>
        </is>
      </c>
    </row>
    <row r="26">
      <c r="A26" t="inlineStr">
        <is>
          <t>1933–1937 differences are mostly positive (Total may cover items not listed), but 1935 parts exceed Total by 1,258. Figures re-read on zoomed crop; transcribed as printed.</t>
        </is>
      </c>
    </row>
  </sheetData>
  <hyperlinks>
    <hyperlink xmlns:r="http://schemas.openxmlformats.org/officeDocument/2006/relationships" ref="A3" r:id="rId1"/>
  </hyperlink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22. Output of Bean Oil at the Principal Cities</t>
        </is>
      </c>
    </row>
    <row r="2">
      <c r="A2" t="inlineStr">
        <is>
          <t>Manufacturing Industry · printed pp. 524</t>
        </is>
      </c>
    </row>
    <row r="3">
      <c r="A3" t="inlineStr">
        <is>
          <t>(Unit: in 1,000 Kin; 1 Kin=0.6 kilogram)</t>
        </is>
      </c>
    </row>
    <row r="4">
      <c r="A4" s="3" t="inlineStr">
        <is>
          <t>← Contents</t>
        </is>
      </c>
    </row>
    <row r="6">
      <c r="A6" s="5" t="inlineStr">
        <is>
          <t>Year</t>
        </is>
      </c>
      <c r="B6" s="5" t="inlineStr">
        <is>
          <t>Dairen</t>
        </is>
      </c>
      <c r="C6" s="5" t="inlineStr">
        <is>
          <t>Yingkow</t>
        </is>
      </c>
      <c r="D6" s="5" t="inlineStr">
        <is>
          <t>Antung</t>
        </is>
      </c>
      <c r="E6" s="5" t="inlineStr">
        <is>
          <t>Harbin</t>
        </is>
      </c>
      <c r="F6" s="5" t="inlineStr">
        <is>
          <t>Total</t>
        </is>
      </c>
      <c r="G6" s="5" t="inlineStr">
        <is>
          <t>Total incl. Others — (1,000 Kin)</t>
        </is>
      </c>
      <c r="H6" s="5" t="inlineStr">
        <is>
          <t>Total incl. Others — (M¥1,000)</t>
        </is>
      </c>
    </row>
    <row r="7">
      <c r="A7" s="9" t="n">
        <v>1932</v>
      </c>
      <c r="B7" s="6" t="n">
        <v>154620</v>
      </c>
      <c r="C7" s="6" t="n">
        <v>26240</v>
      </c>
      <c r="D7" s="6" t="n">
        <v>22930</v>
      </c>
      <c r="E7" s="6" t="n">
        <v>17270</v>
      </c>
      <c r="F7" s="6" t="n">
        <v>221061</v>
      </c>
      <c r="G7" s="6" t="n">
        <v>238720</v>
      </c>
      <c r="H7" s="6" t="n">
        <v>32657</v>
      </c>
    </row>
    <row r="8">
      <c r="A8" s="9" t="n">
        <v>1933</v>
      </c>
      <c r="B8" s="6" t="n">
        <v>98209</v>
      </c>
      <c r="C8" s="6" t="n">
        <v>20540</v>
      </c>
      <c r="D8" s="6" t="n">
        <v>17280</v>
      </c>
      <c r="E8" s="6" t="n">
        <v>16410</v>
      </c>
      <c r="F8" s="6" t="n">
        <v>152520</v>
      </c>
      <c r="G8" s="6" t="n">
        <v>192180</v>
      </c>
      <c r="H8" s="6" t="n">
        <v>26617</v>
      </c>
    </row>
    <row r="9">
      <c r="A9" s="9" t="n">
        <v>1934</v>
      </c>
      <c r="B9" s="6" t="n">
        <v>91023</v>
      </c>
      <c r="C9" s="6" t="n">
        <v>11216</v>
      </c>
      <c r="D9" s="6" t="n">
        <v>17706</v>
      </c>
      <c r="E9" s="6" t="n">
        <v>13896</v>
      </c>
      <c r="F9" s="6" t="n">
        <v>133841</v>
      </c>
      <c r="G9" s="6" t="n">
        <v>214175</v>
      </c>
      <c r="H9" s="6" t="n">
        <v>20216</v>
      </c>
    </row>
    <row r="10">
      <c r="A10" s="9" t="n">
        <v>1935</v>
      </c>
      <c r="B10" s="6" t="n">
        <v>63895</v>
      </c>
      <c r="C10" s="6" t="n">
        <v>12175</v>
      </c>
      <c r="D10" s="6" t="n">
        <v>10572</v>
      </c>
      <c r="E10" s="6" t="n">
        <v>19193</v>
      </c>
      <c r="F10" s="6" t="n">
        <v>105836</v>
      </c>
      <c r="G10" s="6" t="n">
        <v>198165</v>
      </c>
      <c r="H10" s="6" t="n">
        <v>25308</v>
      </c>
    </row>
    <row r="11">
      <c r="A11" s="9" t="n">
        <v>1936</v>
      </c>
      <c r="B11" s="6" t="n">
        <v>57301</v>
      </c>
      <c r="C11" s="6" t="n">
        <v>7676</v>
      </c>
      <c r="D11" s="6" t="n">
        <v>5701</v>
      </c>
      <c r="E11" s="6" t="n">
        <v>15559</v>
      </c>
      <c r="F11" s="6" t="n">
        <v>86237</v>
      </c>
      <c r="G11" s="6" t="n">
        <v>157760</v>
      </c>
      <c r="H11" s="6" t="n">
        <v>31505</v>
      </c>
    </row>
    <row r="12">
      <c r="A12" s="9" t="n">
        <v>1937</v>
      </c>
      <c r="B12" s="6" t="n">
        <v>58632</v>
      </c>
      <c r="C12" s="6" t="n">
        <v>8578</v>
      </c>
      <c r="D12" s="6" t="n">
        <v>5000</v>
      </c>
      <c r="E12" s="6" t="n">
        <v>19756</v>
      </c>
      <c r="F12" s="6" t="n">
        <v>91967</v>
      </c>
      <c r="G12" t="inlineStr">
        <is>
          <t>—</t>
        </is>
      </c>
      <c r="H12" t="inlineStr">
        <is>
          <t>—</t>
        </is>
      </c>
    </row>
    <row r="13">
      <c r="A13" s="9" t="n">
        <v>1938</v>
      </c>
      <c r="B13" s="6" t="n">
        <v>64478</v>
      </c>
      <c r="C13" s="6" t="n">
        <v>2300</v>
      </c>
      <c r="D13" s="6" t="n">
        <v>6264</v>
      </c>
      <c r="E13" s="6" t="n">
        <v>24212</v>
      </c>
      <c r="F13" s="6" t="n">
        <v>97255</v>
      </c>
      <c r="G13" t="inlineStr">
        <is>
          <t>—</t>
        </is>
      </c>
      <c r="H13" t="inlineStr">
        <is>
          <t>—</t>
        </is>
      </c>
    </row>
    <row r="14">
      <c r="A14" s="9" t="n">
        <v>1939</v>
      </c>
      <c r="B14" s="6" t="n">
        <v>89022</v>
      </c>
      <c r="C14" s="6" t="n">
        <v>2896</v>
      </c>
      <c r="D14" s="6" t="n">
        <v>6784</v>
      </c>
      <c r="E14" s="6" t="n">
        <v>29148</v>
      </c>
      <c r="F14" s="6" t="n">
        <v>127850</v>
      </c>
      <c r="G14" t="inlineStr">
        <is>
          <t>—</t>
        </is>
      </c>
      <c r="H14" t="inlineStr">
        <is>
          <t>—</t>
        </is>
      </c>
    </row>
    <row r="16">
      <c r="A16" s="2" t="inlineStr">
        <is>
          <t>Transcriber's notes</t>
        </is>
      </c>
    </row>
    <row r="17">
      <c r="A17" t="inlineStr">
        <is>
          <t>Table numbering jumps from 11 (p.522) to 22 (p.524) on consecutive pages — irregularity is in the source.</t>
        </is>
      </c>
    </row>
    <row r="18">
      <c r="A18" t="inlineStr">
        <is>
          <t>'Total incl. Others' figures (1932–1936) are printed about half a line below the other columns; matched in order. First sub-column unheaded (quantity), second '(M¥1,000)'.</t>
        </is>
      </c>
    </row>
    <row r="19">
      <c r="A19" t="inlineStr">
        <is>
          <t>Total (four cities):</t>
        </is>
      </c>
    </row>
    <row r="20">
      <c r="A20" t="inlineStr">
        <is>
          <t>1932: parts 221,060.0 vs Total 221,061 — does NOT reconcile (diff +1.0)</t>
        </is>
      </c>
    </row>
    <row r="21">
      <c r="A21" t="inlineStr">
        <is>
          <t>1933: parts 152,439.0 vs Total 152,520 — does NOT reconcile (diff +81.0)</t>
        </is>
      </c>
    </row>
    <row r="22">
      <c r="A22" t="inlineStr">
        <is>
          <t>1934: parts 133,841.0 vs Total 133,841 — reconciles</t>
        </is>
      </c>
    </row>
    <row r="23">
      <c r="A23" t="inlineStr">
        <is>
          <t>1935: parts 105,835.0 vs Total 105,836 — does NOT reconcile (diff +1.0)</t>
        </is>
      </c>
    </row>
    <row r="24">
      <c r="A24" t="inlineStr">
        <is>
          <t>1936: parts 86,237.0 vs Total 86,237 — reconciles</t>
        </is>
      </c>
    </row>
    <row r="25">
      <c r="A25" t="inlineStr">
        <is>
          <t>1937: parts 91,966.0 vs Total 91,967 — does NOT reconcile (diff +1.0)</t>
        </is>
      </c>
    </row>
    <row r="26">
      <c r="A26" t="inlineStr">
        <is>
          <t>1938: parts 97,254.0 vs Total 97,255 — does NOT reconcile (diff +1.0)</t>
        </is>
      </c>
    </row>
    <row r="27">
      <c r="A27" t="inlineStr">
        <is>
          <t>1939: parts 127,850.0 vs Total 127,850 — reconciles</t>
        </is>
      </c>
    </row>
  </sheetData>
  <hyperlinks>
    <hyperlink xmlns:r="http://schemas.openxmlformats.org/officeDocument/2006/relationships" ref="A4" r:id="rId1"/>
  </hyperlink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23. Output of Bean Cake at the Principal Cities</t>
        </is>
      </c>
    </row>
    <row r="2">
      <c r="A2" t="inlineStr">
        <is>
          <t>Manufacturing Industry · printed pp. 524</t>
        </is>
      </c>
    </row>
    <row r="3">
      <c r="A3" t="inlineStr">
        <is>
          <t>(Unit: Volume in 1,000 pieces; 1 piece weighs 27.6 kgs.)</t>
        </is>
      </c>
    </row>
    <row r="4">
      <c r="A4" s="3" t="inlineStr">
        <is>
          <t>← Contents</t>
        </is>
      </c>
    </row>
    <row r="6">
      <c r="A6" s="5" t="inlineStr">
        <is>
          <t>Year</t>
        </is>
      </c>
      <c r="B6" s="5" t="inlineStr">
        <is>
          <t>Dairen</t>
        </is>
      </c>
      <c r="C6" s="5" t="inlineStr">
        <is>
          <t>Yingkow</t>
        </is>
      </c>
      <c r="D6" s="5" t="inlineStr">
        <is>
          <t>Antung</t>
        </is>
      </c>
      <c r="E6" s="5" t="inlineStr">
        <is>
          <t>Harbin</t>
        </is>
      </c>
      <c r="F6" s="5" t="inlineStr">
        <is>
          <t>Total</t>
        </is>
      </c>
      <c r="G6" s="5" t="inlineStr">
        <is>
          <t>Total incl. Others — (1,000 pieces)</t>
        </is>
      </c>
      <c r="H6" s="5" t="inlineStr">
        <is>
          <t>Total incl. Others — (M¥1,000)</t>
        </is>
      </c>
    </row>
    <row r="7">
      <c r="A7" s="9" t="n">
        <v>1932</v>
      </c>
      <c r="B7" s="6" t="n">
        <v>30812</v>
      </c>
      <c r="C7" s="6" t="n">
        <v>5228</v>
      </c>
      <c r="D7" s="6" t="n">
        <v>4568</v>
      </c>
      <c r="E7" s="6" t="n">
        <v>3441</v>
      </c>
      <c r="F7" s="6" t="n">
        <v>44050</v>
      </c>
      <c r="G7" s="6" t="n">
        <v>47744</v>
      </c>
      <c r="H7" s="6" t="n">
        <v>80687</v>
      </c>
    </row>
    <row r="8">
      <c r="A8" s="9" t="n">
        <v>1933</v>
      </c>
      <c r="B8" s="6" t="n">
        <v>19587</v>
      </c>
      <c r="C8" s="6" t="n">
        <v>4093</v>
      </c>
      <c r="D8" s="6" t="n">
        <v>3444</v>
      </c>
      <c r="E8" s="6" t="n">
        <v>3270</v>
      </c>
      <c r="F8" s="6" t="n">
        <v>30394</v>
      </c>
      <c r="G8" s="6" t="n">
        <v>38436</v>
      </c>
      <c r="H8" s="6" t="n">
        <v>59576</v>
      </c>
    </row>
    <row r="9">
      <c r="A9" s="9" t="n">
        <v>1934</v>
      </c>
      <c r="B9" s="6" t="n">
        <v>20227</v>
      </c>
      <c r="C9" s="6" t="n">
        <v>2772</v>
      </c>
      <c r="D9" s="6" t="n">
        <v>3935</v>
      </c>
      <c r="E9" s="6" t="n">
        <v>2911</v>
      </c>
      <c r="F9" s="6" t="n">
        <v>29845</v>
      </c>
      <c r="G9" s="6" t="n">
        <v>42835</v>
      </c>
      <c r="H9" s="6" t="n">
        <v>50117</v>
      </c>
    </row>
    <row r="10">
      <c r="A10" s="9" t="n">
        <v>1935</v>
      </c>
      <c r="B10" s="6" t="n">
        <v>14198</v>
      </c>
      <c r="C10" s="6" t="n">
        <v>2921</v>
      </c>
      <c r="D10" s="6" t="n">
        <v>2349</v>
      </c>
      <c r="E10" s="6" t="n">
        <v>3870</v>
      </c>
      <c r="F10" s="6" t="n">
        <v>23339</v>
      </c>
      <c r="G10" s="6" t="n">
        <v>39633</v>
      </c>
      <c r="H10" s="6" t="n">
        <v>53901</v>
      </c>
    </row>
    <row r="11">
      <c r="A11" s="9" t="n">
        <v>1936</v>
      </c>
      <c r="B11" s="6" t="n">
        <v>12734</v>
      </c>
      <c r="C11" s="6" t="n">
        <v>1877</v>
      </c>
      <c r="D11" s="6" t="n">
        <v>1267</v>
      </c>
      <c r="E11" s="6" t="n">
        <v>3392</v>
      </c>
      <c r="F11" s="6" t="n">
        <v>19269</v>
      </c>
      <c r="G11" s="6" t="n">
        <v>31552</v>
      </c>
      <c r="H11" s="6" t="n">
        <v>63135</v>
      </c>
    </row>
    <row r="12">
      <c r="A12" s="9" t="n">
        <v>1937</v>
      </c>
      <c r="B12" s="6" t="n">
        <v>13029</v>
      </c>
      <c r="C12" s="6" t="n">
        <v>1973</v>
      </c>
      <c r="D12" s="6" t="n">
        <v>1040</v>
      </c>
      <c r="E12" s="6" t="n">
        <v>3614</v>
      </c>
      <c r="F12" s="6" t="n">
        <v>19656</v>
      </c>
      <c r="G12" t="inlineStr">
        <is>
          <t>—</t>
        </is>
      </c>
      <c r="H12" t="inlineStr">
        <is>
          <t>—</t>
        </is>
      </c>
    </row>
    <row r="13">
      <c r="A13" s="9" t="n">
        <v>1938</v>
      </c>
      <c r="B13" s="6" t="n">
        <v>14329</v>
      </c>
      <c r="C13" s="9" t="n">
        <v>491</v>
      </c>
      <c r="D13" s="6" t="n">
        <v>1139</v>
      </c>
      <c r="E13" s="6" t="n">
        <v>4626</v>
      </c>
      <c r="F13" s="6" t="n">
        <v>20585</v>
      </c>
      <c r="G13" t="inlineStr">
        <is>
          <t>—</t>
        </is>
      </c>
      <c r="H13" t="inlineStr">
        <is>
          <t>—</t>
        </is>
      </c>
    </row>
    <row r="14">
      <c r="A14" s="9" t="n">
        <v>1939</v>
      </c>
      <c r="B14" s="6" t="n">
        <v>19528</v>
      </c>
      <c r="C14" s="9" t="n">
        <v>897</v>
      </c>
      <c r="D14" s="6" t="n">
        <v>1172</v>
      </c>
      <c r="E14" s="6" t="n">
        <v>5930</v>
      </c>
      <c r="F14" s="6" t="n">
        <v>27527</v>
      </c>
      <c r="G14" t="inlineStr">
        <is>
          <t>—</t>
        </is>
      </c>
      <c r="H14" t="inlineStr">
        <is>
          <t>—</t>
        </is>
      </c>
    </row>
    <row r="16">
      <c r="A16" s="2" t="inlineStr">
        <is>
          <t>Transcriber's notes</t>
        </is>
      </c>
    </row>
    <row r="17">
      <c r="A17" t="inlineStr">
        <is>
          <t>Total (four cities):</t>
        </is>
      </c>
    </row>
    <row r="18">
      <c r="A18" t="inlineStr">
        <is>
          <t>1932: parts 44,049.0 vs Total 44,050 — does NOT reconcile (diff +1.0)</t>
        </is>
      </c>
    </row>
    <row r="19">
      <c r="A19" t="inlineStr">
        <is>
          <t>1933: parts 30,394.0 vs Total 30,394 — reconciles</t>
        </is>
      </c>
    </row>
    <row r="20">
      <c r="A20" t="inlineStr">
        <is>
          <t>1934: parts 29,845.0 vs Total 29,845 — reconciles</t>
        </is>
      </c>
    </row>
    <row r="21">
      <c r="A21" t="inlineStr">
        <is>
          <t>1935: parts 23,338.0 vs Total 23,339 — does NOT reconcile (diff +1.0)</t>
        </is>
      </c>
    </row>
    <row r="22">
      <c r="A22" t="inlineStr">
        <is>
          <t>1936: parts 19,270.0 vs Total 19,269 — does NOT reconcile (diff -1.0)</t>
        </is>
      </c>
    </row>
    <row r="23">
      <c r="A23" t="inlineStr">
        <is>
          <t>1937: parts 19,656.0 vs Total 19,656 — reconciles</t>
        </is>
      </c>
    </row>
    <row r="24">
      <c r="A24" t="inlineStr">
        <is>
          <t>1938: parts 20,585.0 vs Total 20,585 — reconciles</t>
        </is>
      </c>
    </row>
    <row r="25">
      <c r="A25" t="inlineStr">
        <is>
          <t>1939: parts 27,527.0 vs Total 27,527 — reconciles</t>
        </is>
      </c>
    </row>
  </sheetData>
  <hyperlinks>
    <hyperlink xmlns:r="http://schemas.openxmlformats.org/officeDocument/2006/relationships" ref="A4" r:id="rId1"/>
  </hyperlink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24. Number of Bean-Cake Mills and Productive Capacity</t>
        </is>
      </c>
    </row>
    <row r="2">
      <c r="A2" t="inlineStr">
        <is>
          <t>Manufacturing Industry · printed pp. 525</t>
        </is>
      </c>
    </row>
    <row r="3">
      <c r="A3" s="3" t="inlineStr">
        <is>
          <t>← Contents</t>
        </is>
      </c>
    </row>
    <row r="5">
      <c r="A5" s="2" t="inlineStr">
        <is>
          <t>No. of mills</t>
        </is>
      </c>
    </row>
    <row r="6">
      <c r="A6" s="5" t="inlineStr">
        <is>
          <t>Year</t>
        </is>
      </c>
      <c r="B6" s="5" t="inlineStr">
        <is>
          <t>South Manchuria Districts — Dairen</t>
        </is>
      </c>
      <c r="C6" s="5" t="inlineStr">
        <is>
          <t>South Manchuria Districts — Antung</t>
        </is>
      </c>
      <c r="D6" s="5" t="inlineStr">
        <is>
          <t>South Manchuria Districts — Yingkow</t>
        </is>
      </c>
      <c r="E6" s="5" t="inlineStr">
        <is>
          <t>South Manchuria Districts — Other places</t>
        </is>
      </c>
      <c r="F6" s="5" t="inlineStr">
        <is>
          <t>North Manchuria Districts — Harbin</t>
        </is>
      </c>
      <c r="G6" s="5" t="inlineStr">
        <is>
          <t>North Manchuria Districts — Other places</t>
        </is>
      </c>
      <c r="H6" s="5" t="inlineStr">
        <is>
          <t>Total</t>
        </is>
      </c>
    </row>
    <row r="7">
      <c r="A7" s="9" t="n">
        <v>1923</v>
      </c>
      <c r="B7" s="9" t="n">
        <v>87</v>
      </c>
      <c r="C7" s="9" t="n">
        <v>25</v>
      </c>
      <c r="D7" s="9" t="n">
        <v>29</v>
      </c>
      <c r="E7" s="9" t="n">
        <v>416</v>
      </c>
      <c r="F7" s="9" t="n">
        <v>42</v>
      </c>
      <c r="G7" s="9" t="n">
        <v>7</v>
      </c>
      <c r="H7" s="9" t="n">
        <v>606</v>
      </c>
    </row>
    <row r="8">
      <c r="A8" s="9" t="n">
        <v>1929</v>
      </c>
      <c r="B8" s="9" t="n">
        <v>59</v>
      </c>
      <c r="C8" s="9" t="n">
        <v>26</v>
      </c>
      <c r="D8" s="9" t="n">
        <v>22</v>
      </c>
      <c r="E8" s="9" t="n">
        <v>297</v>
      </c>
      <c r="F8" s="9" t="n">
        <v>40</v>
      </c>
      <c r="G8" s="9" t="n">
        <v>28</v>
      </c>
      <c r="H8" s="9" t="n">
        <v>472</v>
      </c>
    </row>
    <row r="9">
      <c r="A9" s="9" t="n">
        <v>1933</v>
      </c>
      <c r="B9" s="9" t="n">
        <v>50</v>
      </c>
      <c r="C9" s="9" t="n">
        <v>23</v>
      </c>
      <c r="D9" s="9" t="n">
        <v>20</v>
      </c>
      <c r="E9" s="9" t="n">
        <v>238</v>
      </c>
      <c r="F9" s="9" t="n">
        <v>43</v>
      </c>
      <c r="G9" s="9" t="n">
        <v>28</v>
      </c>
      <c r="H9" s="9" t="n">
        <v>402</v>
      </c>
    </row>
    <row r="10">
      <c r="A10" s="9" t="n">
        <v>1936</v>
      </c>
      <c r="B10" s="9" t="n">
        <v>45</v>
      </c>
      <c r="C10" s="9" t="n">
        <v>22</v>
      </c>
      <c r="D10" s="9" t="n">
        <v>14</v>
      </c>
      <c r="E10" s="9" t="n">
        <v>289</v>
      </c>
      <c r="F10" s="9" t="n">
        <v>24</v>
      </c>
      <c r="G10" s="9" t="n">
        <v>28</v>
      </c>
      <c r="H10" s="9" t="n">
        <v>422</v>
      </c>
    </row>
    <row r="11">
      <c r="A11" s="9" t="n">
        <v>1937</v>
      </c>
      <c r="B11" s="9" t="n">
        <v>42</v>
      </c>
      <c r="C11" s="9" t="n">
        <v>21</v>
      </c>
      <c r="D11" s="9" t="n">
        <v>20</v>
      </c>
      <c r="E11" s="9" t="n">
        <v>235</v>
      </c>
      <c r="F11" s="9" t="n">
        <v>28</v>
      </c>
      <c r="G11" s="9" t="n">
        <v>20</v>
      </c>
      <c r="H11" s="9" t="n">
        <v>365</v>
      </c>
    </row>
    <row r="13">
      <c r="A13" s="2" t="inlineStr">
        <is>
          <t>Productive capacity in 1,000 pieces of bean-cake per day</t>
        </is>
      </c>
    </row>
    <row r="14">
      <c r="A14" s="5" t="inlineStr">
        <is>
          <t>Year</t>
        </is>
      </c>
      <c r="B14" s="5" t="inlineStr">
        <is>
          <t>South Manchuria Districts — Dairen</t>
        </is>
      </c>
      <c r="C14" s="5" t="inlineStr">
        <is>
          <t>South Manchuria Districts — Antung</t>
        </is>
      </c>
      <c r="D14" s="5" t="inlineStr">
        <is>
          <t>South Manchuria Districts — Yingkow</t>
        </is>
      </c>
      <c r="E14" s="5" t="inlineStr">
        <is>
          <t>South Manchuria Districts — Other places</t>
        </is>
      </c>
      <c r="F14" s="5" t="inlineStr">
        <is>
          <t>North Manchuria Districts — Harbin</t>
        </is>
      </c>
      <c r="G14" s="5" t="inlineStr">
        <is>
          <t>North Manchuria Districts — Other places</t>
        </is>
      </c>
      <c r="H14" s="5" t="inlineStr">
        <is>
          <t>Total</t>
        </is>
      </c>
    </row>
    <row r="15">
      <c r="A15" s="9" t="n">
        <v>1923</v>
      </c>
      <c r="B15" s="9" t="n">
        <v>308</v>
      </c>
      <c r="C15" s="9" t="n">
        <v>45</v>
      </c>
      <c r="D15" s="9" t="n">
        <v>42</v>
      </c>
      <c r="E15" s="9" t="n">
        <v>128</v>
      </c>
      <c r="F15" s="9" t="n">
        <v>87</v>
      </c>
      <c r="G15" s="9" t="n">
        <v>5</v>
      </c>
      <c r="H15" s="9" t="n">
        <v>615</v>
      </c>
    </row>
    <row r="16">
      <c r="A16" s="9" t="n">
        <v>1929</v>
      </c>
      <c r="B16" s="9" t="n">
        <v>218</v>
      </c>
      <c r="C16" s="9" t="n">
        <v>54</v>
      </c>
      <c r="D16" s="9" t="n">
        <v>39</v>
      </c>
      <c r="E16" s="9" t="n">
        <v>130</v>
      </c>
      <c r="F16" s="9" t="n">
        <v>83</v>
      </c>
      <c r="G16" s="9" t="n">
        <v>46</v>
      </c>
      <c r="H16" s="9" t="n">
        <v>570</v>
      </c>
    </row>
    <row r="17">
      <c r="A17" s="9" t="n">
        <v>1933</v>
      </c>
      <c r="B17" s="9" t="n">
        <v>149</v>
      </c>
      <c r="C17" s="9" t="n">
        <v>37</v>
      </c>
      <c r="D17" s="9" t="n">
        <v>33</v>
      </c>
      <c r="E17" s="9" t="n">
        <v>88</v>
      </c>
      <c r="F17" s="9" t="n">
        <v>94</v>
      </c>
      <c r="G17" s="9" t="n">
        <v>38</v>
      </c>
      <c r="H17" s="9" t="n">
        <v>439</v>
      </c>
    </row>
    <row r="18">
      <c r="A18" s="9" t="n">
        <v>1936</v>
      </c>
      <c r="B18" s="9" t="n">
        <v>173</v>
      </c>
      <c r="C18" s="9" t="n">
        <v>36</v>
      </c>
      <c r="D18" s="9" t="n">
        <v>29</v>
      </c>
      <c r="E18" s="9" t="n">
        <v>90</v>
      </c>
      <c r="F18" s="9" t="n">
        <v>57</v>
      </c>
      <c r="G18" s="9" t="n">
        <v>38</v>
      </c>
      <c r="H18" s="9" t="n">
        <v>423</v>
      </c>
    </row>
    <row r="19">
      <c r="A19" s="9" t="n">
        <v>1937</v>
      </c>
      <c r="B19" s="9" t="n">
        <v>140</v>
      </c>
      <c r="C19" s="9" t="n">
        <v>31</v>
      </c>
      <c r="D19" s="9" t="n">
        <v>31</v>
      </c>
      <c r="E19" s="9" t="n">
        <v>70</v>
      </c>
      <c r="F19" s="9" t="n">
        <v>60</v>
      </c>
      <c r="G19" s="9" t="n">
        <v>24</v>
      </c>
      <c r="H19" s="9" t="n">
        <v>356</v>
      </c>
    </row>
    <row r="21">
      <c r="A21" s="2" t="inlineStr">
        <is>
          <t>Transcriber's notes</t>
        </is>
      </c>
    </row>
    <row r="22">
      <c r="A22" t="inlineStr">
        <is>
          <t>No. of mills 1923: parts 606.0 vs Total 606 — reconciles</t>
        </is>
      </c>
    </row>
    <row r="23">
      <c r="A23" t="inlineStr">
        <is>
          <t>No. of mills 1929: parts 472.0 vs Total 472 — reconciles</t>
        </is>
      </c>
    </row>
    <row r="24">
      <c r="A24" t="inlineStr">
        <is>
          <t>No. of mills 1933: parts 402.0 vs Total 402 — reconciles</t>
        </is>
      </c>
    </row>
    <row r="25">
      <c r="A25" t="inlineStr">
        <is>
          <t>No. of mills 1936: parts 422.0 vs Total 422 — reconciles</t>
        </is>
      </c>
    </row>
    <row r="26">
      <c r="A26" t="inlineStr">
        <is>
          <t>No. of mills 1937: parts 366.0 vs Total 365 — does NOT reconcile (diff -1.0)</t>
        </is>
      </c>
    </row>
    <row r="27">
      <c r="A27" t="inlineStr">
        <is>
          <t>Capacity 1923: parts 615.0 vs Total 615 — reconciles</t>
        </is>
      </c>
    </row>
    <row r="28">
      <c r="A28" t="inlineStr">
        <is>
          <t>Capacity 1929: parts 570.0 vs Total 570 — reconciles</t>
        </is>
      </c>
    </row>
    <row r="29">
      <c r="A29" t="inlineStr">
        <is>
          <t>Capacity 1933: parts 439.0 vs Total 439 — reconciles</t>
        </is>
      </c>
    </row>
    <row r="30">
      <c r="A30" t="inlineStr">
        <is>
          <t>Capacity 1936: parts 423.0 vs Total 423 — reconciles</t>
        </is>
      </c>
    </row>
    <row r="31">
      <c r="A31" t="inlineStr">
        <is>
          <t>Capacity 1937: parts 356.0 vs Total 356 — reconciles</t>
        </is>
      </c>
    </row>
  </sheetData>
  <hyperlinks>
    <hyperlink xmlns:r="http://schemas.openxmlformats.org/officeDocument/2006/relationships" ref="A3" r:id="rId1"/>
  </hyperlink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25. Export of Bean Oil and Bean-Cake by Destinations</t>
        </is>
      </c>
    </row>
    <row r="2">
      <c r="A2" t="inlineStr">
        <is>
          <t>Manufacturing Industry · printed pp. 526</t>
        </is>
      </c>
    </row>
    <row r="3">
      <c r="A3" s="3" t="inlineStr">
        <is>
          <t>← Contents</t>
        </is>
      </c>
    </row>
    <row r="5">
      <c r="A5" s="2" t="inlineStr">
        <is>
          <t>(a) Bean Oil — Volume (m. tons)</t>
        </is>
      </c>
    </row>
    <row r="6">
      <c r="A6" s="5" t="inlineStr">
        <is>
          <t>Year</t>
        </is>
      </c>
      <c r="B6" s="5" t="inlineStr">
        <is>
          <t>Japan, Chosen &amp; Taiwan</t>
        </is>
      </c>
      <c r="C6" s="5" t="inlineStr">
        <is>
          <t>China</t>
        </is>
      </c>
      <c r="D6" s="5" t="inlineStr">
        <is>
          <t>Hongkong</t>
        </is>
      </c>
      <c r="E6" s="5" t="inlineStr">
        <is>
          <t>Germany</t>
        </is>
      </c>
      <c r="F6" s="5" t="inlineStr">
        <is>
          <t>Great Britain</t>
        </is>
      </c>
      <c r="G6" s="5" t="inlineStr">
        <is>
          <t>Netherlands</t>
        </is>
      </c>
      <c r="H6" s="5" t="inlineStr">
        <is>
          <t>U.S.A.</t>
        </is>
      </c>
      <c r="I6" s="5" t="inlineStr">
        <is>
          <t>Total incl. Others</t>
        </is>
      </c>
    </row>
    <row r="7">
      <c r="A7" s="9" t="n">
        <v>1932</v>
      </c>
      <c r="B7" s="9" t="n">
        <v>387</v>
      </c>
      <c r="C7" s="6" t="n">
        <v>91200</v>
      </c>
      <c r="D7" t="inlineStr">
        <is>
          <t>—</t>
        </is>
      </c>
      <c r="E7" s="6" t="n">
        <v>20350</v>
      </c>
      <c r="F7" s="6" t="n">
        <v>4220</v>
      </c>
      <c r="G7" s="6" t="n">
        <v>6300</v>
      </c>
      <c r="H7" s="9" t="n">
        <v>998</v>
      </c>
      <c r="I7" s="6" t="n">
        <v>128000</v>
      </c>
    </row>
    <row r="8">
      <c r="A8" s="9" t="n">
        <v>1933</v>
      </c>
      <c r="B8" s="9" t="n">
        <v>278</v>
      </c>
      <c r="C8" s="6" t="n">
        <v>47675</v>
      </c>
      <c r="D8" t="inlineStr">
        <is>
          <t>—</t>
        </is>
      </c>
      <c r="E8" s="6" t="n">
        <v>24400</v>
      </c>
      <c r="F8" s="6" t="n">
        <v>4910</v>
      </c>
      <c r="G8" s="6" t="n">
        <v>2520</v>
      </c>
      <c r="H8" s="6" t="n">
        <v>1960</v>
      </c>
      <c r="I8" s="6" t="n">
        <v>81120</v>
      </c>
    </row>
    <row r="9">
      <c r="A9" s="9" t="n">
        <v>1934</v>
      </c>
      <c r="B9" s="6" t="n">
        <v>1322</v>
      </c>
      <c r="C9" s="6" t="n">
        <v>31800</v>
      </c>
      <c r="D9" s="6" t="n">
        <v>1610</v>
      </c>
      <c r="E9" s="6" t="n">
        <v>43750</v>
      </c>
      <c r="F9" s="6" t="n">
        <v>2520</v>
      </c>
      <c r="G9" s="6" t="n">
        <v>10210</v>
      </c>
      <c r="H9" s="9" t="n">
        <v>426</v>
      </c>
      <c r="I9" s="6" t="n">
        <v>97200</v>
      </c>
    </row>
    <row r="10">
      <c r="A10" s="9" t="n">
        <v>1935</v>
      </c>
      <c r="B10" s="9" t="n">
        <v>755</v>
      </c>
      <c r="C10" s="6" t="n">
        <v>9730</v>
      </c>
      <c r="D10" s="6" t="n">
        <v>9180</v>
      </c>
      <c r="E10" s="6" t="n">
        <v>26200</v>
      </c>
      <c r="F10" s="6" t="n">
        <v>15900</v>
      </c>
      <c r="G10" s="6" t="n">
        <v>11410</v>
      </c>
      <c r="H10" s="6" t="n">
        <v>6000</v>
      </c>
      <c r="I10" s="6" t="n">
        <v>89000</v>
      </c>
    </row>
    <row r="11">
      <c r="A11" s="9" t="n">
        <v>1936</v>
      </c>
      <c r="B11" s="6" t="n">
        <v>1230</v>
      </c>
      <c r="C11" s="6" t="n">
        <v>9720</v>
      </c>
      <c r="D11" s="6" t="n">
        <v>10900</v>
      </c>
      <c r="E11" s="6" t="n">
        <v>26000</v>
      </c>
      <c r="F11" s="6" t="n">
        <v>11390</v>
      </c>
      <c r="G11" s="6" t="n">
        <v>3840</v>
      </c>
      <c r="H11" s="6" t="n">
        <v>2550</v>
      </c>
      <c r="I11" s="6" t="n">
        <v>66000</v>
      </c>
    </row>
    <row r="12">
      <c r="A12" s="9" t="n">
        <v>1937</v>
      </c>
      <c r="B12" s="9" t="n">
        <v>615</v>
      </c>
      <c r="C12" s="6" t="n">
        <v>2306</v>
      </c>
      <c r="D12" s="6" t="n">
        <v>6527</v>
      </c>
      <c r="E12" s="6" t="n">
        <v>19407</v>
      </c>
      <c r="F12" s="6" t="n">
        <v>3443</v>
      </c>
      <c r="G12" s="6" t="n">
        <v>24666</v>
      </c>
      <c r="H12" s="6" t="n">
        <v>5907</v>
      </c>
      <c r="I12" s="6" t="n">
        <v>69654</v>
      </c>
    </row>
    <row r="13">
      <c r="A13" s="9" t="n">
        <v>1938</v>
      </c>
      <c r="B13" s="9" t="n">
        <v>298</v>
      </c>
      <c r="C13" s="6" t="n">
        <v>21166</v>
      </c>
      <c r="D13" s="9" t="n">
        <v>180</v>
      </c>
      <c r="E13" s="6" t="n">
        <v>15907</v>
      </c>
      <c r="F13" s="9" t="n">
        <v>225</v>
      </c>
      <c r="G13" s="6" t="n">
        <v>14441</v>
      </c>
      <c r="H13" s="9" t="n">
        <v>712</v>
      </c>
      <c r="I13" s="6" t="n">
        <v>57248</v>
      </c>
    </row>
    <row r="14">
      <c r="A14" s="9" t="n">
        <v>1939</v>
      </c>
      <c r="B14" s="6" t="n">
        <v>4989</v>
      </c>
      <c r="C14" s="6" t="n">
        <v>22777</v>
      </c>
      <c r="D14" s="9" t="n">
        <v>5</v>
      </c>
      <c r="E14" s="6" t="n">
        <v>9553</v>
      </c>
      <c r="F14" s="9" t="n">
        <v>283</v>
      </c>
      <c r="G14" s="6" t="n">
        <v>8991</v>
      </c>
      <c r="H14" s="6" t="n">
        <v>5579</v>
      </c>
      <c r="I14" s="6" t="n">
        <v>72508</v>
      </c>
    </row>
    <row r="16">
      <c r="A16" s="2" t="inlineStr">
        <is>
          <t>(a) Bean Oil — Value (M¥1,000)</t>
        </is>
      </c>
    </row>
    <row r="17">
      <c r="A17" s="5" t="inlineStr">
        <is>
          <t>Year</t>
        </is>
      </c>
      <c r="B17" s="5" t="inlineStr">
        <is>
          <t>Japan, Chosen &amp; Taiwan</t>
        </is>
      </c>
      <c r="C17" s="5" t="inlineStr">
        <is>
          <t>China</t>
        </is>
      </c>
      <c r="D17" s="5" t="inlineStr">
        <is>
          <t>Hongkong</t>
        </is>
      </c>
      <c r="E17" s="5" t="inlineStr">
        <is>
          <t>Germany</t>
        </is>
      </c>
      <c r="F17" s="5" t="inlineStr">
        <is>
          <t>Great Britain</t>
        </is>
      </c>
      <c r="G17" s="5" t="inlineStr">
        <is>
          <t>Netherlands</t>
        </is>
      </c>
      <c r="H17" s="5" t="inlineStr">
        <is>
          <t>U.S.A.</t>
        </is>
      </c>
      <c r="I17" s="5" t="inlineStr">
        <is>
          <t>Total incl. Others</t>
        </is>
      </c>
    </row>
    <row r="18">
      <c r="A18" s="9" t="n">
        <v>1932</v>
      </c>
      <c r="B18" s="9" t="n">
        <v>79</v>
      </c>
      <c r="C18" s="6" t="n">
        <v>17932</v>
      </c>
      <c r="D18" t="inlineStr">
        <is>
          <t>—</t>
        </is>
      </c>
      <c r="E18" s="6" t="n">
        <v>3768</v>
      </c>
      <c r="F18" s="9" t="n">
        <v>777</v>
      </c>
      <c r="G18" s="6" t="n">
        <v>1086</v>
      </c>
      <c r="H18" s="9" t="n">
        <v>198</v>
      </c>
      <c r="I18" s="6" t="n">
        <v>24512</v>
      </c>
    </row>
    <row r="19">
      <c r="A19" s="9" t="n">
        <v>1933</v>
      </c>
      <c r="B19" s="9" t="n">
        <v>63</v>
      </c>
      <c r="C19" s="6" t="n">
        <v>10519</v>
      </c>
      <c r="D19" t="inlineStr">
        <is>
          <t>—</t>
        </is>
      </c>
      <c r="E19" s="6" t="n">
        <v>5497</v>
      </c>
      <c r="F19" s="6" t="n">
        <v>1127</v>
      </c>
      <c r="G19" t="inlineStr">
        <is>
          <t>.570</t>
        </is>
      </c>
      <c r="H19" s="9" t="n">
        <v>449</v>
      </c>
      <c r="I19" s="6" t="n">
        <v>18473</v>
      </c>
    </row>
    <row r="20">
      <c r="A20" s="9" t="n">
        <v>1934</v>
      </c>
      <c r="B20" s="9" t="n">
        <v>302</v>
      </c>
      <c r="C20" s="6" t="n">
        <v>4792</v>
      </c>
      <c r="D20" s="9" t="n">
        <v>316</v>
      </c>
      <c r="E20" s="6" t="n">
        <v>7703</v>
      </c>
      <c r="F20" s="9" t="n">
        <v>454</v>
      </c>
      <c r="G20" s="6" t="n">
        <v>1754</v>
      </c>
      <c r="H20" s="9" t="n">
        <v>82</v>
      </c>
      <c r="I20" s="6" t="n">
        <v>16262</v>
      </c>
    </row>
    <row r="21">
      <c r="A21" s="9" t="n">
        <v>1935</v>
      </c>
      <c r="B21" s="9" t="n">
        <v>178</v>
      </c>
      <c r="C21" s="6" t="n">
        <v>2208</v>
      </c>
      <c r="D21" s="6" t="n">
        <v>2052</v>
      </c>
      <c r="E21" s="6" t="n">
        <v>5935</v>
      </c>
      <c r="F21" s="6" t="n">
        <v>3584</v>
      </c>
      <c r="G21" s="6" t="n">
        <v>2580</v>
      </c>
      <c r="H21" s="6" t="n">
        <v>1370</v>
      </c>
      <c r="I21" s="6" t="n">
        <v>20132</v>
      </c>
    </row>
    <row r="22">
      <c r="A22" s="9" t="n">
        <v>1936</v>
      </c>
      <c r="B22" s="9" t="n">
        <v>429</v>
      </c>
      <c r="C22" s="6" t="n">
        <v>3111</v>
      </c>
      <c r="D22" s="6" t="n">
        <v>3291</v>
      </c>
      <c r="E22" s="6" t="n">
        <v>8183</v>
      </c>
      <c r="F22" s="6" t="n">
        <v>3551</v>
      </c>
      <c r="G22" s="6" t="n">
        <v>1236</v>
      </c>
      <c r="H22" s="9" t="n">
        <v>860</v>
      </c>
      <c r="I22" s="6" t="n">
        <v>21383</v>
      </c>
    </row>
    <row r="23">
      <c r="A23" s="9" t="n">
        <v>1937</v>
      </c>
      <c r="B23" s="9" t="n">
        <v>219</v>
      </c>
      <c r="C23" s="9" t="n">
        <v>847</v>
      </c>
      <c r="D23" s="6" t="n">
        <v>2411</v>
      </c>
      <c r="E23" s="6" t="n">
        <v>6731</v>
      </c>
      <c r="F23" s="6" t="n">
        <v>1303</v>
      </c>
      <c r="G23" s="6" t="n">
        <v>9253</v>
      </c>
      <c r="H23" s="6" t="n">
        <v>2197</v>
      </c>
      <c r="I23" s="6" t="n">
        <v>25343</v>
      </c>
    </row>
    <row r="24">
      <c r="A24" s="9" t="n">
        <v>1938</v>
      </c>
      <c r="B24" s="9" t="n">
        <v>93</v>
      </c>
      <c r="C24" s="6" t="n">
        <v>5317</v>
      </c>
      <c r="D24" s="9" t="n">
        <v>46</v>
      </c>
      <c r="E24" s="6" t="n">
        <v>3804</v>
      </c>
      <c r="F24" s="9" t="n">
        <v>51</v>
      </c>
      <c r="G24" s="6" t="n">
        <v>3625</v>
      </c>
      <c r="H24" s="9" t="n">
        <v>157</v>
      </c>
      <c r="I24" s="6" t="n">
        <v>14099</v>
      </c>
    </row>
    <row r="25">
      <c r="A25" s="9" t="n">
        <v>1939</v>
      </c>
      <c r="B25" s="6" t="n">
        <v>1774</v>
      </c>
      <c r="C25" s="6" t="n">
        <v>7289</v>
      </c>
      <c r="D25" s="9" t="n">
        <v>3</v>
      </c>
      <c r="E25" s="6" t="n">
        <v>2728</v>
      </c>
      <c r="F25" s="9" t="n">
        <v>76</v>
      </c>
      <c r="G25" s="6" t="n">
        <v>3059</v>
      </c>
      <c r="H25" s="6" t="n">
        <v>1783</v>
      </c>
      <c r="I25" s="6" t="n">
        <v>23051</v>
      </c>
    </row>
    <row r="27">
      <c r="A27" s="2" t="inlineStr">
        <is>
          <t>(b) Bean-cake — Volume (1,000 m. tons)</t>
        </is>
      </c>
    </row>
    <row r="28">
      <c r="A28" s="5" t="inlineStr">
        <is>
          <t>Year</t>
        </is>
      </c>
      <c r="B28" s="5" t="inlineStr">
        <is>
          <t>Japan, Chosen &amp; Taiwan</t>
        </is>
      </c>
      <c r="C28" s="5" t="inlineStr">
        <is>
          <t>China</t>
        </is>
      </c>
      <c r="D28" s="5" t="inlineStr">
        <is>
          <t>Germany</t>
        </is>
      </c>
      <c r="E28" s="5" t="inlineStr">
        <is>
          <t>Netherlands</t>
        </is>
      </c>
      <c r="F28" s="5" t="inlineStr">
        <is>
          <t>U.S.A.</t>
        </is>
      </c>
      <c r="G28" s="5" t="inlineStr">
        <is>
          <t>Great Britain</t>
        </is>
      </c>
      <c r="H28" s="5" t="inlineStr">
        <is>
          <t>Total incl. Others</t>
        </is>
      </c>
      <c r="I28" s="5" t="n"/>
    </row>
    <row r="29">
      <c r="A29" s="9" t="n">
        <v>1932</v>
      </c>
      <c r="B29" s="9" t="n">
        <v>719</v>
      </c>
      <c r="C29" s="9" t="n">
        <v>479</v>
      </c>
      <c r="D29" s="8" t="n">
        <v>43.9</v>
      </c>
      <c r="E29" s="8" t="n">
        <v>11.5</v>
      </c>
      <c r="F29" s="8" t="n">
        <v>12.2</v>
      </c>
      <c r="G29" s="8" t="n">
        <v>3.4</v>
      </c>
      <c r="H29" s="6" t="n">
        <v>1420</v>
      </c>
    </row>
    <row r="30">
      <c r="A30" s="9" t="n">
        <v>1933</v>
      </c>
      <c r="B30" s="9" t="n">
        <v>765</v>
      </c>
      <c r="C30" s="9" t="n">
        <v>234</v>
      </c>
      <c r="D30" s="8" t="n">
        <v>8.4</v>
      </c>
      <c r="E30" s="8" t="n">
        <v>5.2</v>
      </c>
      <c r="F30" s="8" t="n">
        <v>25.4</v>
      </c>
      <c r="G30" s="8" t="n">
        <v>1.6</v>
      </c>
      <c r="H30" s="6" t="n">
        <v>1040</v>
      </c>
    </row>
    <row r="31">
      <c r="A31" s="9" t="n">
        <v>1934</v>
      </c>
      <c r="B31" s="9" t="n">
        <v>972</v>
      </c>
      <c r="C31" s="9" t="n">
        <v>182</v>
      </c>
      <c r="D31" s="8" t="n">
        <v>9.300000000000001</v>
      </c>
      <c r="E31" s="8" t="n">
        <v>4.5</v>
      </c>
      <c r="F31" s="8" t="n">
        <v>30.5</v>
      </c>
      <c r="G31" s="8" t="n">
        <v>1</v>
      </c>
      <c r="H31" s="6" t="n">
        <v>1205</v>
      </c>
    </row>
    <row r="32">
      <c r="A32" s="9" t="n">
        <v>1935</v>
      </c>
      <c r="B32" s="9" t="n">
        <v>765</v>
      </c>
      <c r="C32" s="9" t="n">
        <v>192</v>
      </c>
      <c r="D32" s="8" t="n">
        <v>6.3</v>
      </c>
      <c r="E32" s="8" t="n">
        <v>0.6</v>
      </c>
      <c r="F32" s="8" t="n">
        <v>39.2</v>
      </c>
      <c r="G32" s="8" t="n">
        <v>1.9</v>
      </c>
      <c r="H32" s="9" t="n">
        <v>980</v>
      </c>
    </row>
    <row r="33">
      <c r="A33" s="9" t="n">
        <v>1936</v>
      </c>
      <c r="B33" s="9" t="n">
        <v>701</v>
      </c>
      <c r="C33" s="9" t="n">
        <v>110</v>
      </c>
      <c r="D33" s="8" t="n">
        <v>4.5</v>
      </c>
      <c r="E33" s="8" t="n">
        <v>0.2</v>
      </c>
      <c r="F33" s="8" t="n">
        <v>4.1</v>
      </c>
      <c r="G33" s="9" t="n">
        <v>0</v>
      </c>
      <c r="H33" s="9" t="n">
        <v>849</v>
      </c>
    </row>
    <row r="34">
      <c r="A34" s="9" t="n">
        <v>1937</v>
      </c>
      <c r="B34" s="9" t="n">
        <v>646</v>
      </c>
      <c r="C34" s="9" t="n">
        <v>99</v>
      </c>
      <c r="D34" s="8" t="n">
        <v>4.2</v>
      </c>
      <c r="E34" s="8" t="n">
        <v>0.8</v>
      </c>
      <c r="F34" s="8" t="n">
        <v>37.5</v>
      </c>
      <c r="G34" t="inlineStr">
        <is>
          <t>—</t>
        </is>
      </c>
      <c r="H34" s="9" t="n">
        <v>802</v>
      </c>
    </row>
    <row r="35">
      <c r="A35" s="9" t="n">
        <v>1938</v>
      </c>
      <c r="B35" s="9" t="n">
        <v>807</v>
      </c>
      <c r="C35" s="9" t="n">
        <v>40</v>
      </c>
      <c r="D35" s="8" t="n">
        <v>0.3</v>
      </c>
      <c r="E35" s="8" t="n">
        <v>3.1</v>
      </c>
      <c r="F35" s="8" t="n">
        <v>8.4</v>
      </c>
      <c r="G35" t="inlineStr">
        <is>
          <t>—</t>
        </is>
      </c>
      <c r="H35" s="9" t="n">
        <v>869</v>
      </c>
    </row>
    <row r="36">
      <c r="A36" s="9" t="n">
        <v>1939</v>
      </c>
      <c r="B36" s="6" t="n">
        <v>1077</v>
      </c>
      <c r="C36" s="9" t="n">
        <v>124</v>
      </c>
      <c r="D36" s="8" t="n">
        <v>0.5</v>
      </c>
      <c r="E36" s="8" t="n">
        <v>2.3</v>
      </c>
      <c r="F36" s="8" t="n">
        <v>5.9</v>
      </c>
      <c r="G36" t="inlineStr">
        <is>
          <t>—</t>
        </is>
      </c>
      <c r="H36" s="6" t="n">
        <v>1220</v>
      </c>
    </row>
    <row r="38">
      <c r="A38" s="2" t="inlineStr">
        <is>
          <t>(b) Bean-cake — Value (M¥1,000)</t>
        </is>
      </c>
    </row>
    <row r="39">
      <c r="A39" s="5" t="inlineStr">
        <is>
          <t>Year</t>
        </is>
      </c>
      <c r="B39" s="5" t="inlineStr">
        <is>
          <t>Japan, Chosen &amp; Taiwan</t>
        </is>
      </c>
      <c r="C39" s="5" t="inlineStr">
        <is>
          <t>China</t>
        </is>
      </c>
      <c r="D39" s="5" t="inlineStr">
        <is>
          <t>Germany</t>
        </is>
      </c>
      <c r="E39" s="5" t="inlineStr">
        <is>
          <t>Netherlands</t>
        </is>
      </c>
      <c r="F39" s="5" t="inlineStr">
        <is>
          <t>U.S.A.</t>
        </is>
      </c>
      <c r="G39" s="5" t="inlineStr">
        <is>
          <t>Great Britain</t>
        </is>
      </c>
      <c r="H39" s="5" t="inlineStr">
        <is>
          <t>Total incl. Others</t>
        </is>
      </c>
      <c r="I39" s="5" t="n"/>
    </row>
    <row r="40">
      <c r="A40" s="9" t="n">
        <v>1932</v>
      </c>
      <c r="B40" s="6" t="n">
        <v>34437</v>
      </c>
      <c r="C40" s="6" t="n">
        <v>24700</v>
      </c>
      <c r="D40" s="6" t="n">
        <v>1781</v>
      </c>
      <c r="E40" s="9" t="n">
        <v>424</v>
      </c>
      <c r="F40" s="9" t="n">
        <v>543</v>
      </c>
      <c r="G40" s="9" t="n">
        <v>166</v>
      </c>
      <c r="H40" s="6" t="n">
        <v>66301</v>
      </c>
    </row>
    <row r="41">
      <c r="A41" s="9" t="n">
        <v>1933</v>
      </c>
      <c r="B41" s="6" t="n">
        <v>40948</v>
      </c>
      <c r="C41" s="6" t="n">
        <v>12976</v>
      </c>
      <c r="D41" s="9" t="n">
        <v>471</v>
      </c>
      <c r="E41" s="9" t="n">
        <v>257</v>
      </c>
      <c r="F41" s="6" t="n">
        <v>1265</v>
      </c>
      <c r="G41" s="9" t="n">
        <v>81</v>
      </c>
      <c r="H41" s="6" t="n">
        <v>57614</v>
      </c>
    </row>
    <row r="42">
      <c r="A42" s="9" t="n">
        <v>1934</v>
      </c>
      <c r="B42" s="6" t="n">
        <v>41376</v>
      </c>
      <c r="C42" s="6" t="n">
        <v>7475</v>
      </c>
      <c r="D42" s="9" t="n">
        <v>386</v>
      </c>
      <c r="E42" s="9" t="n">
        <v>184</v>
      </c>
      <c r="F42" s="6" t="n">
        <v>1256</v>
      </c>
      <c r="G42" s="9" t="n">
        <v>39</v>
      </c>
      <c r="H42" s="6" t="n">
        <v>51509</v>
      </c>
    </row>
    <row r="43">
      <c r="A43" s="9" t="n">
        <v>1935</v>
      </c>
      <c r="B43" s="6" t="n">
        <v>38076</v>
      </c>
      <c r="C43" s="6" t="n">
        <v>9946</v>
      </c>
      <c r="D43" s="9" t="n">
        <v>333</v>
      </c>
      <c r="E43" s="9" t="n">
        <v>30</v>
      </c>
      <c r="F43" s="6" t="n">
        <v>1945</v>
      </c>
      <c r="G43" s="9" t="n">
        <v>98</v>
      </c>
      <c r="H43" s="6" t="n">
        <v>51370</v>
      </c>
    </row>
    <row r="44">
      <c r="A44" s="9" t="n">
        <v>1936</v>
      </c>
      <c r="B44" s="6" t="n">
        <v>43220</v>
      </c>
      <c r="C44" s="6" t="n">
        <v>7341</v>
      </c>
      <c r="D44" s="9" t="n">
        <v>320</v>
      </c>
      <c r="E44" s="9" t="n">
        <v>13</v>
      </c>
      <c r="F44" s="6" t="n">
        <v>1610</v>
      </c>
      <c r="G44" s="9" t="n">
        <v>5</v>
      </c>
      <c r="H44" s="6" t="n">
        <v>53127</v>
      </c>
    </row>
    <row r="45">
      <c r="A45" s="9" t="n">
        <v>1937</v>
      </c>
      <c r="B45" s="6" t="n">
        <v>50292</v>
      </c>
      <c r="C45" s="6" t="n">
        <v>7713</v>
      </c>
      <c r="D45" s="9" t="n">
        <v>301</v>
      </c>
      <c r="E45" s="9" t="n">
        <v>59</v>
      </c>
      <c r="F45" s="6" t="n">
        <v>2896</v>
      </c>
      <c r="G45" t="inlineStr">
        <is>
          <t>—</t>
        </is>
      </c>
      <c r="H45" s="6" t="n">
        <v>62336</v>
      </c>
    </row>
    <row r="46">
      <c r="A46" s="9" t="n">
        <v>1938</v>
      </c>
      <c r="B46" s="6" t="n">
        <v>65365</v>
      </c>
      <c r="C46" s="6" t="n">
        <v>3134</v>
      </c>
      <c r="D46" s="9" t="n">
        <v>30</v>
      </c>
      <c r="E46" s="9" t="n">
        <v>284</v>
      </c>
      <c r="F46" s="9" t="n">
        <v>774</v>
      </c>
      <c r="G46" t="inlineStr">
        <is>
          <t>—</t>
        </is>
      </c>
      <c r="H46" s="6" t="n">
        <v>70575</v>
      </c>
    </row>
    <row r="47">
      <c r="A47" s="9" t="n">
        <v>1939</v>
      </c>
      <c r="B47" s="6" t="n">
        <v>110923</v>
      </c>
      <c r="C47" s="6" t="n">
        <v>12378</v>
      </c>
      <c r="D47" s="9" t="n">
        <v>52</v>
      </c>
      <c r="E47" s="9" t="n">
        <v>241</v>
      </c>
      <c r="F47" s="9" t="n">
        <v>626</v>
      </c>
      <c r="G47" t="inlineStr">
        <is>
          <t>—</t>
        </is>
      </c>
      <c r="H47" s="6" t="n">
        <v>125253</v>
      </c>
    </row>
    <row r="49">
      <c r="A49" s="2" t="inlineStr">
        <is>
          <t>Transcriber's notes</t>
        </is>
      </c>
    </row>
    <row r="50">
      <c r="A50" t="inlineStr">
        <is>
          <t>(a) Value 1933 Netherlands printed '.570' (stray point before figure) — transcribed as printed; read as 570 for arithmetic.</t>
        </is>
      </c>
    </row>
    <row r="51">
      <c r="A51" t="inlineStr">
        <is>
          <t>(a) Volume 'Total incl. Others' column printed slightly below the row line; matched in order.</t>
        </is>
      </c>
    </row>
    <row r="52">
      <c r="A52" t="inlineStr">
        <is>
          <t>Totals include others; negative 'others' would indicate non-reconciliation:</t>
        </is>
      </c>
    </row>
    <row r="53">
      <c r="A53" t="inlineStr">
        <is>
          <t>(a) Volume 1932: listed 123,455.0 vs Total incl. Others 128,000 (others +4,545.0)</t>
        </is>
      </c>
    </row>
    <row r="54">
      <c r="A54" t="inlineStr">
        <is>
          <t>(a) Volume 1933: listed 81,743.0 vs Total incl. Others 81,120 (others -623.0)</t>
        </is>
      </c>
    </row>
    <row r="55">
      <c r="A55" t="inlineStr">
        <is>
          <t>(a) Volume 1934: listed 91,638.0 vs Total incl. Others 97,200 (others +5,562.0)</t>
        </is>
      </c>
    </row>
    <row r="56">
      <c r="A56" t="inlineStr">
        <is>
          <t>(a) Volume 1935: listed 79,175.0 vs Total incl. Others 89,000 (others +9,825.0)</t>
        </is>
      </c>
    </row>
    <row r="57">
      <c r="A57" t="inlineStr">
        <is>
          <t>(a) Volume 1936: listed 65,630.0 vs Total incl. Others 66,000 (others +370.0)</t>
        </is>
      </c>
    </row>
    <row r="58">
      <c r="A58" t="inlineStr">
        <is>
          <t>(a) Volume 1937: listed 62,871.0 vs Total incl. Others 69,654 (others +6,783.0)</t>
        </is>
      </c>
    </row>
    <row r="59">
      <c r="A59" t="inlineStr">
        <is>
          <t>(a) Volume 1938: listed 52,929.0 vs Total incl. Others 57,248 (others +4,319.0)</t>
        </is>
      </c>
    </row>
    <row r="60">
      <c r="A60" t="inlineStr">
        <is>
          <t>(a) Volume 1939: listed 52,177.0 vs Total incl. Others 72,508 (others +20,331.0)</t>
        </is>
      </c>
    </row>
    <row r="61">
      <c r="A61" t="inlineStr">
        <is>
          <t>(a) Value 1932: listed 23,840.0 vs Total incl. Others 24,512 (others +672.0)</t>
        </is>
      </c>
    </row>
    <row r="62">
      <c r="A62" t="inlineStr">
        <is>
          <t>(a) Value 1933: listed 18,225.0 vs Total incl. Others 18,473 (others +248.0)</t>
        </is>
      </c>
    </row>
    <row r="63">
      <c r="A63" t="inlineStr">
        <is>
          <t>(a) Value 1934: listed 15,403.0 vs Total incl. Others 16,262 (others +859.0)</t>
        </is>
      </c>
    </row>
    <row r="64">
      <c r="A64" t="inlineStr">
        <is>
          <t>(a) Value 1935: listed 17,907.0 vs Total incl. Others 20,132 (others +2,225.0)</t>
        </is>
      </c>
    </row>
    <row r="65">
      <c r="A65" t="inlineStr">
        <is>
          <t>(a) Value 1936: listed 20,661.0 vs Total incl. Others 21,383 (others +722.0)</t>
        </is>
      </c>
    </row>
    <row r="66">
      <c r="A66" t="inlineStr">
        <is>
          <t>(a) Value 1937: listed 22,961.0 vs Total incl. Others 25,343 (others +2,382.0)</t>
        </is>
      </c>
    </row>
    <row r="67">
      <c r="A67" t="inlineStr">
        <is>
          <t>(a) Value 1938: listed 13,093.0 vs Total incl. Others 14,099 (others +1,006.0)</t>
        </is>
      </c>
    </row>
    <row r="68">
      <c r="A68" t="inlineStr">
        <is>
          <t>(a) Value 1939: listed 16,712.0 vs Total incl. Others 23,051 (others +6,339.0)</t>
        </is>
      </c>
    </row>
    <row r="69">
      <c r="A69" t="inlineStr">
        <is>
          <t>(b) Volume 1932: listed 1,269.0 vs Total incl. Others 1,420 (others +151.0)</t>
        </is>
      </c>
    </row>
    <row r="70">
      <c r="A70" t="inlineStr">
        <is>
          <t>(b) Volume 1933: listed 1,039.6 vs Total incl. Others 1,040 (others +0.4)</t>
        </is>
      </c>
    </row>
    <row r="71">
      <c r="A71" t="inlineStr">
        <is>
          <t>(b) Volume 1934: listed 1,199.3 vs Total incl. Others 1,205 (others +5.7)</t>
        </is>
      </c>
    </row>
    <row r="72">
      <c r="A72" t="inlineStr">
        <is>
          <t>(b) Volume 1935: listed 1,005.0 vs Total incl. Others 980 (others -25.0)</t>
        </is>
      </c>
    </row>
    <row r="73">
      <c r="A73" t="inlineStr">
        <is>
          <t>(b) Volume 1936: listed 819.8 vs Total incl. Others 849 (others +29.2)</t>
        </is>
      </c>
    </row>
    <row r="74">
      <c r="A74" t="inlineStr">
        <is>
          <t>(b) Volume 1937: listed 787.5 vs Total incl. Others 802 (others +14.5)</t>
        </is>
      </c>
    </row>
    <row r="75">
      <c r="A75" t="inlineStr">
        <is>
          <t>(b) Volume 1938: listed 858.8 vs Total incl. Others 869 (others +10.2)</t>
        </is>
      </c>
    </row>
    <row r="76">
      <c r="A76" t="inlineStr">
        <is>
          <t>(b) Volume 1939: listed 1,209.7 vs Total incl. Others 1,220 (others +10.3)</t>
        </is>
      </c>
    </row>
    <row r="77">
      <c r="A77" t="inlineStr">
        <is>
          <t>(b) Value 1932: listed 62,051.0 vs Total incl. Others 66,301 (others +4,250.0)</t>
        </is>
      </c>
    </row>
    <row r="78">
      <c r="A78" t="inlineStr">
        <is>
          <t>(b) Value 1933: listed 55,998.0 vs Total incl. Others 57,614 (others +1,616.0)</t>
        </is>
      </c>
    </row>
    <row r="79">
      <c r="A79" t="inlineStr">
        <is>
          <t>(b) Value 1934: listed 50,716.0 vs Total incl. Others 51,509 (others +793.0)</t>
        </is>
      </c>
    </row>
    <row r="80">
      <c r="A80" t="inlineStr">
        <is>
          <t>(b) Value 1935: listed 50,428.0 vs Total incl. Others 51,370 (others +942.0)</t>
        </is>
      </c>
    </row>
    <row r="81">
      <c r="A81" t="inlineStr">
        <is>
          <t>(b) Value 1936: listed 52,509.0 vs Total incl. Others 53,127 (others +618.0)</t>
        </is>
      </c>
    </row>
    <row r="82">
      <c r="A82" t="inlineStr">
        <is>
          <t>(b) Value 1937: listed 61,261.0 vs Total incl. Others 62,336 (others +1,075.0)</t>
        </is>
      </c>
    </row>
    <row r="83">
      <c r="A83" t="inlineStr">
        <is>
          <t>(b) Value 1938: listed 69,587.0 vs Total incl. Others 70,575 (others +988.0)</t>
        </is>
      </c>
    </row>
    <row r="84">
      <c r="A84" t="inlineStr">
        <is>
          <t>(b) Value 1939: listed 124,220.0 vs Total incl. Others 125,253 (others +1,033.0)</t>
        </is>
      </c>
    </row>
    <row r="85">
      <c r="A85" t="inlineStr">
        <is>
          <t>Does NOT reconcile: (a) Volume 1933 listed destinations exceed Total by 623; (b) Volume 1935 listed exceed Total by 25. Cells re-read; as printed.</t>
        </is>
      </c>
    </row>
  </sheetData>
  <hyperlinks>
    <hyperlink xmlns:r="http://schemas.openxmlformats.org/officeDocument/2006/relationships" ref="A3" r:id="rId1"/>
  </hyperlink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34. Statistics of Flour Mills</t>
        </is>
      </c>
    </row>
    <row r="2">
      <c r="A2" t="inlineStr">
        <is>
          <t>Manufacturing Industry · printed pp. 527</t>
        </is>
      </c>
    </row>
    <row r="3">
      <c r="A3" s="3" t="inlineStr">
        <is>
          <t>← Contents</t>
        </is>
      </c>
    </row>
    <row r="5">
      <c r="A5" s="5" t="inlineStr">
        <is>
          <t>Year Ending Feb.</t>
        </is>
      </c>
      <c r="B5" s="5" t="inlineStr">
        <is>
          <t>Flour mill — No.</t>
        </is>
      </c>
      <c r="C5" s="5" t="inlineStr">
        <is>
          <t>Flour mill — Production capacity per day (bags)</t>
        </is>
      </c>
      <c r="D5" s="5" t="inlineStr">
        <is>
          <t>Demand and supply (in bag of 22 kg.) — Production</t>
        </is>
      </c>
      <c r="E5" s="5" t="inlineStr">
        <is>
          <t>Demand and supply (in bag of 22 kg.) — Import</t>
        </is>
      </c>
      <c r="F5" s="5" t="inlineStr">
        <is>
          <t>Demand and supply (in bag of 22 kg.) — Consumption</t>
        </is>
      </c>
    </row>
    <row r="6">
      <c r="A6" s="9" t="n">
        <v>1933</v>
      </c>
      <c r="B6" t="inlineStr">
        <is>
          <t>—</t>
        </is>
      </c>
      <c r="C6" t="inlineStr">
        <is>
          <t>—</t>
        </is>
      </c>
      <c r="D6" s="6" t="n">
        <v>8809652</v>
      </c>
      <c r="E6" s="6" t="n">
        <v>22931124</v>
      </c>
      <c r="F6" s="6" t="n">
        <v>31740776</v>
      </c>
    </row>
    <row r="7">
      <c r="A7" s="9" t="n">
        <v>1934</v>
      </c>
      <c r="B7" t="inlineStr">
        <is>
          <t>—</t>
        </is>
      </c>
      <c r="C7" t="inlineStr">
        <is>
          <t>—</t>
        </is>
      </c>
      <c r="D7" s="6" t="n">
        <v>7847689</v>
      </c>
      <c r="E7" s="6" t="n">
        <v>23695043</v>
      </c>
      <c r="F7" s="6" t="n">
        <v>31542732</v>
      </c>
    </row>
    <row r="8">
      <c r="A8" s="9" t="n">
        <v>1935</v>
      </c>
      <c r="B8" s="9" t="n">
        <v>70</v>
      </c>
      <c r="C8" s="6" t="n">
        <v>110540</v>
      </c>
      <c r="D8" s="6" t="n">
        <v>11043073</v>
      </c>
      <c r="E8" s="6" t="n">
        <v>21083942</v>
      </c>
      <c r="F8" s="6" t="n">
        <v>32127015</v>
      </c>
    </row>
    <row r="9">
      <c r="A9" s="9" t="n">
        <v>1936</v>
      </c>
      <c r="B9" t="inlineStr">
        <is>
          <t>—</t>
        </is>
      </c>
      <c r="C9" t="inlineStr">
        <is>
          <t>—</t>
        </is>
      </c>
      <c r="D9" s="6" t="n">
        <v>23720796</v>
      </c>
      <c r="E9" s="6" t="n">
        <v>9536683</v>
      </c>
      <c r="F9" s="6" t="n">
        <v>32257479</v>
      </c>
    </row>
    <row r="10">
      <c r="A10" s="9" t="n">
        <v>1937</v>
      </c>
      <c r="B10" s="9" t="n">
        <v>70</v>
      </c>
      <c r="C10" s="6" t="n">
        <v>119840</v>
      </c>
      <c r="D10" s="6" t="n">
        <v>29432378</v>
      </c>
      <c r="E10" s="6" t="n">
        <v>3553671</v>
      </c>
      <c r="F10" s="6" t="n">
        <v>32980049</v>
      </c>
    </row>
    <row r="11">
      <c r="A11" s="9" t="n">
        <v>1938</v>
      </c>
      <c r="B11" s="9" t="n">
        <v>76</v>
      </c>
      <c r="C11" t="inlineStr">
        <is>
          <t>—</t>
        </is>
      </c>
      <c r="D11" t="inlineStr">
        <is>
          <t>—</t>
        </is>
      </c>
      <c r="E11" s="6" t="n">
        <v>10900000</v>
      </c>
      <c r="F11" t="inlineStr">
        <is>
          <t>—</t>
        </is>
      </c>
    </row>
    <row r="12">
      <c r="A12" s="9" t="n">
        <v>1939</v>
      </c>
      <c r="B12" s="9" t="n">
        <v>93</v>
      </c>
      <c r="C12" t="inlineStr">
        <is>
          <t>—</t>
        </is>
      </c>
      <c r="D12" t="inlineStr">
        <is>
          <t>—</t>
        </is>
      </c>
      <c r="E12" s="6" t="n">
        <v>13588273</v>
      </c>
      <c r="F12" t="inlineStr">
        <is>
          <t>—</t>
        </is>
      </c>
    </row>
    <row r="14">
      <c r="A14" s="2" t="inlineStr">
        <is>
          <t>Transcriber's notes</t>
        </is>
      </c>
    </row>
    <row r="15">
      <c r="A15" t="inlineStr">
        <is>
          <t>Table numbering jumps from 25 (p.526) to 34 (p.527) on consecutive pages — irregularity is in the source.</t>
        </is>
      </c>
    </row>
    <row r="16">
      <c r="A16" t="inlineStr">
        <is>
          <t>Consumption is not labelled as a total; comparison with Production + Import given for information:</t>
        </is>
      </c>
    </row>
    <row r="17">
      <c r="A17" t="inlineStr">
        <is>
          <t>1933: Production + Import = 31,740,776 vs Consumption 31,740,776 — equal</t>
        </is>
      </c>
    </row>
    <row r="18">
      <c r="A18" t="inlineStr">
        <is>
          <t>1934: Production + Import = 31,542,732 vs Consumption 31,542,732 — equal</t>
        </is>
      </c>
    </row>
    <row r="19">
      <c r="A19" t="inlineStr">
        <is>
          <t>1935: Production + Import = 32,127,015 vs Consumption 32,127,015 — equal</t>
        </is>
      </c>
    </row>
    <row r="20">
      <c r="A20" t="inlineStr">
        <is>
          <t>1936: Production + Import = 33,257,479 vs Consumption 32,257,479 — differs by -1,000,000</t>
        </is>
      </c>
    </row>
    <row r="21">
      <c r="A21" t="inlineStr">
        <is>
          <t>1937: Production + Import = 32,986,049 vs Consumption 32,980,049 — differs by -6,000</t>
        </is>
      </c>
    </row>
    <row r="22">
      <c r="A22" t="inlineStr">
        <is>
          <t>1936 (diff 1,000,000) and 1937 (diff 6,000) do NOT reconcile; cells re-read on zoomed crop.</t>
        </is>
      </c>
    </row>
  </sheetData>
  <hyperlinks>
    <hyperlink xmlns:r="http://schemas.openxmlformats.org/officeDocument/2006/relationships" ref="A3" r:id="rId1"/>
  </hyperlink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28. Alcohol Factories in Manchoukuo</t>
        </is>
      </c>
    </row>
    <row r="2">
      <c r="A2" t="inlineStr">
        <is>
          <t>Manufacturing Industry · printed pp. 529</t>
        </is>
      </c>
    </row>
    <row r="3">
      <c r="A3" t="inlineStr">
        <is>
          <t>(End of Mar., 1936)</t>
        </is>
      </c>
    </row>
    <row r="4">
      <c r="A4" s="3" t="inlineStr">
        <is>
          <t>← Contents</t>
        </is>
      </c>
    </row>
    <row r="6">
      <c r="A6" s="5" t="inlineStr">
        <is>
          <t>Name of companies</t>
        </is>
      </c>
      <c r="B6" s="5" t="inlineStr">
        <is>
          <t>Locality</t>
        </is>
      </c>
      <c r="C6" s="5" t="inlineStr">
        <is>
          <t>24-hour Capacity (Hecto-litres)</t>
        </is>
      </c>
    </row>
    <row r="7">
      <c r="A7" t="inlineStr">
        <is>
          <t>Tatung (1st)</t>
        </is>
      </c>
      <c r="B7" t="inlineStr">
        <is>
          <t>Harbin</t>
        </is>
      </c>
      <c r="C7" s="11" t="n">
        <v>16</v>
      </c>
    </row>
    <row r="8">
      <c r="A8" t="inlineStr">
        <is>
          <t>„ (2nd)</t>
        </is>
      </c>
      <c r="B8" t="inlineStr">
        <is>
          <t>„</t>
        </is>
      </c>
      <c r="C8" s="11" t="n">
        <v>14.8</v>
      </c>
    </row>
    <row r="9">
      <c r="A9" t="inlineStr">
        <is>
          <t>„ (3rd)</t>
        </is>
      </c>
      <c r="B9" t="inlineStr">
        <is>
          <t>„</t>
        </is>
      </c>
      <c r="C9" s="11" t="n">
        <v>3.08</v>
      </c>
    </row>
    <row r="10">
      <c r="A10" t="inlineStr">
        <is>
          <t>Szehohsing</t>
        </is>
      </c>
      <c r="B10" t="inlineStr">
        <is>
          <t>Hailar</t>
        </is>
      </c>
      <c r="C10" s="11" t="n">
        <v>3.08</v>
      </c>
    </row>
    <row r="11">
      <c r="A11" t="inlineStr">
        <is>
          <t>Tungyung</t>
        </is>
      </c>
      <c r="B11" t="inlineStr">
        <is>
          <t>Tungning</t>
        </is>
      </c>
      <c r="C11" s="11" t="n">
        <v>1.23</v>
      </c>
    </row>
    <row r="12">
      <c r="A12" t="inlineStr">
        <is>
          <t>Changhua</t>
        </is>
      </c>
      <c r="B12" t="inlineStr">
        <is>
          <t>Harbin</t>
        </is>
      </c>
      <c r="C12" s="11" t="n">
        <v>5.54</v>
      </c>
    </row>
    <row r="13">
      <c r="A13" t="inlineStr">
        <is>
          <t>Tahsing</t>
        </is>
      </c>
      <c r="B13" t="inlineStr">
        <is>
          <t>„</t>
        </is>
      </c>
      <c r="C13" s="11" t="n">
        <v>3.08</v>
      </c>
    </row>
    <row r="14">
      <c r="A14" t="inlineStr">
        <is>
          <t>Tunghsing</t>
        </is>
      </c>
      <c r="B14" t="inlineStr">
        <is>
          <t>„</t>
        </is>
      </c>
      <c r="C14" s="11" t="n">
        <v>2.46</v>
      </c>
    </row>
    <row r="15">
      <c r="A15" t="inlineStr">
        <is>
          <t>Chenpien</t>
        </is>
      </c>
      <c r="B15" t="inlineStr">
        <is>
          <t>Taheiho</t>
        </is>
      </c>
      <c r="C15" s="11" t="n">
        <v>8.609999999999999</v>
      </c>
    </row>
    <row r="16">
      <c r="A16" t="inlineStr">
        <is>
          <t>Shangkao</t>
        </is>
      </c>
      <c r="B16" t="inlineStr">
        <is>
          <t>Harbin</t>
        </is>
      </c>
      <c r="C16" s="11" t="n">
        <v>6.15</v>
      </c>
    </row>
    <row r="17">
      <c r="A17" t="inlineStr">
        <is>
          <t>North Manchuria Sugar Mfg. Co.</t>
        </is>
      </c>
      <c r="B17" t="inlineStr">
        <is>
          <t>Ashih-ho</t>
        </is>
      </c>
      <c r="C17" s="11" t="n">
        <v>8.609999999999999</v>
      </c>
    </row>
    <row r="18">
      <c r="A18" t="inlineStr">
        <is>
          <t>Manchuria Sugar Mfg. Co.</t>
        </is>
      </c>
      <c r="B18" t="inlineStr">
        <is>
          <t>Mukden, Hulan</t>
        </is>
      </c>
      <c r="C18" s="11" t="n">
        <v>8.609999999999999</v>
      </c>
    </row>
    <row r="19">
      <c r="A19" t="inlineStr">
        <is>
          <t>Total</t>
        </is>
      </c>
      <c r="B19" t="inlineStr"/>
      <c r="C19" s="11" t="n">
        <v>81.25</v>
      </c>
    </row>
    <row r="21">
      <c r="A21" s="2" t="inlineStr">
        <is>
          <t>Transcriber's notes</t>
        </is>
      </c>
    </row>
    <row r="22">
      <c r="A22" t="inlineStr">
        <is>
          <t>Printed in two side-by-side blocks; merged.</t>
        </is>
      </c>
    </row>
    <row r="23">
      <c r="A23" t="inlineStr">
        <is>
          <t>Tables printed out of numerical order on p.529 (28 before 26); numbering as printed.</t>
        </is>
      </c>
    </row>
    <row r="24">
      <c r="A24" t="inlineStr">
        <is>
          <t>'Changhua' — second letter slightly blurred ('Chunghua'?); read as Changhua.</t>
        </is>
      </c>
    </row>
    <row r="25">
      <c r="A25" t="inlineStr">
        <is>
          <t>Total 81.25: parts sum to 81.25 — reconciles</t>
        </is>
      </c>
    </row>
  </sheetData>
  <hyperlinks>
    <hyperlink xmlns:r="http://schemas.openxmlformats.org/officeDocument/2006/relationships" ref="A4" r:id="rId1"/>
  </hyperlink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26. Production of Alcoholic Liquors in Kwantung</t>
        </is>
      </c>
    </row>
    <row r="2">
      <c r="A2" t="inlineStr">
        <is>
          <t>Manufacturing Industry · printed pp. 529</t>
        </is>
      </c>
    </row>
    <row r="3">
      <c r="A3" t="inlineStr">
        <is>
          <t>(Volume in koku; Value in yen)</t>
        </is>
      </c>
    </row>
    <row r="4">
      <c r="A4" s="3" t="inlineStr">
        <is>
          <t>← Contents</t>
        </is>
      </c>
    </row>
    <row r="6">
      <c r="A6" s="5" t="inlineStr">
        <is>
          <t>Year</t>
        </is>
      </c>
      <c r="B6" s="5" t="inlineStr">
        <is>
          <t>Production — Japanese sake — Volume</t>
        </is>
      </c>
      <c r="C6" s="5" t="inlineStr">
        <is>
          <t>Production — Japanese sake — Value</t>
        </is>
      </c>
      <c r="D6" s="5" t="inlineStr">
        <is>
          <t>Production — Chinese liquors — Volume</t>
        </is>
      </c>
      <c r="E6" s="5" t="inlineStr">
        <is>
          <t>Production — Chinese liquors — Value</t>
        </is>
      </c>
    </row>
    <row r="7">
      <c r="A7" s="9" t="n">
        <v>1933</v>
      </c>
      <c r="B7" s="6" t="n">
        <v>9853</v>
      </c>
      <c r="C7" s="6" t="n">
        <v>553780</v>
      </c>
      <c r="D7" s="6" t="n">
        <v>9928</v>
      </c>
      <c r="E7" s="6" t="n">
        <v>539559</v>
      </c>
    </row>
    <row r="8">
      <c r="A8" s="9" t="n">
        <v>1934</v>
      </c>
      <c r="B8" s="6" t="n">
        <v>16420</v>
      </c>
      <c r="C8" s="6" t="n">
        <v>1010670</v>
      </c>
      <c r="D8" s="6" t="n">
        <v>9792</v>
      </c>
      <c r="E8" s="6" t="n">
        <v>497529</v>
      </c>
    </row>
    <row r="9">
      <c r="A9" s="9" t="n">
        <v>1935</v>
      </c>
      <c r="B9" s="6" t="n">
        <v>14740</v>
      </c>
      <c r="C9" s="6" t="n">
        <v>925333</v>
      </c>
      <c r="D9" s="6" t="n">
        <v>10994</v>
      </c>
      <c r="E9" s="6" t="n">
        <v>493608</v>
      </c>
    </row>
    <row r="10">
      <c r="A10" s="9" t="n">
        <v>1936</v>
      </c>
      <c r="B10" s="6" t="n">
        <v>12254</v>
      </c>
      <c r="C10" s="6" t="n">
        <v>725500</v>
      </c>
      <c r="D10" s="6" t="n">
        <v>12078</v>
      </c>
      <c r="E10" s="6" t="n">
        <v>518607</v>
      </c>
    </row>
    <row r="11">
      <c r="A11" s="9" t="n">
        <v>1937</v>
      </c>
      <c r="B11" s="6" t="n">
        <v>10725</v>
      </c>
      <c r="C11" s="6" t="n">
        <v>663148</v>
      </c>
      <c r="D11" s="6" t="n">
        <v>7694</v>
      </c>
      <c r="E11" s="6" t="n">
        <v>567373</v>
      </c>
    </row>
    <row r="12">
      <c r="A12" s="9" t="n">
        <v>1938</v>
      </c>
      <c r="B12" t="inlineStr">
        <is>
          <t>—</t>
        </is>
      </c>
      <c r="C12" s="6" t="n">
        <v>759398</v>
      </c>
      <c r="D12" t="inlineStr">
        <is>
          <t>—</t>
        </is>
      </c>
      <c r="E12" s="6" t="n">
        <v>792998</v>
      </c>
    </row>
    <row r="14">
      <c r="A14" s="2" t="inlineStr">
        <is>
          <t>Transcriber's notes</t>
        </is>
      </c>
    </row>
    <row r="15">
      <c r="A15" t="inlineStr">
        <is>
          <t>No totals printed.</t>
        </is>
      </c>
    </row>
  </sheetData>
  <hyperlinks>
    <hyperlink xmlns:r="http://schemas.openxmlformats.org/officeDocument/2006/relationships" ref="A4" r:id="rId1"/>
  </hyperlink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27. Beer Brewery Companies in Manchoukuo</t>
        </is>
      </c>
    </row>
    <row r="2">
      <c r="A2" t="inlineStr">
        <is>
          <t>Manufacturing Industry · printed pp. 530</t>
        </is>
      </c>
    </row>
    <row r="3">
      <c r="A3" t="inlineStr">
        <is>
          <t>(End of May, 1938)</t>
        </is>
      </c>
    </row>
    <row r="4">
      <c r="A4" s="3" t="inlineStr">
        <is>
          <t>← Contents</t>
        </is>
      </c>
    </row>
    <row r="6">
      <c r="A6" s="5" t="inlineStr">
        <is>
          <t>Company</t>
        </is>
      </c>
      <c r="B6" s="5" t="inlineStr">
        <is>
          <t>Locality</t>
        </is>
      </c>
      <c r="C6" s="5" t="inlineStr">
        <is>
          <t>Established</t>
        </is>
      </c>
      <c r="D6" s="5" t="inlineStr">
        <is>
          <t>Authorized Capital</t>
        </is>
      </c>
      <c r="E6" s="5" t="inlineStr">
        <is>
          <t>Annual Capacity (Bottles)</t>
        </is>
      </c>
    </row>
    <row r="7">
      <c r="A7" t="inlineStr">
        <is>
          <t>Dai-Manshu Hop Beer Brewery Co. (a)</t>
        </is>
      </c>
      <c r="B7" t="inlineStr">
        <is>
          <t>Harbin</t>
        </is>
      </c>
      <c r="C7" s="9" t="n">
        <v>1934</v>
      </c>
      <c r="D7" t="inlineStr">
        <is>
          <t>¥2,500,000</t>
        </is>
      </c>
      <c r="E7" s="6" t="n">
        <v>5000000</v>
      </c>
    </row>
    <row r="8">
      <c r="A8" t="inlineStr">
        <is>
          <t>Harbin Beer Brewery Co. (b)</t>
        </is>
      </c>
      <c r="B8" t="inlineStr">
        <is>
          <t>„</t>
        </is>
      </c>
      <c r="C8" s="9" t="n">
        <v>1936</v>
      </c>
      <c r="D8" s="6" t="n">
        <v>2000000</v>
      </c>
      <c r="E8" s="6" t="n">
        <v>4800000</v>
      </c>
    </row>
    <row r="9">
      <c r="A9" t="inlineStr">
        <is>
          <t>Tahsing „ „ „ (c)</t>
        </is>
      </c>
      <c r="B9" t="inlineStr">
        <is>
          <t>„</t>
        </is>
      </c>
      <c r="C9" t="inlineStr">
        <is>
          <t>—</t>
        </is>
      </c>
      <c r="D9" t="inlineStr">
        <is>
          <t>—</t>
        </is>
      </c>
      <c r="E9" s="6" t="n">
        <v>3500000</v>
      </c>
    </row>
    <row r="10">
      <c r="A10" t="inlineStr">
        <is>
          <t>Manchuria „ „ „</t>
        </is>
      </c>
      <c r="B10" t="inlineStr">
        <is>
          <t>Mukden</t>
        </is>
      </c>
      <c r="C10" s="9" t="n">
        <v>1934</v>
      </c>
      <c r="D10" s="6" t="n">
        <v>2000000</v>
      </c>
      <c r="E10" s="6" t="n">
        <v>9600000</v>
      </c>
    </row>
    <row r="11">
      <c r="A11" t="inlineStr">
        <is>
          <t>Asia „ „ „ (a)</t>
        </is>
      </c>
      <c r="B11" t="inlineStr">
        <is>
          <t>„</t>
        </is>
      </c>
      <c r="C11" s="9" t="n">
        <v>1936</v>
      </c>
      <c r="D11" s="6" t="n">
        <v>1000000</v>
      </c>
      <c r="E11" s="6" t="n">
        <v>5760000</v>
      </c>
    </row>
    <row r="12">
      <c r="A12" t="inlineStr">
        <is>
          <t>Oriental „ „ „</t>
        </is>
      </c>
      <c r="B12" t="inlineStr">
        <is>
          <t>Harbin</t>
        </is>
      </c>
      <c r="C12" s="9" t="n">
        <v>1933</v>
      </c>
      <c r="D12" t="inlineStr">
        <is>
          <t>—</t>
        </is>
      </c>
      <c r="E12" s="6" t="n">
        <v>400000</v>
      </c>
    </row>
    <row r="13">
      <c r="A13" t="inlineStr">
        <is>
          <t>Harbin Beer Factory</t>
        </is>
      </c>
      <c r="B13" t="inlineStr">
        <is>
          <t>„</t>
        </is>
      </c>
      <c r="C13" s="9" t="n">
        <v>1933</v>
      </c>
      <c r="D13" t="inlineStr">
        <is>
          <t>—</t>
        </is>
      </c>
      <c r="E13" s="6" t="n">
        <v>300000</v>
      </c>
    </row>
    <row r="14">
      <c r="A14" t="inlineStr">
        <is>
          <t>Total</t>
        </is>
      </c>
      <c r="B14" t="inlineStr">
        <is>
          <t>—</t>
        </is>
      </c>
      <c r="C14" t="inlineStr">
        <is>
          <t>—</t>
        </is>
      </c>
      <c r="D14" t="inlineStr">
        <is>
          <t>—</t>
        </is>
      </c>
      <c r="E14" s="6" t="n">
        <v>29360000</v>
      </c>
    </row>
    <row r="16">
      <c r="A16" s="2" t="inlineStr">
        <is>
          <t>Transcriber's notes</t>
        </is>
      </c>
    </row>
    <row r="17">
      <c r="A17" t="inlineStr">
        <is>
          <t>'Etab-lished' printed in header (misprint for Established).</t>
        </is>
      </c>
    </row>
    <row r="18">
      <c r="A18" t="inlineStr">
        <is>
          <t>Marks (a), (b), (c) after company names have no printed key on this page.</t>
        </is>
      </c>
    </row>
    <row r="19">
      <c r="A19" t="inlineStr">
        <is>
          <t>Total 29,360,000: parts sum to 29,360,000 — reconciles</t>
        </is>
      </c>
    </row>
  </sheetData>
  <hyperlinks>
    <hyperlink xmlns:r="http://schemas.openxmlformats.org/officeDocument/2006/relationships" ref="A4" r:id="rId1"/>
  </hyperlink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29. Production of Soy and Miso (Bean Paste) in Kwantung</t>
        </is>
      </c>
    </row>
    <row r="2">
      <c r="A2" t="inlineStr">
        <is>
          <t>Manufacturing Industry · printed pp. 531</t>
        </is>
      </c>
    </row>
    <row r="3">
      <c r="A3" s="3" t="inlineStr">
        <is>
          <t>← Contents</t>
        </is>
      </c>
    </row>
    <row r="5">
      <c r="A5" s="5" t="inlineStr">
        <is>
          <t>Year</t>
        </is>
      </c>
      <c r="B5" s="5" t="inlineStr">
        <is>
          <t>No. of plants</t>
        </is>
      </c>
      <c r="C5" s="5" t="inlineStr">
        <is>
          <t>Production — Miso — Volume (Kwan)</t>
        </is>
      </c>
      <c r="D5" s="5" t="inlineStr">
        <is>
          <t>Production — Miso — Value (Yen)</t>
        </is>
      </c>
      <c r="E5" s="5" t="inlineStr">
        <is>
          <t>Production — Soy — Volume (Koku)</t>
        </is>
      </c>
      <c r="F5" s="5" t="inlineStr">
        <is>
          <t>Production — Soy — Value (Yen)</t>
        </is>
      </c>
    </row>
    <row r="6">
      <c r="A6" s="9" t="n">
        <v>1931</v>
      </c>
      <c r="B6" s="9" t="n">
        <v>16</v>
      </c>
      <c r="C6" s="6" t="n">
        <v>646691</v>
      </c>
      <c r="D6" s="6" t="n">
        <v>230725</v>
      </c>
      <c r="E6" s="6" t="n">
        <v>20950</v>
      </c>
      <c r="F6" s="6" t="n">
        <v>520633</v>
      </c>
    </row>
    <row r="7">
      <c r="A7" s="9" t="n">
        <v>1932</v>
      </c>
      <c r="B7" s="9" t="n">
        <v>17</v>
      </c>
      <c r="C7" s="6" t="n">
        <v>837850</v>
      </c>
      <c r="D7" s="6" t="n">
        <v>312540</v>
      </c>
      <c r="E7" s="6" t="n">
        <v>58069</v>
      </c>
      <c r="F7" s="6" t="n">
        <v>553388</v>
      </c>
    </row>
    <row r="8">
      <c r="A8" s="9" t="n">
        <v>1933</v>
      </c>
      <c r="B8" s="9" t="n">
        <v>22</v>
      </c>
      <c r="C8" s="6" t="n">
        <v>953129</v>
      </c>
      <c r="D8" s="6" t="n">
        <v>338751</v>
      </c>
      <c r="E8" s="6" t="n">
        <v>39714</v>
      </c>
      <c r="F8" s="6" t="n">
        <v>923542</v>
      </c>
    </row>
    <row r="9">
      <c r="A9" s="9" t="n">
        <v>1934</v>
      </c>
      <c r="B9" s="9" t="n">
        <v>22</v>
      </c>
      <c r="C9" s="6" t="n">
        <v>1090711</v>
      </c>
      <c r="D9" s="6" t="n">
        <v>453757</v>
      </c>
      <c r="E9" s="6" t="n">
        <v>49259</v>
      </c>
      <c r="F9" s="6" t="n">
        <v>1168904</v>
      </c>
    </row>
    <row r="10">
      <c r="A10" s="9" t="n">
        <v>1935</v>
      </c>
      <c r="B10" s="9" t="n">
        <v>24</v>
      </c>
      <c r="C10" s="6" t="n">
        <v>1357560</v>
      </c>
      <c r="D10" s="6" t="n">
        <v>495464</v>
      </c>
      <c r="E10" s="6" t="n">
        <v>52102</v>
      </c>
      <c r="F10" s="6" t="n">
        <v>1136847</v>
      </c>
    </row>
    <row r="11">
      <c r="A11" s="9" t="n">
        <v>1936</v>
      </c>
      <c r="B11" s="9" t="n">
        <v>31</v>
      </c>
      <c r="C11" s="6" t="n">
        <v>1485739</v>
      </c>
      <c r="D11" s="6" t="n">
        <v>712848</v>
      </c>
      <c r="E11" s="6" t="n">
        <v>116734</v>
      </c>
      <c r="F11" s="6" t="n">
        <v>1373284</v>
      </c>
    </row>
    <row r="12">
      <c r="A12" s="9" t="n">
        <v>1937</v>
      </c>
      <c r="B12" s="9" t="n">
        <v>22</v>
      </c>
      <c r="C12" s="6" t="n">
        <v>982398</v>
      </c>
      <c r="D12" s="6" t="n">
        <v>345658</v>
      </c>
      <c r="E12" s="6" t="n">
        <v>44253</v>
      </c>
      <c r="F12" s="6" t="n">
        <v>961475</v>
      </c>
    </row>
    <row r="13">
      <c r="A13" s="9" t="n">
        <v>1938</v>
      </c>
      <c r="B13" t="inlineStr">
        <is>
          <t>—</t>
        </is>
      </c>
      <c r="C13" t="inlineStr">
        <is>
          <t>—</t>
        </is>
      </c>
      <c r="D13" s="6" t="n">
        <v>792652</v>
      </c>
      <c r="E13" t="inlineStr">
        <is>
          <t>—</t>
        </is>
      </c>
      <c r="F13" s="6" t="n">
        <v>1226872</v>
      </c>
    </row>
    <row r="15">
      <c r="A15" s="2" t="inlineStr">
        <is>
          <t>Footnotes</t>
        </is>
      </c>
    </row>
    <row r="16">
      <c r="A16" t="inlineStr">
        <is>
          <t>Note: Factories operating less than 5 workers excluded.</t>
        </is>
      </c>
    </row>
    <row r="18">
      <c r="A18" s="2" t="inlineStr">
        <is>
          <t>Transcriber's notes</t>
        </is>
      </c>
    </row>
    <row r="19">
      <c r="A19" t="inlineStr">
        <is>
          <t>Year labels set about half a line below the figures; matched in order.</t>
        </is>
      </c>
    </row>
    <row r="20">
      <c r="A20" t="inlineStr">
        <is>
          <t>No totals printed.</t>
        </is>
      </c>
    </row>
  </sheetData>
  <hyperlinks>
    <hyperlink xmlns:r="http://schemas.openxmlformats.org/officeDocument/2006/relationships" ref="A3" r:id="rId1"/>
  </hyperlink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30-A. Sugar Production in Manchoukuo</t>
        </is>
      </c>
    </row>
    <row r="2">
      <c r="A2" t="inlineStr">
        <is>
          <t>Manufacturing Industry · printed pp. 531, 532</t>
        </is>
      </c>
    </row>
    <row r="3">
      <c r="A3" t="inlineStr">
        <is>
          <t>(In piculs)</t>
        </is>
      </c>
    </row>
    <row r="4">
      <c r="A4" s="3" t="inlineStr">
        <is>
          <t>← Contents</t>
        </is>
      </c>
    </row>
    <row r="6">
      <c r="A6" s="5" t="inlineStr">
        <is>
          <t>Crop Year Ending Feb.</t>
        </is>
      </c>
      <c r="B6" s="5" t="inlineStr">
        <is>
          <t>Manchuria Sugar Manufacturing Co. — Mukden (Former South Manchuria Sugar Mfg. Co.)</t>
        </is>
      </c>
      <c r="C6" s="5" t="inlineStr">
        <is>
          <t>Manchuria Sugar Manufacturing Co. — Hsinking (Former Tiehling)</t>
        </is>
      </c>
      <c r="D6" s="5" t="inlineStr">
        <is>
          <t>Manchuria Sugar Manufacturing Co. — Harbin (Former Hulan Sugar Mfg. Co.)</t>
        </is>
      </c>
      <c r="E6" s="5" t="inlineStr">
        <is>
          <t>Manchuria Sugar Manufacturing Co. — Total</t>
        </is>
      </c>
      <c r="F6" s="5" t="inlineStr">
        <is>
          <t>North Manchuria Sugar Mfg. Co., Ashiho</t>
        </is>
      </c>
      <c r="G6" s="5" t="inlineStr">
        <is>
          <t>Grand Total</t>
        </is>
      </c>
    </row>
    <row r="7">
      <c r="A7" s="9" t="n">
        <v>1920</v>
      </c>
      <c r="B7" s="6" t="n">
        <v>23496</v>
      </c>
      <c r="C7" t="inlineStr">
        <is>
          <t>—</t>
        </is>
      </c>
      <c r="D7" t="inlineStr">
        <is>
          <t>—</t>
        </is>
      </c>
      <c r="E7" s="6" t="n">
        <v>23496</v>
      </c>
      <c r="F7" s="6" t="n">
        <v>21021</v>
      </c>
      <c r="G7" s="6" t="n">
        <v>44517</v>
      </c>
    </row>
    <row r="8">
      <c r="A8" s="9" t="n">
        <v>1921</v>
      </c>
      <c r="B8" s="6" t="n">
        <v>58434</v>
      </c>
      <c r="C8" t="inlineStr">
        <is>
          <t>—</t>
        </is>
      </c>
      <c r="D8" t="inlineStr">
        <is>
          <t>—</t>
        </is>
      </c>
      <c r="E8" s="6" t="n">
        <v>58434</v>
      </c>
      <c r="F8" s="6" t="n">
        <v>15834</v>
      </c>
      <c r="G8" s="6" t="n">
        <v>74268</v>
      </c>
    </row>
    <row r="9">
      <c r="A9" s="9" t="n">
        <v>1922</v>
      </c>
      <c r="B9" s="6" t="n">
        <v>60075</v>
      </c>
      <c r="C9" t="inlineStr">
        <is>
          <t>—</t>
        </is>
      </c>
      <c r="D9" t="inlineStr">
        <is>
          <t>—</t>
        </is>
      </c>
      <c r="E9" s="6" t="n">
        <v>60075</v>
      </c>
      <c r="F9" s="6" t="n">
        <v>9282</v>
      </c>
      <c r="G9" s="6" t="n">
        <v>69357</v>
      </c>
    </row>
    <row r="10">
      <c r="A10" s="9" t="n">
        <v>1923</v>
      </c>
      <c r="B10" s="6" t="n">
        <v>73702</v>
      </c>
      <c r="C10" s="6" t="n">
        <v>16382</v>
      </c>
      <c r="D10" s="6" t="n">
        <v>38220</v>
      </c>
      <c r="E10" s="6" t="n">
        <v>90084</v>
      </c>
      <c r="F10" s="6" t="n">
        <v>12831</v>
      </c>
      <c r="G10" s="6" t="n">
        <v>141135</v>
      </c>
    </row>
    <row r="11">
      <c r="A11" s="9" t="n">
        <v>1924</v>
      </c>
      <c r="B11" s="6" t="n">
        <v>52156</v>
      </c>
      <c r="C11" s="6" t="n">
        <v>23590</v>
      </c>
      <c r="D11" s="6" t="n">
        <v>40950</v>
      </c>
      <c r="E11" s="6" t="n">
        <v>75746</v>
      </c>
      <c r="F11" s="6" t="n">
        <v>43680</v>
      </c>
      <c r="G11" s="6" t="n">
        <v>160376</v>
      </c>
    </row>
    <row r="12">
      <c r="A12" s="9" t="n">
        <v>1925</v>
      </c>
      <c r="B12" s="6" t="n">
        <v>13545</v>
      </c>
      <c r="C12" s="6" t="n">
        <v>24659</v>
      </c>
      <c r="D12" t="inlineStr">
        <is>
          <t>*40,000</t>
        </is>
      </c>
      <c r="E12" s="6" t="n">
        <v>38204</v>
      </c>
      <c r="F12" s="6" t="n">
        <v>27437</v>
      </c>
      <c r="G12" t="inlineStr">
        <is>
          <t>*105,641</t>
        </is>
      </c>
    </row>
    <row r="13">
      <c r="A13" s="9" t="n">
        <v>1926</v>
      </c>
      <c r="B13" s="6" t="n">
        <v>50191</v>
      </c>
      <c r="C13" s="6" t="n">
        <v>47003</v>
      </c>
      <c r="D13" t="inlineStr">
        <is>
          <t>—</t>
        </is>
      </c>
      <c r="E13" s="6" t="n">
        <v>97194</v>
      </c>
      <c r="F13" t="inlineStr">
        <is>
          <t>*30,681</t>
        </is>
      </c>
      <c r="G13" t="inlineStr">
        <is>
          <t>*127,875</t>
        </is>
      </c>
    </row>
    <row r="14">
      <c r="A14" s="9" t="n">
        <v>1927</v>
      </c>
      <c r="B14" t="inlineStr">
        <is>
          <t>—</t>
        </is>
      </c>
      <c r="C14" t="inlineStr">
        <is>
          <t>—</t>
        </is>
      </c>
      <c r="D14" t="inlineStr">
        <is>
          <t>—</t>
        </is>
      </c>
      <c r="E14" t="inlineStr">
        <is>
          <t>—</t>
        </is>
      </c>
      <c r="F14" t="inlineStr">
        <is>
          <t>*11,712</t>
        </is>
      </c>
      <c r="G14" t="inlineStr">
        <is>
          <t>*11,712</t>
        </is>
      </c>
    </row>
    <row r="15">
      <c r="A15" s="9" t="n">
        <v>1928</v>
      </c>
      <c r="B15" t="inlineStr">
        <is>
          <t>—</t>
        </is>
      </c>
      <c r="C15" t="inlineStr">
        <is>
          <t>—</t>
        </is>
      </c>
      <c r="D15" t="inlineStr">
        <is>
          <t>—</t>
        </is>
      </c>
      <c r="E15" t="inlineStr">
        <is>
          <t>—</t>
        </is>
      </c>
      <c r="F15" t="inlineStr">
        <is>
          <t>*31,941</t>
        </is>
      </c>
      <c r="G15" t="inlineStr">
        <is>
          <t>*31,941</t>
        </is>
      </c>
    </row>
    <row r="16">
      <c r="A16" s="9" t="n">
        <v>1929</v>
      </c>
      <c r="B16" t="inlineStr">
        <is>
          <t>—</t>
        </is>
      </c>
      <c r="C16" t="inlineStr">
        <is>
          <t>—</t>
        </is>
      </c>
      <c r="D16" s="6" t="n">
        <v>2379</v>
      </c>
      <c r="E16" t="inlineStr">
        <is>
          <t>—</t>
        </is>
      </c>
      <c r="F16" t="inlineStr">
        <is>
          <t>—</t>
        </is>
      </c>
      <c r="G16" s="6" t="n">
        <v>2379</v>
      </c>
    </row>
    <row r="17">
      <c r="A17" s="9" t="n">
        <v>1930</v>
      </c>
      <c r="B17" t="inlineStr">
        <is>
          <t>—</t>
        </is>
      </c>
      <c r="C17" t="inlineStr">
        <is>
          <t>—</t>
        </is>
      </c>
      <c r="D17" s="6" t="n">
        <v>1830</v>
      </c>
      <c r="E17" t="inlineStr">
        <is>
          <t>—</t>
        </is>
      </c>
      <c r="F17" t="inlineStr">
        <is>
          <t>—</t>
        </is>
      </c>
      <c r="G17" s="6" t="n">
        <v>1830</v>
      </c>
    </row>
    <row r="18">
      <c r="A18" s="9" t="n">
        <v>1931</v>
      </c>
      <c r="B18" t="inlineStr">
        <is>
          <t>—</t>
        </is>
      </c>
      <c r="C18" t="inlineStr">
        <is>
          <t>—</t>
        </is>
      </c>
      <c r="D18" t="inlineStr">
        <is>
          <t>—</t>
        </is>
      </c>
      <c r="E18" t="inlineStr">
        <is>
          <t>—</t>
        </is>
      </c>
      <c r="F18" t="inlineStr">
        <is>
          <t>—</t>
        </is>
      </c>
      <c r="G18" t="inlineStr">
        <is>
          <t>—</t>
        </is>
      </c>
    </row>
    <row r="19">
      <c r="A19" s="9" t="n">
        <v>1932</v>
      </c>
      <c r="B19" t="inlineStr">
        <is>
          <t>—</t>
        </is>
      </c>
      <c r="C19" t="inlineStr">
        <is>
          <t>—</t>
        </is>
      </c>
      <c r="D19" t="inlineStr">
        <is>
          <t>—</t>
        </is>
      </c>
      <c r="E19" t="inlineStr">
        <is>
          <t>—</t>
        </is>
      </c>
      <c r="F19" t="inlineStr">
        <is>
          <t>—</t>
        </is>
      </c>
      <c r="G19" t="inlineStr">
        <is>
          <t>—</t>
        </is>
      </c>
    </row>
    <row r="20">
      <c r="A20" s="9" t="n">
        <v>1933</v>
      </c>
      <c r="B20" t="inlineStr">
        <is>
          <t>—</t>
        </is>
      </c>
      <c r="C20" t="inlineStr">
        <is>
          <t>—</t>
        </is>
      </c>
      <c r="D20" t="inlineStr">
        <is>
          <t>—</t>
        </is>
      </c>
      <c r="E20" t="inlineStr">
        <is>
          <t>—</t>
        </is>
      </c>
      <c r="F20" s="6" t="n">
        <v>30246</v>
      </c>
      <c r="G20" s="6" t="n">
        <v>30246</v>
      </c>
    </row>
    <row r="21">
      <c r="A21" s="9" t="n">
        <v>1934</v>
      </c>
      <c r="B21" t="inlineStr">
        <is>
          <t>—</t>
        </is>
      </c>
      <c r="C21" t="inlineStr">
        <is>
          <t>—</t>
        </is>
      </c>
      <c r="D21" t="inlineStr">
        <is>
          <t>—</t>
        </is>
      </c>
      <c r="E21" t="inlineStr">
        <is>
          <t>—</t>
        </is>
      </c>
      <c r="F21" s="6" t="n">
        <v>64536</v>
      </c>
      <c r="G21" s="6" t="n">
        <v>64536</v>
      </c>
    </row>
    <row r="22">
      <c r="A22" s="9" t="n">
        <v>1935</v>
      </c>
      <c r="B22" t="inlineStr">
        <is>
          <t>—</t>
        </is>
      </c>
      <c r="C22" t="inlineStr">
        <is>
          <t>—</t>
        </is>
      </c>
      <c r="D22" t="inlineStr">
        <is>
          <t>—</t>
        </is>
      </c>
      <c r="E22" t="inlineStr">
        <is>
          <t>—</t>
        </is>
      </c>
      <c r="F22" s="6" t="n">
        <v>52124</v>
      </c>
      <c r="G22" s="6" t="n">
        <v>52124</v>
      </c>
    </row>
    <row r="23">
      <c r="A23" s="9" t="n">
        <v>1936</v>
      </c>
      <c r="B23" t="inlineStr">
        <is>
          <t>—</t>
        </is>
      </c>
      <c r="C23" t="inlineStr">
        <is>
          <t>—</t>
        </is>
      </c>
      <c r="D23" t="inlineStr">
        <is>
          <t>—</t>
        </is>
      </c>
      <c r="E23" t="inlineStr">
        <is>
          <t>—</t>
        </is>
      </c>
      <c r="F23" s="6" t="n">
        <v>68715</v>
      </c>
      <c r="G23" s="6" t="n">
        <v>68715</v>
      </c>
    </row>
    <row r="24">
      <c r="A24" s="9" t="n">
        <v>1937</v>
      </c>
      <c r="B24" s="6" t="n">
        <v>49117</v>
      </c>
      <c r="C24" t="inlineStr">
        <is>
          <t>—</t>
        </is>
      </c>
      <c r="D24" t="inlineStr">
        <is>
          <t>—</t>
        </is>
      </c>
      <c r="E24" s="6" t="n">
        <v>49117</v>
      </c>
      <c r="F24" s="6" t="n">
        <v>55689</v>
      </c>
      <c r="G24" s="6" t="n">
        <v>104806</v>
      </c>
    </row>
    <row r="25">
      <c r="A25" s="9" t="n">
        <v>1938</v>
      </c>
      <c r="B25" s="6" t="n">
        <v>67403</v>
      </c>
      <c r="C25" t="inlineStr">
        <is>
          <t>—</t>
        </is>
      </c>
      <c r="D25" s="6" t="n">
        <v>58499</v>
      </c>
      <c r="E25" s="6" t="n">
        <v>125902</v>
      </c>
      <c r="F25" s="6" t="n">
        <v>68520</v>
      </c>
      <c r="G25" s="6" t="n">
        <v>194422</v>
      </c>
    </row>
    <row r="26">
      <c r="A26" s="9" t="n">
        <v>1939</v>
      </c>
      <c r="B26" s="6" t="n">
        <v>84458</v>
      </c>
      <c r="C26" t="inlineStr">
        <is>
          <t>—</t>
        </is>
      </c>
      <c r="D26" s="6" t="n">
        <v>102399</v>
      </c>
      <c r="E26" s="6" t="n">
        <v>186857</v>
      </c>
      <c r="F26" s="6" t="n">
        <v>71406</v>
      </c>
      <c r="G26" s="6" t="n">
        <v>258263</v>
      </c>
    </row>
    <row r="27">
      <c r="A27" s="9" t="n">
        <v>1940</v>
      </c>
      <c r="B27" s="6" t="n">
        <v>87486</v>
      </c>
      <c r="C27" s="6" t="n">
        <v>37901</v>
      </c>
      <c r="D27" s="6" t="n">
        <v>100550</v>
      </c>
      <c r="E27" s="6" t="n">
        <v>225938</v>
      </c>
      <c r="F27" s="6" t="n">
        <v>67159</v>
      </c>
      <c r="G27" s="6" t="n">
        <v>293097</v>
      </c>
    </row>
    <row r="29">
      <c r="A29" s="2" t="inlineStr">
        <is>
          <t>Footnotes</t>
        </is>
      </c>
    </row>
    <row r="30">
      <c r="A30" t="inlineStr">
        <is>
          <t>Note: * Estimate. Harvest period in Manchoukuo is chiefly from November to February of the following year.</t>
        </is>
      </c>
    </row>
    <row r="32">
      <c r="A32" s="2" t="inlineStr">
        <is>
          <t>Transcriber's notes</t>
        </is>
      </c>
    </row>
    <row r="33">
      <c r="A33" t="inlineStr">
        <is>
          <t>Rows 1920–1925 on p.531; continued on p.532 headed '(Continued)' with rows 1926–1940. Merged.</t>
        </is>
      </c>
    </row>
    <row r="34">
      <c r="A34" t="inlineStr">
        <is>
          <t>Asterisks kept as printed (e.g. '*40,000').</t>
        </is>
      </c>
    </row>
    <row r="35">
      <c r="A35" t="inlineStr">
        <is>
          <t>For 1929–1930 the Harbin figure is printed but Total is '—' (as printed); Grand Total equals the Harbin figure.</t>
        </is>
      </c>
    </row>
    <row r="36">
      <c r="A36" t="inlineStr">
        <is>
          <t>1920: Total + Ashiho = 44,517 vs Grand Total 44,517 — reconciles</t>
        </is>
      </c>
    </row>
    <row r="37">
      <c r="A37" t="inlineStr">
        <is>
          <t>1921: Total + Ashiho = 74,268 vs Grand Total 74,268 — reconciles</t>
        </is>
      </c>
    </row>
    <row r="38">
      <c r="A38" t="inlineStr">
        <is>
          <t>1922: Total + Ashiho = 69,357 vs Grand Total 69,357 — reconciles</t>
        </is>
      </c>
    </row>
    <row r="39">
      <c r="A39" t="inlineStr">
        <is>
          <t>1923: Mukden+Hsinking+Harbin = 128,304 vs Total 90,084 — does NOT reconcile (diff -38,220)</t>
        </is>
      </c>
    </row>
    <row r="40">
      <c r="A40" t="inlineStr">
        <is>
          <t>1923: Total + Ashiho = 102,915 vs Grand Total 141,135 — does NOT reconcile (diff +38,220)</t>
        </is>
      </c>
    </row>
    <row r="41">
      <c r="A41" t="inlineStr">
        <is>
          <t>1924: Mukden+Hsinking+Harbin = 116,696 vs Total 75,746 — does NOT reconcile (diff -40,950)</t>
        </is>
      </c>
    </row>
    <row r="42">
      <c r="A42" t="inlineStr">
        <is>
          <t>1924: Total + Ashiho = 119,426 vs Grand Total 160,376 — does NOT reconcile (diff +40,950)</t>
        </is>
      </c>
    </row>
    <row r="43">
      <c r="A43" t="inlineStr">
        <is>
          <t>1925: Mukden+Hsinking+Harbin = 78,204 vs Total 38,204 — does NOT reconcile (diff -40,000)</t>
        </is>
      </c>
    </row>
    <row r="44">
      <c r="A44" t="inlineStr">
        <is>
          <t>1925: Total + Ashiho = 65,641 vs Grand Total *105,641 — does NOT reconcile (diff +40,000)</t>
        </is>
      </c>
    </row>
    <row r="45">
      <c r="A45" t="inlineStr">
        <is>
          <t>1926: Total + Ashiho = 127,875 vs Grand Total *127,875 — reconciles</t>
        </is>
      </c>
    </row>
    <row r="46">
      <c r="A46" t="inlineStr">
        <is>
          <t>1927: Total + Ashiho = 11,712 vs Grand Total *11,712 — reconciles</t>
        </is>
      </c>
    </row>
    <row r="47">
      <c r="A47" t="inlineStr">
        <is>
          <t>1928: Total + Ashiho = 31,941 vs Grand Total *31,941 — reconciles</t>
        </is>
      </c>
    </row>
    <row r="48">
      <c r="A48" t="inlineStr">
        <is>
          <t>1929: Total printed '—' although Harbin column shows 2,379</t>
        </is>
      </c>
    </row>
    <row r="49">
      <c r="A49" t="inlineStr">
        <is>
          <t>1929: Total + Ashiho = 2,379 vs Grand Total 2,379 — reconciles</t>
        </is>
      </c>
    </row>
    <row r="50">
      <c r="A50" t="inlineStr">
        <is>
          <t>1930: Total printed '—' although Harbin column shows 1,830</t>
        </is>
      </c>
    </row>
    <row r="51">
      <c r="A51" t="inlineStr">
        <is>
          <t>1930: Total + Ashiho = 1,830 vs Grand Total 1,830 — reconciles</t>
        </is>
      </c>
    </row>
    <row r="52">
      <c r="A52" t="inlineStr">
        <is>
          <t>1933: Total + Ashiho = 30,246 vs Grand Total 30,246 — reconciles</t>
        </is>
      </c>
    </row>
    <row r="53">
      <c r="A53" t="inlineStr">
        <is>
          <t>1934: Total + Ashiho = 64,536 vs Grand Total 64,536 — reconciles</t>
        </is>
      </c>
    </row>
    <row r="54">
      <c r="A54" t="inlineStr">
        <is>
          <t>1935: Total + Ashiho = 52,124 vs Grand Total 52,124 — reconciles</t>
        </is>
      </c>
    </row>
    <row r="55">
      <c r="A55" t="inlineStr">
        <is>
          <t>1936: Total + Ashiho = 68,715 vs Grand Total 68,715 — reconciles</t>
        </is>
      </c>
    </row>
    <row r="56">
      <c r="A56" t="inlineStr">
        <is>
          <t>1937: Total + Ashiho = 104,806 vs Grand Total 104,806 — reconciles</t>
        </is>
      </c>
    </row>
    <row r="57">
      <c r="A57" t="inlineStr">
        <is>
          <t>1938: Total + Ashiho = 194,422 vs Grand Total 194,422 — reconciles</t>
        </is>
      </c>
    </row>
    <row r="58">
      <c r="A58" t="inlineStr">
        <is>
          <t>1939: Total + Ashiho = 258,263 vs Grand Total 258,263 — reconciles</t>
        </is>
      </c>
    </row>
    <row r="59">
      <c r="A59" t="inlineStr">
        <is>
          <t>1940: Mukden+Hsinking+Harbin = 225,937 vs Total 225,938 — does NOT reconcile (diff +1)</t>
        </is>
      </c>
    </row>
    <row r="60">
      <c r="A60" t="inlineStr">
        <is>
          <t>1940: Total + Ashiho = 293,097 vs Grand Total 293,097 — reconciles</t>
        </is>
      </c>
    </row>
    <row r="61">
      <c r="A61" t="inlineStr">
        <is>
          <t>Pattern: for 1923–1925 the printed Total equals Mukden + Hsinking only (Harbin excluded), and Grand Total = Total + Harbin + Ashiho, which reconciles in each year. Likewise 1929–1930 Grand Total = Harbin. The Total column appears to exclude Harbin before 1938; recorded as printed.</t>
        </is>
      </c>
    </row>
  </sheetData>
  <hyperlinks>
    <hyperlink xmlns:r="http://schemas.openxmlformats.org/officeDocument/2006/relationships" ref="A4" r:id="rId1"/>
  </hyperlink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30-B. Area, Production, Extract, etc.</t>
        </is>
      </c>
    </row>
    <row r="2">
      <c r="A2" t="inlineStr">
        <is>
          <t>Manufacturing Industry · printed pp. 532</t>
        </is>
      </c>
    </row>
    <row r="3">
      <c r="A3" s="3" t="inlineStr">
        <is>
          <t>← Contents</t>
        </is>
      </c>
    </row>
    <row r="5">
      <c r="A5" s="5" t="inlineStr">
        <is>
          <t>Year</t>
        </is>
      </c>
      <c r="B5" s="5" t="inlineStr">
        <is>
          <t>Area (Cho)</t>
        </is>
      </c>
      <c r="C5" s="5" t="inlineStr">
        <is>
          <t>Raw material consumed (1,000 kin)</t>
        </is>
      </c>
      <c r="D5" s="5" t="inlineStr">
        <is>
          <t>Output (piculs)</t>
        </is>
      </c>
      <c r="E5" s="5" t="inlineStr">
        <is>
          <t>Extract (%)</t>
        </is>
      </c>
      <c r="F5" s="5" t="inlineStr">
        <is>
          <t>Beet output per cho (kin)</t>
        </is>
      </c>
      <c r="G5" s="5" t="inlineStr">
        <is>
          <t>Sugar output per cho (kin)</t>
        </is>
      </c>
    </row>
    <row r="6">
      <c r="A6" s="9" t="n">
        <v>1933</v>
      </c>
      <c r="B6" s="6" t="n">
        <v>3888</v>
      </c>
      <c r="C6" s="6" t="n">
        <v>21143</v>
      </c>
      <c r="D6" s="6" t="n">
        <v>30246</v>
      </c>
      <c r="E6" s="11" t="n">
        <v>14.25</v>
      </c>
      <c r="F6" s="6" t="n">
        <v>10880</v>
      </c>
      <c r="G6" s="9" t="n">
        <v>778</v>
      </c>
    </row>
    <row r="7">
      <c r="A7" s="9" t="n">
        <v>1934</v>
      </c>
      <c r="B7" s="6" t="n">
        <v>3600</v>
      </c>
      <c r="C7" s="6" t="n">
        <v>46371</v>
      </c>
      <c r="D7" s="6" t="n">
        <v>64536</v>
      </c>
      <c r="E7" s="11" t="n">
        <v>13.92</v>
      </c>
      <c r="F7" s="6" t="n">
        <v>12820</v>
      </c>
      <c r="G7" s="6" t="n">
        <v>1793</v>
      </c>
    </row>
    <row r="8">
      <c r="A8" s="9" t="n">
        <v>1935</v>
      </c>
      <c r="B8" s="6" t="n">
        <v>3456</v>
      </c>
      <c r="C8" s="6" t="n">
        <v>36349</v>
      </c>
      <c r="D8" s="6" t="n">
        <v>52124</v>
      </c>
      <c r="E8" s="11" t="n">
        <v>14.39</v>
      </c>
      <c r="F8" s="6" t="n">
        <v>9480</v>
      </c>
      <c r="G8" s="6" t="n">
        <v>1508</v>
      </c>
    </row>
    <row r="9">
      <c r="A9" s="9" t="n">
        <v>1936</v>
      </c>
      <c r="B9" s="6" t="n">
        <v>3694</v>
      </c>
      <c r="C9" s="6" t="n">
        <v>54413</v>
      </c>
      <c r="D9" s="6" t="n">
        <v>69715</v>
      </c>
      <c r="E9" s="11" t="n">
        <v>12.65</v>
      </c>
      <c r="F9" s="6" t="n">
        <v>14730</v>
      </c>
      <c r="G9" s="6" t="n">
        <v>1860</v>
      </c>
    </row>
    <row r="10">
      <c r="A10" s="9" t="n">
        <v>1937</v>
      </c>
      <c r="B10" s="6" t="n">
        <v>5421</v>
      </c>
      <c r="C10" s="6" t="n">
        <v>85956</v>
      </c>
      <c r="D10" s="6" t="n">
        <v>104806</v>
      </c>
      <c r="E10" s="11" t="n">
        <v>12.19</v>
      </c>
      <c r="F10" s="6" t="n">
        <v>14800</v>
      </c>
      <c r="G10" s="6" t="n">
        <v>1933</v>
      </c>
    </row>
    <row r="11">
      <c r="A11" s="9" t="n">
        <v>1938</v>
      </c>
      <c r="B11" s="6" t="n">
        <v>11386</v>
      </c>
      <c r="C11" s="6" t="n">
        <v>163802</v>
      </c>
      <c r="D11" s="6" t="n">
        <v>194422</v>
      </c>
      <c r="E11" s="11" t="n">
        <v>11.87</v>
      </c>
      <c r="F11" s="6" t="n">
        <v>14380</v>
      </c>
      <c r="G11" s="6" t="n">
        <v>1708</v>
      </c>
    </row>
    <row r="12">
      <c r="A12" s="9" t="n">
        <v>1939</v>
      </c>
      <c r="B12" s="6" t="n">
        <v>16890</v>
      </c>
      <c r="C12" s="6" t="n">
        <v>237613</v>
      </c>
      <c r="D12" s="6" t="n">
        <v>258263</v>
      </c>
      <c r="E12" s="11" t="n">
        <v>10.87</v>
      </c>
      <c r="F12" s="6" t="n">
        <v>14060</v>
      </c>
      <c r="G12" s="6" t="n">
        <v>1524</v>
      </c>
    </row>
    <row r="14">
      <c r="A14" s="2" t="inlineStr">
        <is>
          <t>Transcriber's notes</t>
        </is>
      </c>
    </row>
    <row r="15">
      <c r="A15" t="inlineStr">
        <is>
          <t>No totals printed.</t>
        </is>
      </c>
    </row>
    <row r="16">
      <c r="A16" t="inlineStr">
        <is>
          <t>1936 Output printed 69,715 here vs 68,715 in Table 30-A and Table 32 — as printed.</t>
        </is>
      </c>
    </row>
  </sheetData>
  <hyperlinks>
    <hyperlink xmlns:r="http://schemas.openxmlformats.org/officeDocument/2006/relationships" ref="A3" r:id="rId1"/>
  </hyperlink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31. Sugar Manufacturing Companies in Manchuria</t>
        </is>
      </c>
    </row>
    <row r="2">
      <c r="A2" t="inlineStr">
        <is>
          <t>Manufacturing Industry · printed pp. 533</t>
        </is>
      </c>
    </row>
    <row r="3">
      <c r="A3" t="inlineStr">
        <is>
          <t>(End of April, 1939)</t>
        </is>
      </c>
    </row>
    <row r="4">
      <c r="A4" s="3" t="inlineStr">
        <is>
          <t>← Contents</t>
        </is>
      </c>
    </row>
    <row r="6">
      <c r="A6" s="5" t="inlineStr">
        <is>
          <t>Company</t>
        </is>
      </c>
      <c r="B6" s="5" t="inlineStr">
        <is>
          <t>Factories</t>
        </is>
      </c>
      <c r="C6" s="5" t="inlineStr">
        <is>
          <t>Product</t>
        </is>
      </c>
      <c r="D6" s="5" t="inlineStr">
        <is>
          <t>Capacity per 24 hours day (In m. tons)</t>
        </is>
      </c>
      <c r="E6" s="5" t="inlineStr">
        <is>
          <t>Paid-up capital (M¥1,000)</t>
        </is>
      </c>
      <c r="F6" s="5" t="inlineStr">
        <is>
          <t>Established</t>
        </is>
      </c>
      <c r="G6" s="5" t="inlineStr">
        <is>
          <t>Interests</t>
        </is>
      </c>
    </row>
    <row r="7">
      <c r="A7" t="inlineStr">
        <is>
          <t>Manchuria Sugar Manufacturing Co.</t>
        </is>
      </c>
      <c r="B7" t="inlineStr">
        <is>
          <t>Mukden</t>
        </is>
      </c>
      <c r="C7" t="inlineStr">
        <is>
          <t>Beet sugar</t>
        </is>
      </c>
      <c r="D7" s="9" t="n">
        <v>500</v>
      </c>
      <c r="E7" s="6" t="n">
        <v>5000</v>
      </c>
      <c r="F7" s="9" t="n">
        <v>1935</v>
      </c>
      <c r="G7" t="inlineStr">
        <is>
          <t>Japanese &amp; Manchoukuoan</t>
        </is>
      </c>
    </row>
    <row r="8">
      <c r="A8" t="inlineStr"/>
      <c r="B8" t="inlineStr">
        <is>
          <t>Mukden</t>
        </is>
      </c>
      <c r="C8" t="inlineStr">
        <is>
          <t>Refined Sugar</t>
        </is>
      </c>
      <c r="D8" s="9" t="n">
        <v>90</v>
      </c>
      <c r="E8" t="inlineStr"/>
      <c r="F8" t="inlineStr"/>
      <c r="G8" t="inlineStr"/>
    </row>
    <row r="9">
      <c r="A9" t="inlineStr"/>
      <c r="B9" t="inlineStr">
        <is>
          <t>Hsinking</t>
        </is>
      </c>
      <c r="C9" t="inlineStr">
        <is>
          <t>Beet sugar</t>
        </is>
      </c>
      <c r="D9" s="9" t="n">
        <v>500</v>
      </c>
      <c r="E9" t="inlineStr"/>
      <c r="F9" t="inlineStr"/>
      <c r="G9" t="inlineStr"/>
    </row>
    <row r="10">
      <c r="A10" t="inlineStr"/>
      <c r="B10" t="inlineStr">
        <is>
          <t>Harbin</t>
        </is>
      </c>
      <c r="C10" t="inlineStr">
        <is>
          <t>Beet sugar</t>
        </is>
      </c>
      <c r="D10" s="9" t="n">
        <v>500</v>
      </c>
      <c r="E10" t="inlineStr"/>
      <c r="F10" t="inlineStr"/>
      <c r="G10" t="inlineStr"/>
    </row>
    <row r="11">
      <c r="A11" t="inlineStr"/>
      <c r="B11" t="inlineStr">
        <is>
          <t>*Suihua</t>
        </is>
      </c>
      <c r="C11" t="inlineStr">
        <is>
          <t>Beet sugar</t>
        </is>
      </c>
      <c r="D11" s="9" t="n">
        <v>500</v>
      </c>
      <c r="E11" t="inlineStr"/>
      <c r="F11" t="inlineStr"/>
      <c r="G11" t="inlineStr"/>
    </row>
    <row r="12">
      <c r="A12" t="inlineStr"/>
      <c r="B12" t="inlineStr">
        <is>
          <t>*Kirin</t>
        </is>
      </c>
      <c r="C12" t="inlineStr">
        <is>
          <t>Beet sugar</t>
        </is>
      </c>
      <c r="D12" s="9" t="n">
        <v>500</v>
      </c>
      <c r="E12" t="inlineStr"/>
      <c r="F12" t="inlineStr"/>
      <c r="G12" t="inlineStr"/>
    </row>
    <row r="13">
      <c r="A13" t="inlineStr">
        <is>
          <t>North Manchuria Sugar Manufacturing Co.</t>
        </is>
      </c>
      <c r="B13" t="inlineStr">
        <is>
          <t>*Ashiho</t>
        </is>
      </c>
      <c r="C13" t="inlineStr">
        <is>
          <t>Beet sugar</t>
        </is>
      </c>
      <c r="D13" s="9" t="n">
        <v>400</v>
      </c>
      <c r="E13" s="6" t="n">
        <v>2000</v>
      </c>
      <c r="F13" s="9" t="n">
        <v>1934</v>
      </c>
      <c r="G13" t="inlineStr">
        <is>
          <t>Japanese &amp; White Russian</t>
        </is>
      </c>
    </row>
    <row r="14">
      <c r="A14" t="inlineStr"/>
      <c r="B14" t="inlineStr">
        <is>
          <t>*Ashiho</t>
        </is>
      </c>
      <c r="C14" t="inlineStr">
        <is>
          <t>Refined sugar</t>
        </is>
      </c>
      <c r="D14" s="9" t="n">
        <v>40</v>
      </c>
      <c r="E14" t="inlineStr"/>
      <c r="F14" t="inlineStr"/>
      <c r="G14" t="inlineStr"/>
    </row>
    <row r="15">
      <c r="A15" t="inlineStr"/>
      <c r="B15" t="inlineStr">
        <is>
          <t>*Others</t>
        </is>
      </c>
      <c r="C15" t="inlineStr">
        <is>
          <t>Beet sugar</t>
        </is>
      </c>
      <c r="D15" s="9" t="n">
        <v>500</v>
      </c>
      <c r="E15" t="inlineStr"/>
      <c r="F15" t="inlineStr"/>
      <c r="G15" t="inlineStr"/>
    </row>
    <row r="16">
      <c r="A16" t="inlineStr">
        <is>
          <t>Hokuman Sangyo K.K.</t>
        </is>
      </c>
      <c r="B16" t="inlineStr">
        <is>
          <t>*Mutankiang</t>
        </is>
      </c>
      <c r="C16" t="inlineStr">
        <is>
          <t>Beet sugar</t>
        </is>
      </c>
      <c r="D16" s="9" t="n">
        <v>500</v>
      </c>
      <c r="E16" s="6" t="n">
        <v>12500</v>
      </c>
      <c r="F16" s="9" t="n">
        <v>1939</v>
      </c>
      <c r="G16" t="inlineStr">
        <is>
          <t>Japanese</t>
        </is>
      </c>
    </row>
    <row r="17">
      <c r="A17" t="inlineStr"/>
      <c r="B17" t="inlineStr">
        <is>
          <t>*Others</t>
        </is>
      </c>
      <c r="C17" t="inlineStr">
        <is>
          <t>Beet sugar</t>
        </is>
      </c>
      <c r="D17" s="9" t="n">
        <v>500</v>
      </c>
      <c r="E17" t="inlineStr"/>
      <c r="F17" t="inlineStr"/>
      <c r="G17" t="inlineStr"/>
    </row>
    <row r="19">
      <c r="A19" s="2" t="inlineStr">
        <is>
          <t>Footnotes</t>
        </is>
      </c>
    </row>
    <row r="20">
      <c r="A20" t="inlineStr">
        <is>
          <t>Note: * Under project.</t>
        </is>
      </c>
    </row>
    <row r="22">
      <c r="A22" s="2" t="inlineStr">
        <is>
          <t>Transcriber's notes</t>
        </is>
      </c>
    </row>
    <row r="23">
      <c r="A23" t="inlineStr">
        <is>
          <t>Company, capital, established and interests are braced across each company's factory rows; given on the first row only. Factory names braced over two product rows are repeated.</t>
        </is>
      </c>
    </row>
    <row r="24">
      <c r="A24" t="inlineStr">
        <is>
          <t>Header 'Estab-lished' as printed; 'Product' column header supplied (unheaded).</t>
        </is>
      </c>
    </row>
    <row r="25">
      <c r="A25" t="inlineStr">
        <is>
          <t>No totals printed.</t>
        </is>
      </c>
    </row>
  </sheetData>
  <hyperlinks>
    <hyperlink xmlns:r="http://schemas.openxmlformats.org/officeDocument/2006/relationships" ref="A4" r:id="rId1"/>
  </hyperlink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32. Demand and Supply of Sugar in Manchuria</t>
        </is>
      </c>
    </row>
    <row r="2">
      <c r="A2" t="inlineStr">
        <is>
          <t>Manufacturing Industry · printed pp. 533</t>
        </is>
      </c>
    </row>
    <row r="3">
      <c r="A3" t="inlineStr">
        <is>
          <t>(In piculs of 60 kilograms)</t>
        </is>
      </c>
    </row>
    <row r="4">
      <c r="A4" s="3" t="inlineStr">
        <is>
          <t>← Contents</t>
        </is>
      </c>
    </row>
    <row r="6">
      <c r="A6" s="5" t="inlineStr">
        <is>
          <t>Year</t>
        </is>
      </c>
      <c r="B6" s="5" t="inlineStr">
        <is>
          <t>Production</t>
        </is>
      </c>
      <c r="C6" s="5" t="inlineStr">
        <is>
          <t>Import</t>
        </is>
      </c>
      <c r="D6" s="5" t="inlineStr">
        <is>
          <t>Export</t>
        </is>
      </c>
      <c r="E6" s="5" t="inlineStr">
        <is>
          <t>Re-export</t>
        </is>
      </c>
      <c r="F6" s="5" t="inlineStr">
        <is>
          <t>Consumption</t>
        </is>
      </c>
      <c r="G6" s="5" t="inlineStr">
        <is>
          <t>Consumption per capita</t>
        </is>
      </c>
    </row>
    <row r="7">
      <c r="A7" s="9" t="n">
        <v>1928</v>
      </c>
      <c r="B7" t="inlineStr">
        <is>
          <t>—</t>
        </is>
      </c>
      <c r="C7" s="6" t="n">
        <v>1218204</v>
      </c>
      <c r="D7" t="inlineStr">
        <is>
          <t>—</t>
        </is>
      </c>
      <c r="E7" t="inlineStr">
        <is>
          <t>—</t>
        </is>
      </c>
      <c r="F7" s="6" t="n">
        <v>1218204</v>
      </c>
      <c r="G7" s="11" t="n">
        <v>3.69</v>
      </c>
    </row>
    <row r="8">
      <c r="A8" s="9" t="n">
        <v>1929</v>
      </c>
      <c r="B8" t="inlineStr">
        <is>
          <t>—</t>
        </is>
      </c>
      <c r="C8" s="6" t="n">
        <v>1422923</v>
      </c>
      <c r="D8" t="inlineStr">
        <is>
          <t>—</t>
        </is>
      </c>
      <c r="E8" t="inlineStr">
        <is>
          <t>—</t>
        </is>
      </c>
      <c r="F8" s="6" t="n">
        <v>1422923</v>
      </c>
      <c r="G8" s="11" t="n">
        <v>4.31</v>
      </c>
    </row>
    <row r="9">
      <c r="A9" s="9" t="n">
        <v>1930</v>
      </c>
      <c r="B9" t="inlineStr">
        <is>
          <t>—</t>
        </is>
      </c>
      <c r="C9" s="6" t="n">
        <v>1360762</v>
      </c>
      <c r="D9" t="inlineStr">
        <is>
          <t>—</t>
        </is>
      </c>
      <c r="E9" t="inlineStr">
        <is>
          <t>—</t>
        </is>
      </c>
      <c r="F9" s="6" t="n">
        <v>1360762</v>
      </c>
      <c r="G9" s="11" t="n">
        <v>4.04</v>
      </c>
    </row>
    <row r="10">
      <c r="A10" s="9" t="n">
        <v>1931</v>
      </c>
      <c r="B10" t="inlineStr">
        <is>
          <t>—</t>
        </is>
      </c>
      <c r="C10" s="6" t="n">
        <v>1108939</v>
      </c>
      <c r="D10" t="inlineStr">
        <is>
          <t>—</t>
        </is>
      </c>
      <c r="E10" t="inlineStr">
        <is>
          <t>—</t>
        </is>
      </c>
      <c r="F10" s="6" t="n">
        <v>1108939</v>
      </c>
      <c r="G10" s="11" t="n">
        <v>3.25</v>
      </c>
    </row>
    <row r="11">
      <c r="A11" t="inlineStr">
        <is>
          <t>*1932</t>
        </is>
      </c>
      <c r="B11" t="inlineStr">
        <is>
          <t>—</t>
        </is>
      </c>
      <c r="C11" s="6" t="n">
        <v>1558139</v>
      </c>
      <c r="D11" s="9" t="n">
        <v>828</v>
      </c>
      <c r="E11" s="6" t="n">
        <v>172834</v>
      </c>
      <c r="F11" s="6" t="n">
        <v>1384477</v>
      </c>
      <c r="G11" s="11" t="n">
        <v>4.48</v>
      </c>
    </row>
    <row r="12">
      <c r="A12" s="9" t="n">
        <v>1933</v>
      </c>
      <c r="B12" s="6" t="n">
        <v>30246</v>
      </c>
      <c r="C12" s="6" t="n">
        <v>2001214</v>
      </c>
      <c r="D12" s="9" t="n">
        <v>15</v>
      </c>
      <c r="E12" s="6" t="n">
        <v>437106</v>
      </c>
      <c r="F12" s="6" t="n">
        <v>1594369</v>
      </c>
      <c r="G12" s="11" t="n">
        <v>5.3</v>
      </c>
    </row>
    <row r="13">
      <c r="A13" s="9" t="n">
        <v>1934</v>
      </c>
      <c r="B13" s="6" t="n">
        <v>64536</v>
      </c>
      <c r="C13" s="6" t="n">
        <v>1548497</v>
      </c>
      <c r="D13" s="9" t="n">
        <v>16</v>
      </c>
      <c r="E13" s="6" t="n">
        <v>313838</v>
      </c>
      <c r="F13" s="6" t="n">
        <v>1299179</v>
      </c>
      <c r="G13" s="11" t="n">
        <v>4.24</v>
      </c>
    </row>
    <row r="14">
      <c r="A14" s="9" t="n">
        <v>1935</v>
      </c>
      <c r="B14" s="6" t="n">
        <v>52124</v>
      </c>
      <c r="C14" s="6" t="n">
        <v>1776721</v>
      </c>
      <c r="D14" t="inlineStr">
        <is>
          <t>—</t>
        </is>
      </c>
      <c r="E14" s="6" t="n">
        <v>260348</v>
      </c>
      <c r="F14" s="6" t="n">
        <v>1568497</v>
      </c>
      <c r="G14" s="11" t="n">
        <v>4.77</v>
      </c>
    </row>
    <row r="15">
      <c r="A15" s="9" t="n">
        <v>1936</v>
      </c>
      <c r="B15" s="6" t="n">
        <v>68715</v>
      </c>
      <c r="C15" s="6" t="n">
        <v>3696968</v>
      </c>
      <c r="D15" t="inlineStr">
        <is>
          <t>—</t>
        </is>
      </c>
      <c r="E15" s="6" t="n">
        <v>1907069</v>
      </c>
      <c r="F15" s="6" t="n">
        <v>1858614</v>
      </c>
      <c r="G15" s="11" t="n">
        <v>5.18</v>
      </c>
    </row>
    <row r="16">
      <c r="A16" s="9" t="n">
        <v>1937</v>
      </c>
      <c r="B16" s="6" t="n">
        <v>104806</v>
      </c>
      <c r="C16" s="6" t="n">
        <v>2798117</v>
      </c>
      <c r="D16" t="inlineStr">
        <is>
          <t>—</t>
        </is>
      </c>
      <c r="E16" s="6" t="n">
        <v>1202050</v>
      </c>
      <c r="F16" s="6" t="n">
        <v>1700873</v>
      </c>
      <c r="G16" s="11" t="n">
        <v>4.61</v>
      </c>
    </row>
    <row r="17">
      <c r="A17" s="9" t="n">
        <v>1938</v>
      </c>
      <c r="B17" s="6" t="n">
        <v>194422</v>
      </c>
      <c r="C17" s="6" t="n">
        <v>3938450</v>
      </c>
      <c r="D17" t="inlineStr">
        <is>
          <t>—</t>
        </is>
      </c>
      <c r="E17" s="6" t="n">
        <v>2196400</v>
      </c>
      <c r="F17" s="6" t="n">
        <v>1936472</v>
      </c>
      <c r="G17" s="11" t="n">
        <v>5.06</v>
      </c>
    </row>
    <row r="18">
      <c r="A18" s="9" t="n">
        <v>1939</v>
      </c>
      <c r="B18" s="6" t="n">
        <v>258263</v>
      </c>
      <c r="C18" s="6" t="n">
        <v>3059566</v>
      </c>
      <c r="D18" t="inlineStr">
        <is>
          <t>—</t>
        </is>
      </c>
      <c r="E18" s="6" t="n">
        <v>1262050</v>
      </c>
      <c r="F18" s="6" t="n">
        <v>2055779</v>
      </c>
      <c r="G18" s="11" t="n">
        <v>5.34</v>
      </c>
    </row>
    <row r="19">
      <c r="A19" s="9" t="n">
        <v>1940</v>
      </c>
      <c r="B19" s="6" t="n">
        <v>293097</v>
      </c>
      <c r="C19" t="inlineStr">
        <is>
          <t>—</t>
        </is>
      </c>
      <c r="D19" t="inlineStr">
        <is>
          <t>—</t>
        </is>
      </c>
      <c r="E19" t="inlineStr">
        <is>
          <t>—</t>
        </is>
      </c>
      <c r="F19" t="inlineStr">
        <is>
          <t>—</t>
        </is>
      </c>
      <c r="G19" t="inlineStr">
        <is>
          <t>—</t>
        </is>
      </c>
    </row>
    <row r="21">
      <c r="A21" s="2" t="inlineStr">
        <is>
          <t>Footnotes</t>
        </is>
      </c>
    </row>
    <row r="22">
      <c r="A22" t="inlineStr">
        <is>
          <t>Note: Exclusive of cube sugar in 1932.</t>
        </is>
      </c>
    </row>
    <row r="23">
      <c r="A23" t="inlineStr">
        <is>
          <t>* Re-export include sales principally to China in recent years.</t>
        </is>
      </c>
    </row>
    <row r="25">
      <c r="A25" s="2" t="inlineStr">
        <is>
          <t>Transcriber's notes</t>
        </is>
      </c>
    </row>
    <row r="26">
      <c r="A26" t="inlineStr">
        <is>
          <t>Asterisk before 1932 in the stub as printed.</t>
        </is>
      </c>
    </row>
    <row r="27">
      <c r="A27" t="inlineStr">
        <is>
          <t>Consumption is not labelled a total; balance check given for information:</t>
        </is>
      </c>
    </row>
    <row r="28">
      <c r="A28" t="inlineStr">
        <is>
          <t>1928: Production+Import−Export−Re-export = 1,218,204 vs Consumption 1,218,204 — reconciles</t>
        </is>
      </c>
    </row>
    <row r="29">
      <c r="A29" t="inlineStr">
        <is>
          <t>1929: Production+Import−Export−Re-export = 1,422,923 vs Consumption 1,422,923 — reconciles</t>
        </is>
      </c>
    </row>
    <row r="30">
      <c r="A30" t="inlineStr">
        <is>
          <t>1930: Production+Import−Export−Re-export = 1,360,762 vs Consumption 1,360,762 — reconciles</t>
        </is>
      </c>
    </row>
    <row r="31">
      <c r="A31" t="inlineStr">
        <is>
          <t>1931: Production+Import−Export−Re-export = 1,108,939 vs Consumption 1,108,939 — reconciles</t>
        </is>
      </c>
    </row>
    <row r="32">
      <c r="A32" t="inlineStr">
        <is>
          <t>*1932: Production+Import−Export−Re-export = 1,384,477 vs Consumption 1,384,477 — reconciles</t>
        </is>
      </c>
    </row>
    <row r="33">
      <c r="A33" t="inlineStr">
        <is>
          <t>1933: Production+Import−Export−Re-export = 1,594,339 vs Consumption 1,594,369 — does NOT reconcile (diff +30)</t>
        </is>
      </c>
    </row>
    <row r="34">
      <c r="A34" t="inlineStr">
        <is>
          <t>1934: Production+Import−Export−Re-export = 1,299,179 vs Consumption 1,299,179 — reconciles</t>
        </is>
      </c>
    </row>
    <row r="35">
      <c r="A35" t="inlineStr">
        <is>
          <t>1935: Production+Import−Export−Re-export = 1,568,497 vs Consumption 1,568,497 — reconciles</t>
        </is>
      </c>
    </row>
    <row r="36">
      <c r="A36" t="inlineStr">
        <is>
          <t>1936: Production+Import−Export−Re-export = 1,858,614 vs Consumption 1,858,614 — reconciles</t>
        </is>
      </c>
    </row>
    <row r="37">
      <c r="A37" t="inlineStr">
        <is>
          <t>1937: Production+Import−Export−Re-export = 1,700,873 vs Consumption 1,700,873 — reconciles</t>
        </is>
      </c>
    </row>
    <row r="38">
      <c r="A38" t="inlineStr">
        <is>
          <t>1938: Production+Import−Export−Re-export = 1,936,472 vs Consumption 1,936,472 — reconciles</t>
        </is>
      </c>
    </row>
    <row r="39">
      <c r="A39" t="inlineStr">
        <is>
          <t>1939: Production+Import−Export−Re-export = 2,055,779 vs Consumption 2,055,779 — reconciles</t>
        </is>
      </c>
    </row>
  </sheetData>
  <hyperlinks>
    <hyperlink xmlns:r="http://schemas.openxmlformats.org/officeDocument/2006/relationships" ref="A4" r:id="rId1"/>
  </hyperlink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33. Sugar Imports of Manchuria by Kinds</t>
        </is>
      </c>
    </row>
    <row r="2">
      <c r="A2" t="inlineStr">
        <is>
          <t>Manufacturing Industry · printed pp. 534</t>
        </is>
      </c>
    </row>
    <row r="3">
      <c r="A3" t="inlineStr">
        <is>
          <t>(In picul=60 kilograms)</t>
        </is>
      </c>
    </row>
    <row r="4">
      <c r="A4" s="3" t="inlineStr">
        <is>
          <t>← Contents</t>
        </is>
      </c>
    </row>
    <row r="6">
      <c r="A6" s="5" t="inlineStr">
        <is>
          <t>Year</t>
        </is>
      </c>
      <c r="B6" s="5" t="inlineStr">
        <is>
          <t>Under Dutch Plantation — Standard No. II</t>
        </is>
      </c>
      <c r="C6" s="5" t="inlineStr">
        <is>
          <t>Under Dutch Plantation — white sugar</t>
        </is>
      </c>
      <c r="D6" s="5" t="inlineStr">
        <is>
          <t>Refined sugar</t>
        </is>
      </c>
      <c r="E6" s="5" t="inlineStr">
        <is>
          <t>Rock sugar</t>
        </is>
      </c>
      <c r="F6" s="5" t="inlineStr">
        <is>
          <t>Cube &amp; loaf sugar</t>
        </is>
      </c>
      <c r="G6" s="5" t="inlineStr">
        <is>
          <t>Total</t>
        </is>
      </c>
      <c r="H6" s="5" t="inlineStr">
        <is>
          <t>Molasses</t>
        </is>
      </c>
    </row>
    <row r="7">
      <c r="A7" s="9" t="n">
        <v>1926</v>
      </c>
      <c r="B7" s="6" t="n">
        <v>164585</v>
      </c>
      <c r="C7" s="6" t="n">
        <v>125016</v>
      </c>
      <c r="D7" s="6" t="n">
        <v>510607</v>
      </c>
      <c r="E7" s="6" t="n">
        <v>50104</v>
      </c>
      <c r="F7" s="6" t="n">
        <v>17115</v>
      </c>
      <c r="G7" s="6" t="n">
        <v>867427</v>
      </c>
      <c r="H7" t="inlineStr">
        <is>
          <t>—</t>
        </is>
      </c>
    </row>
    <row r="8">
      <c r="A8" s="9" t="n">
        <v>1927</v>
      </c>
      <c r="B8" s="6" t="n">
        <v>224078</v>
      </c>
      <c r="C8" s="6" t="n">
        <v>431262</v>
      </c>
      <c r="D8" s="6" t="n">
        <v>348514</v>
      </c>
      <c r="E8" s="6" t="n">
        <v>56222</v>
      </c>
      <c r="F8" s="6" t="n">
        <v>29444</v>
      </c>
      <c r="G8" s="6" t="n">
        <v>1089520</v>
      </c>
      <c r="H8" t="inlineStr">
        <is>
          <t>—</t>
        </is>
      </c>
    </row>
    <row r="9">
      <c r="A9" s="9" t="n">
        <v>1928</v>
      </c>
      <c r="B9" s="6" t="n">
        <v>188643</v>
      </c>
      <c r="C9" s="6" t="n">
        <v>380461</v>
      </c>
      <c r="D9" s="6" t="n">
        <v>514486</v>
      </c>
      <c r="E9" s="6" t="n">
        <v>42254</v>
      </c>
      <c r="F9" s="6" t="n">
        <v>14320</v>
      </c>
      <c r="G9" s="6" t="n">
        <v>1140164</v>
      </c>
      <c r="H9" t="inlineStr">
        <is>
          <t>—</t>
        </is>
      </c>
    </row>
    <row r="10">
      <c r="A10" s="9" t="n">
        <v>1929</v>
      </c>
      <c r="B10" s="6" t="n">
        <v>164321</v>
      </c>
      <c r="C10" s="6" t="n">
        <v>677238</v>
      </c>
      <c r="D10" s="6" t="n">
        <v>400013</v>
      </c>
      <c r="E10" s="6" t="n">
        <v>63403</v>
      </c>
      <c r="F10" s="6" t="n">
        <v>27634</v>
      </c>
      <c r="G10" s="6" t="n">
        <v>1332609</v>
      </c>
      <c r="H10" t="inlineStr">
        <is>
          <t>—</t>
        </is>
      </c>
    </row>
    <row r="11">
      <c r="A11" s="9" t="n">
        <v>1930</v>
      </c>
      <c r="B11" s="6" t="n">
        <v>211767</v>
      </c>
      <c r="C11" s="6" t="n">
        <v>346997</v>
      </c>
      <c r="D11" s="6" t="n">
        <v>685323</v>
      </c>
      <c r="E11" s="6" t="n">
        <v>45380</v>
      </c>
      <c r="F11" s="6" t="n">
        <v>19180</v>
      </c>
      <c r="G11" s="6" t="n">
        <v>1308647</v>
      </c>
      <c r="H11" t="inlineStr">
        <is>
          <t>—</t>
        </is>
      </c>
    </row>
    <row r="12">
      <c r="A12" s="9" t="n">
        <v>1931</v>
      </c>
      <c r="B12" s="6" t="n">
        <v>112146</v>
      </c>
      <c r="C12" s="6" t="n">
        <v>249710</v>
      </c>
      <c r="D12" s="6" t="n">
        <v>677173</v>
      </c>
      <c r="E12" s="6" t="n">
        <v>37723</v>
      </c>
      <c r="F12" s="6" t="n">
        <v>11859</v>
      </c>
      <c r="G12" s="6" t="n">
        <v>1088611</v>
      </c>
      <c r="H12" t="inlineStr">
        <is>
          <t>—</t>
        </is>
      </c>
    </row>
    <row r="13">
      <c r="A13" s="9" t="n">
        <v>1932</v>
      </c>
      <c r="B13" s="6" t="n">
        <v>188951</v>
      </c>
      <c r="C13" s="6" t="n">
        <v>230879</v>
      </c>
      <c r="D13" s="6" t="n">
        <v>1090989</v>
      </c>
      <c r="E13" s="6" t="n">
        <v>47320</v>
      </c>
      <c r="F13" t="inlineStr">
        <is>
          <t>—</t>
        </is>
      </c>
      <c r="G13" s="6" t="n">
        <v>1558139</v>
      </c>
      <c r="H13" s="6" t="n">
        <v>44843</v>
      </c>
    </row>
    <row r="14">
      <c r="A14" s="9" t="n">
        <v>1933</v>
      </c>
      <c r="B14" s="6" t="n">
        <v>206661</v>
      </c>
      <c r="C14" s="6" t="n">
        <v>37318</v>
      </c>
      <c r="D14" s="6" t="n">
        <v>1688838</v>
      </c>
      <c r="E14" s="6" t="n">
        <v>68397</v>
      </c>
      <c r="F14" t="inlineStr">
        <is>
          <t>—</t>
        </is>
      </c>
      <c r="G14" s="6" t="n">
        <v>2001214</v>
      </c>
      <c r="H14" s="6" t="n">
        <v>65526</v>
      </c>
    </row>
    <row r="15">
      <c r="A15" s="9" t="n">
        <v>1934</v>
      </c>
      <c r="B15" s="6" t="n">
        <v>176295</v>
      </c>
      <c r="C15" s="6" t="n">
        <v>7117</v>
      </c>
      <c r="D15" s="6" t="n">
        <v>1282761</v>
      </c>
      <c r="E15" s="6" t="n">
        <v>60797</v>
      </c>
      <c r="F15" s="6" t="n">
        <v>21527</v>
      </c>
      <c r="G15" s="6" t="n">
        <v>1548497</v>
      </c>
      <c r="H15" s="6" t="n">
        <v>34616</v>
      </c>
    </row>
    <row r="16">
      <c r="A16" s="9" t="n">
        <v>1935</v>
      </c>
      <c r="B16" s="6" t="n">
        <v>142671</v>
      </c>
      <c r="C16" s="6" t="n">
        <v>7047</v>
      </c>
      <c r="D16" s="6" t="n">
        <v>1544225</v>
      </c>
      <c r="E16" s="6" t="n">
        <v>50671</v>
      </c>
      <c r="F16" s="6" t="n">
        <v>32107</v>
      </c>
      <c r="G16" s="6" t="n">
        <v>1776721</v>
      </c>
      <c r="H16" s="6" t="n">
        <v>59505</v>
      </c>
    </row>
    <row r="17">
      <c r="A17" s="9" t="n">
        <v>1936</v>
      </c>
      <c r="B17" s="6" t="n">
        <v>334526</v>
      </c>
      <c r="C17" s="6" t="n">
        <v>197831</v>
      </c>
      <c r="D17" s="6" t="n">
        <v>3070203</v>
      </c>
      <c r="E17" s="6" t="n">
        <v>58957</v>
      </c>
      <c r="F17" s="6" t="n">
        <v>35451</v>
      </c>
      <c r="G17" s="6" t="n">
        <v>3696968</v>
      </c>
      <c r="H17" s="6" t="n">
        <v>182791</v>
      </c>
    </row>
    <row r="18">
      <c r="A18" s="9" t="n">
        <v>1937</v>
      </c>
      <c r="B18" s="6" t="n">
        <v>523974</v>
      </c>
      <c r="C18" s="6" t="n">
        <v>341819</v>
      </c>
      <c r="D18" s="6" t="n">
        <v>1860122</v>
      </c>
      <c r="E18" s="6" t="n">
        <v>34581</v>
      </c>
      <c r="F18" s="6" t="n">
        <v>37621</v>
      </c>
      <c r="G18" s="6" t="n">
        <v>2798117</v>
      </c>
      <c r="H18" s="6" t="n">
        <v>85788</v>
      </c>
    </row>
    <row r="19">
      <c r="A19" s="9" t="n">
        <v>1938</v>
      </c>
      <c r="B19" s="6" t="n">
        <v>1137050</v>
      </c>
      <c r="C19" s="6" t="n">
        <v>848600</v>
      </c>
      <c r="D19" s="6" t="n">
        <v>1752083</v>
      </c>
      <c r="E19" s="6" t="n">
        <v>200267</v>
      </c>
      <c r="F19" t="inlineStr"/>
      <c r="G19" s="6" t="n">
        <v>3938450</v>
      </c>
      <c r="H19" t="inlineStr">
        <is>
          <t>—</t>
        </is>
      </c>
    </row>
    <row r="20">
      <c r="A20" s="9" t="n">
        <v>1939</v>
      </c>
      <c r="B20" s="6" t="n">
        <v>618766</v>
      </c>
      <c r="C20" s="6" t="n">
        <v>650100</v>
      </c>
      <c r="D20" s="6" t="n">
        <v>1424733</v>
      </c>
      <c r="E20" s="6" t="n">
        <v>418000</v>
      </c>
      <c r="F20" t="inlineStr"/>
      <c r="G20" s="6" t="n">
        <v>3059567</v>
      </c>
      <c r="H20" t="inlineStr">
        <is>
          <t>—</t>
        </is>
      </c>
    </row>
    <row r="22">
      <c r="A22" s="2" t="inlineStr">
        <is>
          <t>Transcriber's notes</t>
        </is>
      </c>
    </row>
    <row r="23">
      <c r="A23" t="inlineStr">
        <is>
          <t>1938 and 1939: a single figure (200,267; 418,000) is printed under a brace spanning Rock sugar and Cube &amp; loaf sugar (combined); entered in Rock sugar, Cube &amp; loaf left blank.</t>
        </is>
      </c>
    </row>
    <row r="24">
      <c r="A24" t="inlineStr">
        <is>
          <t>'Under Dutch Plantation' header spans the first two columns (interpretation of the header layout).</t>
        </is>
      </c>
    </row>
    <row r="25">
      <c r="A25" t="inlineStr">
        <is>
          <t>Molasses appears outside the Total (Total matches Table 32 Import figures).</t>
        </is>
      </c>
    </row>
    <row r="26">
      <c r="A26" t="inlineStr">
        <is>
          <t>1926: parts 867,427 vs Total 867,427 — reconciles</t>
        </is>
      </c>
    </row>
    <row r="27">
      <c r="A27" t="inlineStr">
        <is>
          <t>1927: parts 1,089,520 vs Total 1,089,520 — reconciles</t>
        </is>
      </c>
    </row>
    <row r="28">
      <c r="A28" t="inlineStr">
        <is>
          <t>1928: parts 1,140,164 vs Total 1,140,164 — reconciles</t>
        </is>
      </c>
    </row>
    <row r="29">
      <c r="A29" t="inlineStr">
        <is>
          <t>1929: parts 1,332,609 vs Total 1,332,609 — reconciles</t>
        </is>
      </c>
    </row>
    <row r="30">
      <c r="A30" t="inlineStr">
        <is>
          <t>1930: parts 1,308,647 vs Total 1,308,647 — reconciles</t>
        </is>
      </c>
    </row>
    <row r="31">
      <c r="A31" t="inlineStr">
        <is>
          <t>1931: parts 1,088,611 vs Total 1,088,611 — reconciles</t>
        </is>
      </c>
    </row>
    <row r="32">
      <c r="A32" t="inlineStr">
        <is>
          <t>1932: parts 1,558,139 vs Total 1,558,139 — reconciles</t>
        </is>
      </c>
    </row>
    <row r="33">
      <c r="A33" t="inlineStr">
        <is>
          <t>1933: parts 2,001,214 vs Total 2,001,214 — reconciles</t>
        </is>
      </c>
    </row>
    <row r="34">
      <c r="A34" t="inlineStr">
        <is>
          <t>1934: parts 1,548,497 vs Total 1,548,497 — reconciles</t>
        </is>
      </c>
    </row>
    <row r="35">
      <c r="A35" t="inlineStr">
        <is>
          <t>1935: parts 1,776,721 vs Total 1,776,721 — reconciles</t>
        </is>
      </c>
    </row>
    <row r="36">
      <c r="A36" t="inlineStr">
        <is>
          <t>1936: parts 3,696,968 vs Total 3,696,968 — reconciles</t>
        </is>
      </c>
    </row>
    <row r="37">
      <c r="A37" t="inlineStr">
        <is>
          <t>1937: parts 2,798,117 vs Total 2,798,117 — reconciles</t>
        </is>
      </c>
    </row>
    <row r="38">
      <c r="A38" t="inlineStr">
        <is>
          <t>1938: parts 3,938,000 vs Total 3,938,450 — does NOT reconcile (diff +450)</t>
        </is>
      </c>
    </row>
    <row r="39">
      <c r="A39" t="inlineStr">
        <is>
          <t>1939: parts 3,111,599 vs Total 3,059,567 — does NOT reconcile (diff -52,032)</t>
        </is>
      </c>
    </row>
    <row r="40">
      <c r="A40" t="inlineStr">
        <is>
          <t>1938/1939 re-read on zoomed crop; figures as printed. 1939 Total 3,059,567 vs Table 32 Import 3,059,566.</t>
        </is>
      </c>
    </row>
  </sheetData>
  <hyperlinks>
    <hyperlink xmlns:r="http://schemas.openxmlformats.org/officeDocument/2006/relationships" ref="A4" r:id="rId1"/>
  </hyperlink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[Contemplated annual production of the Manchuria Electro-Chemical Industry Company]</t>
        </is>
      </c>
    </row>
    <row r="2">
      <c r="A2" t="inlineStr">
        <is>
          <t>Manufacturing Industry · printed pp. 534, 535</t>
        </is>
      </c>
    </row>
    <row r="3">
      <c r="A3" s="3" t="inlineStr">
        <is>
          <t>← Contents</t>
        </is>
      </c>
    </row>
    <row r="5">
      <c r="A5" s="5" t="inlineStr">
        <is>
          <t>Article</t>
        </is>
      </c>
      <c r="B5" s="5" t="inlineStr">
        <is>
          <t>Annual Production (metric tons)</t>
        </is>
      </c>
    </row>
    <row r="6">
      <c r="A6" t="inlineStr">
        <is>
          <t>Synthetic Rubber</t>
        </is>
      </c>
      <c r="B6" s="6" t="n">
        <v>20000</v>
      </c>
    </row>
    <row r="7">
      <c r="A7" t="inlineStr">
        <is>
          <t>Acetone</t>
        </is>
      </c>
      <c r="B7" s="6" t="n">
        <v>1000</v>
      </c>
    </row>
    <row r="8">
      <c r="A8" t="inlineStr">
        <is>
          <t>Coal Nitrogen</t>
        </is>
      </c>
      <c r="B8" s="6" t="n">
        <v>30000</v>
      </c>
    </row>
    <row r="9">
      <c r="A9" t="inlineStr">
        <is>
          <t>Perchloric Acid Ammonia</t>
        </is>
      </c>
      <c r="B9" s="6" t="n">
        <v>1000</v>
      </c>
    </row>
    <row r="10">
      <c r="A10" t="inlineStr">
        <is>
          <t>Tussuh Silk</t>
        </is>
      </c>
      <c r="B10" s="6" t="n">
        <v>1000</v>
      </c>
    </row>
    <row r="12">
      <c r="A12" s="2" t="inlineStr">
        <is>
          <t>Transcriber's notes</t>
        </is>
      </c>
    </row>
    <row r="13">
      <c r="A13" t="inlineStr">
        <is>
          <t>Unnumbered in-text list; begins on p.534 and continues on p.535 headed '(Continued)'; merged.</t>
        </is>
      </c>
    </row>
    <row r="14">
      <c r="A14" t="inlineStr">
        <is>
          <t>No total printed.</t>
        </is>
      </c>
    </row>
  </sheetData>
  <hyperlinks>
    <hyperlink xmlns:r="http://schemas.openxmlformats.org/officeDocument/2006/relationships" ref="A3" r:id="rId1"/>
  </hyperlink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18. Production of Sulphate of Ammonia</t>
        </is>
      </c>
    </row>
    <row r="2">
      <c r="A2" t="inlineStr">
        <is>
          <t>Manufacturing Industry · printed pp. 535, 536</t>
        </is>
      </c>
    </row>
    <row r="3">
      <c r="A3" t="inlineStr">
        <is>
          <t>(In Metric tons)</t>
        </is>
      </c>
    </row>
    <row r="4">
      <c r="A4" s="3" t="inlineStr">
        <is>
          <t>← Contents</t>
        </is>
      </c>
    </row>
    <row r="6">
      <c r="A6" s="5" t="inlineStr">
        <is>
          <t>Year</t>
        </is>
      </c>
      <c r="B6" s="5" t="inlineStr">
        <is>
          <t>Manchuria Chemical Ind. Co.</t>
        </is>
      </c>
      <c r="C6" s="5" t="inlineStr">
        <is>
          <t>S.M.R. Co. — Fushun oil factory</t>
        </is>
      </c>
      <c r="D6" s="5" t="inlineStr">
        <is>
          <t>S.M.R. Co. — Fushun electric power station</t>
        </is>
      </c>
      <c r="E6" s="5" t="inlineStr">
        <is>
          <t>Showa Steel Works</t>
        </is>
      </c>
      <c r="F6" s="5" t="inlineStr">
        <is>
          <t>Penhsihu Iron &amp; Colliery Co.</t>
        </is>
      </c>
    </row>
    <row r="7">
      <c r="A7" s="9" t="n">
        <v>1933</v>
      </c>
      <c r="B7" t="inlineStr">
        <is>
          <t>—</t>
        </is>
      </c>
      <c r="C7" s="6" t="n">
        <v>18376</v>
      </c>
      <c r="D7" s="6" t="n">
        <v>5681</v>
      </c>
      <c r="E7" s="6" t="n">
        <v>4891</v>
      </c>
      <c r="F7" t="inlineStr">
        <is>
          <t>—</t>
        </is>
      </c>
    </row>
    <row r="8">
      <c r="A8" s="9" t="n">
        <v>1934</v>
      </c>
      <c r="B8" t="inlineStr">
        <is>
          <t>—</t>
        </is>
      </c>
      <c r="C8" s="6" t="n">
        <v>14675</v>
      </c>
      <c r="D8" s="6" t="n">
        <v>5560</v>
      </c>
      <c r="E8" s="6" t="n">
        <v>6958</v>
      </c>
      <c r="F8" t="inlineStr">
        <is>
          <t>—</t>
        </is>
      </c>
    </row>
    <row r="9">
      <c r="A9" s="9" t="n">
        <v>1935</v>
      </c>
      <c r="B9" t="inlineStr">
        <is>
          <t>—</t>
        </is>
      </c>
      <c r="C9" s="6" t="n">
        <v>24717</v>
      </c>
      <c r="D9" s="6" t="n">
        <v>6175</v>
      </c>
      <c r="E9" s="6" t="n">
        <v>8230</v>
      </c>
      <c r="F9" t="inlineStr">
        <is>
          <t>—</t>
        </is>
      </c>
    </row>
    <row r="10">
      <c r="A10" s="9" t="n">
        <v>1936</v>
      </c>
      <c r="B10" t="inlineStr"/>
      <c r="C10" t="inlineStr"/>
      <c r="D10" s="6" t="n">
        <v>181033</v>
      </c>
      <c r="E10" t="inlineStr"/>
      <c r="F10" t="inlineStr"/>
    </row>
    <row r="11">
      <c r="A11" s="9" t="n">
        <v>1937</v>
      </c>
      <c r="B11" s="6" t="n">
        <v>135408</v>
      </c>
      <c r="C11" s="6" t="n">
        <v>26154</v>
      </c>
      <c r="D11" s="6" t="n">
        <v>6391</v>
      </c>
      <c r="E11" s="6" t="n">
        <v>11480</v>
      </c>
      <c r="F11" s="6" t="n">
        <v>1843</v>
      </c>
    </row>
    <row r="13">
      <c r="A13" s="2" t="inlineStr">
        <is>
          <t>Transcriber's notes</t>
        </is>
      </c>
    </row>
    <row r="14">
      <c r="A14" t="inlineStr">
        <is>
          <t>Rows 1933–1934 on p.535; continued on p.536 headed '(Continued)' with 1935–1937. Merged.</t>
        </is>
      </c>
    </row>
    <row r="15">
      <c r="A15" t="inlineStr">
        <is>
          <t>1936: a single figure 181,033 is printed centred under a brace spanning all five producer columns (combined total); entered in the middle column, others blank.</t>
        </is>
      </c>
    </row>
    <row r="16">
      <c r="A16" t="inlineStr">
        <is>
          <t>Table numbering in this section runs 33 then 18, 19 — as printed.</t>
        </is>
      </c>
    </row>
    <row r="17">
      <c r="A17" t="inlineStr">
        <is>
          <t>No totals printed.</t>
        </is>
      </c>
    </row>
  </sheetData>
  <hyperlinks>
    <hyperlink xmlns:r="http://schemas.openxmlformats.org/officeDocument/2006/relationships" ref="A4" r:id="rId1"/>
  </hyperlink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19. Production Capacity of Manchuria Chemical Industrial Co.</t>
        </is>
      </c>
    </row>
    <row r="2">
      <c r="A2" t="inlineStr">
        <is>
          <t>Manufacturing Industry · printed pp. 536</t>
        </is>
      </c>
    </row>
    <row r="3">
      <c r="A3" t="inlineStr">
        <is>
          <t>(End of Sept. 1937)</t>
        </is>
      </c>
    </row>
    <row r="4">
      <c r="A4" s="3" t="inlineStr">
        <is>
          <t>← Contents</t>
        </is>
      </c>
    </row>
    <row r="6">
      <c r="A6" s="5" t="inlineStr">
        <is>
          <t>Product</t>
        </is>
      </c>
      <c r="B6" s="5" t="inlineStr">
        <is>
          <t>Metric Tons</t>
        </is>
      </c>
    </row>
    <row r="7">
      <c r="A7" t="inlineStr">
        <is>
          <t>Sulphate of Ammonia</t>
        </is>
      </c>
      <c r="B7" s="6" t="n">
        <v>240000</v>
      </c>
    </row>
    <row r="8">
      <c r="A8" t="inlineStr">
        <is>
          <t>Sulphuric Acid (50°)</t>
        </is>
      </c>
      <c r="B8" s="6" t="n">
        <v>210000</v>
      </c>
    </row>
    <row r="9">
      <c r="A9" t="inlineStr">
        <is>
          <t>Sulphuric Acid (60°)</t>
        </is>
      </c>
      <c r="B9" s="6" t="n">
        <v>10000</v>
      </c>
    </row>
    <row r="10">
      <c r="A10" t="inlineStr">
        <is>
          <t>Nitric Acid</t>
        </is>
      </c>
      <c r="B10" s="6" t="n">
        <v>3000</v>
      </c>
    </row>
    <row r="11">
      <c r="A11" t="inlineStr">
        <is>
          <t>Benzol</t>
        </is>
      </c>
      <c r="B11" s="6" t="n">
        <v>1000</v>
      </c>
    </row>
    <row r="12">
      <c r="A12" t="inlineStr">
        <is>
          <t>Nitrate of Ammonia</t>
        </is>
      </c>
      <c r="B12" s="6" t="n">
        <v>3000</v>
      </c>
    </row>
    <row r="13">
      <c r="A13" t="inlineStr">
        <is>
          <t>Tar</t>
        </is>
      </c>
      <c r="B13" s="6" t="n">
        <v>1000</v>
      </c>
    </row>
    <row r="14">
      <c r="A14" t="inlineStr">
        <is>
          <t>Creosote</t>
        </is>
      </c>
      <c r="B14" s="6" t="n">
        <v>1000</v>
      </c>
    </row>
    <row r="15">
      <c r="A15" t="inlineStr">
        <is>
          <t>Pitch</t>
        </is>
      </c>
      <c r="B15" s="6" t="n">
        <v>2000</v>
      </c>
    </row>
    <row r="16">
      <c r="A16" t="inlineStr">
        <is>
          <t>Cokes</t>
        </is>
      </c>
      <c r="B16" s="6" t="n">
        <v>100000</v>
      </c>
    </row>
    <row r="18">
      <c r="A18" s="2" t="inlineStr">
        <is>
          <t>Transcriber's notes</t>
        </is>
      </c>
    </row>
    <row r="19">
      <c r="A19" t="inlineStr">
        <is>
          <t>Printed in two side-by-side blocks; merged.</t>
        </is>
      </c>
    </row>
    <row r="20">
      <c r="A20" t="inlineStr">
        <is>
          <t>No total printed.</t>
        </is>
      </c>
    </row>
  </sheetData>
  <hyperlinks>
    <hyperlink xmlns:r="http://schemas.openxmlformats.org/officeDocument/2006/relationships" ref="A4" r:id="rId1"/>
  </hyperlink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17. Pulp Manufacturing Concerns</t>
        </is>
      </c>
    </row>
    <row r="2">
      <c r="A2" t="inlineStr">
        <is>
          <t>Manufacturing Industry · printed pp. 538</t>
        </is>
      </c>
    </row>
    <row r="3">
      <c r="A3" t="inlineStr">
        <is>
          <t>(End of June, 1938)</t>
        </is>
      </c>
    </row>
    <row r="4">
      <c r="A4" s="3" t="inlineStr">
        <is>
          <t>← Contents</t>
        </is>
      </c>
    </row>
    <row r="6">
      <c r="A6" s="5" t="inlineStr">
        <is>
          <t>Company</t>
        </is>
      </c>
      <c r="B6" s="5" t="inlineStr">
        <is>
          <t>Established</t>
        </is>
      </c>
      <c r="C6" s="5" t="inlineStr">
        <is>
          <t>Authorized Capital</t>
        </is>
      </c>
      <c r="D6" s="5" t="inlineStr">
        <is>
          <t>Paid-up Capital</t>
        </is>
      </c>
      <c r="E6" s="5" t="inlineStr">
        <is>
          <t>Affiliation</t>
        </is>
      </c>
      <c r="F6" s="5" t="inlineStr">
        <is>
          <t>Felling Dist.</t>
        </is>
      </c>
    </row>
    <row r="7">
      <c r="A7" t="inlineStr">
        <is>
          <t>Toho Pulp Ind. Co.</t>
        </is>
      </c>
      <c r="B7" t="inlineStr">
        <is>
          <t>May, 1934</t>
        </is>
      </c>
      <c r="C7" t="inlineStr">
        <is>
          <t>¥30,000,000</t>
        </is>
      </c>
      <c r="D7" t="inlineStr">
        <is>
          <t>¥7,500,000</t>
        </is>
      </c>
      <c r="E7" t="inlineStr">
        <is>
          <t>Kanebo</t>
        </is>
      </c>
      <c r="F7" t="inlineStr">
        <is>
          <t>Chientao, Antu, Fusung, Menkiang</t>
        </is>
      </c>
    </row>
    <row r="8">
      <c r="A8" t="inlineStr">
        <is>
          <t>Japan-Manchuria Pulp Co.</t>
        </is>
      </c>
      <c r="B8" t="inlineStr">
        <is>
          <t>Sept., 1936</t>
        </is>
      </c>
      <c r="C8" s="6" t="n">
        <v>15000000</v>
      </c>
      <c r="D8" s="6" t="n">
        <v>5000000</v>
      </c>
      <c r="E8" t="inlineStr">
        <is>
          <t>Oji Interest</t>
        </is>
      </c>
      <c r="F8" t="inlineStr">
        <is>
          <t>Mutankiang Valley, Huatien</t>
        </is>
      </c>
    </row>
    <row r="9">
      <c r="A9" t="inlineStr">
        <is>
          <t>Manchuria Pulp Industrial Co.</t>
        </is>
      </c>
      <c r="B9" t="inlineStr">
        <is>
          <t>May, 1934</t>
        </is>
      </c>
      <c r="C9" s="6" t="n">
        <v>10000000</v>
      </c>
      <c r="D9" s="6" t="n">
        <v>5000000</v>
      </c>
      <c r="E9" t="inlineStr">
        <is>
          <t>Mitsubishi</t>
        </is>
      </c>
      <c r="F9" t="inlineStr">
        <is>
          <t>Huachuang, Poli, Iran, Fangsheng</t>
        </is>
      </c>
    </row>
    <row r="10">
      <c r="A10" t="inlineStr">
        <is>
          <t>Toyo Pulp Co.</t>
        </is>
      </c>
      <c r="B10" t="inlineStr">
        <is>
          <t>Sept., 1936</t>
        </is>
      </c>
      <c r="C10" s="6" t="n">
        <v>10000000</v>
      </c>
      <c r="D10" s="6" t="n">
        <v>5000000</v>
      </c>
      <c r="E10" t="inlineStr">
        <is>
          <t>Kawanishi</t>
        </is>
      </c>
      <c r="F10" t="inlineStr">
        <is>
          <t>Chientao</t>
        </is>
      </c>
    </row>
    <row r="11">
      <c r="A11" t="inlineStr">
        <is>
          <t>Chengteh Reed Pulp Co.</t>
        </is>
      </c>
      <c r="B11" t="inlineStr">
        <is>
          <t>Nov., 1936</t>
        </is>
      </c>
      <c r="C11" s="6" t="n">
        <v>5000000</v>
      </c>
      <c r="D11" s="6" t="n">
        <v>2500000</v>
      </c>
      <c r="E11" t="inlineStr">
        <is>
          <t>Kanebo</t>
        </is>
      </c>
      <c r="F11" t="inlineStr">
        <is>
          <t>Yingkow</t>
        </is>
      </c>
    </row>
    <row r="12">
      <c r="A12" t="inlineStr">
        <is>
          <t>Soya Bean Pulp Co.</t>
        </is>
      </c>
      <c r="B12" t="inlineStr">
        <is>
          <t>Aug., 1937</t>
        </is>
      </c>
      <c r="C12" s="6" t="n">
        <v>10000000</v>
      </c>
      <c r="D12" s="6" t="n">
        <v>5000000</v>
      </c>
      <c r="E12" t="inlineStr">
        <is>
          <t>Sakai Fibre Ind., Mitsui Bussan, S.M.R.</t>
        </is>
      </c>
      <c r="F12" t="inlineStr">
        <is>
          <t>Kaiyuan</t>
        </is>
      </c>
    </row>
    <row r="14">
      <c r="A14" s="2" t="inlineStr">
        <is>
          <t>Transcriber's notes</t>
        </is>
      </c>
    </row>
    <row r="15">
      <c r="A15" t="inlineStr">
        <is>
          <t>Stub column has no printed heading; 'Company' supplied.</t>
        </is>
      </c>
    </row>
    <row r="16">
      <c r="A16" t="inlineStr">
        <is>
          <t>Felling districts and multi-line affiliations are bracketed in print; joined with commas.</t>
        </is>
      </c>
    </row>
    <row r="17">
      <c r="A17" t="inlineStr">
        <is>
          <t>Soya Bean Pulp Co.: affiliation bracket lists Sakai Fibre Ind. / Mitsui Bussan / S.M.R.; 'Kaiyuan' printed on the Mitsui Bussan line, taken as the felling district.</t>
        </is>
      </c>
    </row>
    <row r="18">
      <c r="A18" t="inlineStr">
        <is>
          <t>Table numbered 17 in print although it precedes Table 13 on p. 539. No totals printed.</t>
        </is>
      </c>
    </row>
  </sheetData>
  <hyperlinks>
    <hyperlink xmlns:r="http://schemas.openxmlformats.org/officeDocument/2006/relationships" ref="A4" r:id="rId1"/>
  </hyperlink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13. Demand and Supply of Cement</t>
        </is>
      </c>
    </row>
    <row r="2">
      <c r="A2" t="inlineStr">
        <is>
          <t>Manufacturing Industry · printed pp. 539, 540</t>
        </is>
      </c>
    </row>
    <row r="3">
      <c r="A3" t="inlineStr">
        <is>
          <t>(In metric tons)</t>
        </is>
      </c>
    </row>
    <row r="4">
      <c r="A4" s="3" t="inlineStr">
        <is>
          <t>← Contents</t>
        </is>
      </c>
    </row>
    <row r="6">
      <c r="A6" s="5" t="inlineStr">
        <is>
          <t>Year</t>
        </is>
      </c>
      <c r="B6" s="5" t="inlineStr">
        <is>
          <t>Output</t>
        </is>
      </c>
      <c r="C6" s="5" t="inlineStr">
        <is>
          <t>Import</t>
        </is>
      </c>
      <c r="D6" s="5" t="inlineStr">
        <is>
          <t>Export</t>
        </is>
      </c>
      <c r="E6" s="5" t="inlineStr">
        <is>
          <t>Demand</t>
        </is>
      </c>
    </row>
    <row r="7">
      <c r="A7" s="9" t="n">
        <v>1924</v>
      </c>
      <c r="B7" s="6" t="n">
        <v>103400</v>
      </c>
      <c r="C7" s="6" t="n">
        <v>28400</v>
      </c>
      <c r="D7" s="6" t="n">
        <v>28600</v>
      </c>
      <c r="E7" s="6" t="n">
        <v>96000</v>
      </c>
    </row>
    <row r="8">
      <c r="A8" s="9" t="n">
        <v>1925</v>
      </c>
      <c r="B8" t="inlineStr">
        <is>
          <t>—</t>
        </is>
      </c>
      <c r="C8" s="6" t="n">
        <v>26000</v>
      </c>
      <c r="D8" s="6" t="n">
        <v>48600</v>
      </c>
      <c r="E8" s="6" t="n">
        <v>71300</v>
      </c>
    </row>
    <row r="9">
      <c r="A9" s="9" t="n">
        <v>1926</v>
      </c>
      <c r="B9" t="inlineStr">
        <is>
          <t>—</t>
        </is>
      </c>
      <c r="C9" s="6" t="n">
        <v>49600</v>
      </c>
      <c r="D9" s="6" t="n">
        <v>64600</v>
      </c>
      <c r="E9" s="6" t="n">
        <v>97000</v>
      </c>
    </row>
    <row r="10">
      <c r="A10" s="9" t="n">
        <v>1927</v>
      </c>
      <c r="B10" s="6" t="n">
        <v>111900</v>
      </c>
      <c r="C10" s="6" t="n">
        <v>69200</v>
      </c>
      <c r="D10" s="6" t="n">
        <v>32900</v>
      </c>
      <c r="E10" s="6" t="n">
        <v>135000</v>
      </c>
    </row>
    <row r="11">
      <c r="A11" s="9" t="n">
        <v>1928</v>
      </c>
      <c r="B11" s="6" t="n">
        <v>151400</v>
      </c>
      <c r="C11" s="6" t="n">
        <v>41900</v>
      </c>
      <c r="D11" s="6" t="n">
        <v>68800</v>
      </c>
      <c r="E11" s="6" t="n">
        <v>129000</v>
      </c>
    </row>
    <row r="12">
      <c r="A12" s="9" t="n">
        <v>1929</v>
      </c>
      <c r="B12" s="6" t="n">
        <v>205700</v>
      </c>
      <c r="C12" s="6" t="n">
        <v>46000</v>
      </c>
      <c r="D12" s="6" t="n">
        <v>80400</v>
      </c>
      <c r="E12" s="6" t="n">
        <v>166000</v>
      </c>
    </row>
    <row r="13">
      <c r="A13" s="9" t="n">
        <v>1930</v>
      </c>
      <c r="B13" s="6" t="n">
        <v>194500</v>
      </c>
      <c r="C13" s="6" t="n">
        <v>46800</v>
      </c>
      <c r="D13" s="6" t="n">
        <v>106100</v>
      </c>
      <c r="E13" s="6" t="n">
        <v>138200</v>
      </c>
    </row>
    <row r="14">
      <c r="A14" s="9" t="n">
        <v>1931</v>
      </c>
      <c r="B14" s="6" t="n">
        <v>162000</v>
      </c>
      <c r="C14" s="6" t="n">
        <v>38900</v>
      </c>
      <c r="D14" s="6" t="n">
        <v>83500</v>
      </c>
      <c r="E14" s="6" t="n">
        <v>109400</v>
      </c>
    </row>
    <row r="15">
      <c r="A15" s="9" t="n">
        <v>1932</v>
      </c>
      <c r="B15" s="6" t="n">
        <v>108800</v>
      </c>
      <c r="C15" s="6" t="n">
        <v>33600</v>
      </c>
      <c r="D15" s="6" t="n">
        <v>35100</v>
      </c>
      <c r="E15" s="6" t="n">
        <v>117900</v>
      </c>
    </row>
    <row r="16">
      <c r="A16" s="9" t="n">
        <v>1933</v>
      </c>
      <c r="B16" s="6" t="n">
        <v>184900</v>
      </c>
      <c r="C16" s="6" t="n">
        <v>155400</v>
      </c>
      <c r="D16" s="6" t="n">
        <v>18400</v>
      </c>
      <c r="E16" s="6" t="n">
        <v>323200</v>
      </c>
    </row>
    <row r="17">
      <c r="A17" s="9" t="n">
        <v>1934</v>
      </c>
      <c r="B17" s="6" t="n">
        <v>232600</v>
      </c>
      <c r="C17" s="6" t="n">
        <v>305400</v>
      </c>
      <c r="D17" s="6" t="n">
        <v>8100</v>
      </c>
      <c r="E17" s="6" t="n">
        <v>527600</v>
      </c>
    </row>
    <row r="18">
      <c r="A18" s="9" t="n">
        <v>1935</v>
      </c>
      <c r="B18" s="6" t="n">
        <v>378000</v>
      </c>
      <c r="C18" s="6" t="n">
        <v>155200</v>
      </c>
      <c r="D18" s="6" t="n">
        <v>11900</v>
      </c>
      <c r="E18" s="6" t="n">
        <v>516500</v>
      </c>
    </row>
    <row r="19">
      <c r="A19" s="9" t="n">
        <v>1936</v>
      </c>
      <c r="B19" s="6" t="n">
        <v>580000</v>
      </c>
      <c r="C19" s="6" t="n">
        <v>167400</v>
      </c>
      <c r="D19" s="6" t="n">
        <v>95100</v>
      </c>
      <c r="E19" s="6" t="n">
        <v>624700</v>
      </c>
    </row>
    <row r="20">
      <c r="A20" s="9" t="n">
        <v>1937</v>
      </c>
      <c r="B20" s="6" t="n">
        <v>800000</v>
      </c>
      <c r="C20" s="6" t="n">
        <v>49598</v>
      </c>
      <c r="D20" s="6" t="n">
        <v>28843</v>
      </c>
      <c r="E20" s="6" t="n">
        <v>820755</v>
      </c>
    </row>
    <row r="21">
      <c r="A21" s="9" t="n">
        <v>1938</v>
      </c>
      <c r="B21" t="inlineStr">
        <is>
          <t>—</t>
        </is>
      </c>
      <c r="C21" s="6" t="n">
        <v>176287</v>
      </c>
      <c r="D21" s="6" t="n">
        <v>13399</v>
      </c>
      <c r="E21" t="inlineStr">
        <is>
          <t>—</t>
        </is>
      </c>
    </row>
    <row r="22">
      <c r="A22" s="9" t="n">
        <v>1939</v>
      </c>
      <c r="B22" t="inlineStr">
        <is>
          <t>—</t>
        </is>
      </c>
      <c r="C22" s="6" t="n">
        <v>452904</v>
      </c>
      <c r="D22" s="9" t="n">
        <v>439</v>
      </c>
      <c r="E22" t="inlineStr">
        <is>
          <t>—</t>
        </is>
      </c>
    </row>
    <row r="24">
      <c r="A24" s="2" t="inlineStr">
        <is>
          <t>Transcriber's notes</t>
        </is>
      </c>
    </row>
    <row r="25">
      <c r="A25" t="inlineStr">
        <is>
          <t>Table runs from p. 539 to p. 540 (headed '(Continued)' on p. 540); merged.</t>
        </is>
      </c>
    </row>
    <row r="26">
      <c r="A26" t="inlineStr">
        <is>
          <t>No printed totals. 'Demand' is not simply Output+Import-Export in most years (e.g. 1927: 148,200 vs printed 135,000); transcribed as printed.</t>
        </is>
      </c>
    </row>
  </sheetData>
  <hyperlinks>
    <hyperlink xmlns:r="http://schemas.openxmlformats.org/officeDocument/2006/relationships" ref="A4" r:id="rId1"/>
  </hyperlink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14. Cement Manufacturing Cos. in Manchuria</t>
        </is>
      </c>
    </row>
    <row r="2">
      <c r="A2" t="inlineStr">
        <is>
          <t>Manufacturing Industry · printed pp. 540</t>
        </is>
      </c>
    </row>
    <row r="3">
      <c r="A3" t="inlineStr">
        <is>
          <t>(1939)</t>
        </is>
      </c>
    </row>
    <row r="4">
      <c r="A4" s="3" t="inlineStr">
        <is>
          <t>← Contents</t>
        </is>
      </c>
    </row>
    <row r="6">
      <c r="A6" s="5" t="inlineStr">
        <is>
          <t>Company / factory</t>
        </is>
      </c>
      <c r="B6" s="5" t="inlineStr">
        <is>
          <t>Capital (M¥1,000) — Authorized</t>
        </is>
      </c>
      <c r="C6" s="5" t="inlineStr">
        <is>
          <t>Capital (M¥1,000) — Paid-up</t>
        </is>
      </c>
      <c r="D6" s="5" t="inlineStr">
        <is>
          <t>Annual Capacity (M. tons)</t>
        </is>
      </c>
      <c r="E6" s="5" t="inlineStr">
        <is>
          <t>Affiliation of:</t>
        </is>
      </c>
    </row>
    <row r="7">
      <c r="A7" t="inlineStr">
        <is>
          <t>Dairen factory</t>
        </is>
      </c>
      <c r="B7" s="9" t="n">
        <v>500</v>
      </c>
      <c r="C7" s="9" t="n">
        <v>500</v>
      </c>
      <c r="D7" s="6" t="n">
        <v>250000</v>
      </c>
      <c r="E7" t="inlineStr">
        <is>
          <t>Onoda</t>
        </is>
      </c>
    </row>
    <row r="8">
      <c r="A8" t="inlineStr">
        <is>
          <t>Anshan factory</t>
        </is>
      </c>
      <c r="B8" s="9" t="n">
        <v>250</v>
      </c>
      <c r="C8" s="9" t="n">
        <v>250</v>
      </c>
      <c r="D8" s="6" t="n">
        <v>200000</v>
      </c>
      <c r="E8" t="inlineStr">
        <is>
          <t>”</t>
        </is>
      </c>
    </row>
    <row r="9">
      <c r="A9" t="inlineStr">
        <is>
          <t>Manchuria Cement Co.:</t>
        </is>
      </c>
      <c r="B9" t="inlineStr"/>
      <c r="C9" t="inlineStr"/>
      <c r="D9" t="inlineStr"/>
      <c r="E9" t="inlineStr"/>
    </row>
    <row r="10">
      <c r="A10" t="inlineStr">
        <is>
          <t>Liaoyang factory</t>
        </is>
      </c>
      <c r="B10" s="6" t="n">
        <v>2500</v>
      </c>
      <c r="C10" s="6" t="n">
        <v>2500</v>
      </c>
      <c r="D10" s="6" t="n">
        <v>240000</v>
      </c>
      <c r="E10" t="inlineStr">
        <is>
          <t>Chengteh Assn.</t>
        </is>
      </c>
    </row>
    <row r="11">
      <c r="A11" t="inlineStr">
        <is>
          <t>Wenchun factory</t>
        </is>
      </c>
      <c r="B11" t="inlineStr">
        <is>
          <t>—</t>
        </is>
      </c>
      <c r="C11" t="inlineStr">
        <is>
          <t>—</t>
        </is>
      </c>
      <c r="D11" s="6" t="n">
        <v>150000</v>
      </c>
      <c r="E11" t="inlineStr">
        <is>
          <t>”</t>
        </is>
      </c>
    </row>
    <row r="12">
      <c r="A12" t="inlineStr">
        <is>
          <t>Fushun Cement Co.:</t>
        </is>
      </c>
      <c r="B12" t="inlineStr"/>
      <c r="C12" t="inlineStr"/>
      <c r="D12" t="inlineStr"/>
      <c r="E12" t="inlineStr"/>
    </row>
    <row r="13">
      <c r="A13" t="inlineStr">
        <is>
          <t>Fushun factory</t>
        </is>
      </c>
      <c r="B13" s="6" t="n">
        <v>2500</v>
      </c>
      <c r="C13" s="6" t="n">
        <v>2500</v>
      </c>
      <c r="D13" s="6" t="n">
        <v>300000</v>
      </c>
      <c r="E13" t="inlineStr">
        <is>
          <t>S.M.R. Co.</t>
        </is>
      </c>
    </row>
    <row r="14">
      <c r="A14" t="inlineStr">
        <is>
          <t>Tatung Cement Co.:</t>
        </is>
      </c>
      <c r="B14" t="inlineStr"/>
      <c r="C14" t="inlineStr"/>
      <c r="D14" t="inlineStr"/>
      <c r="E14" t="inlineStr"/>
    </row>
    <row r="15">
      <c r="A15" t="inlineStr">
        <is>
          <t>Kirin factory</t>
        </is>
      </c>
      <c r="B15" s="6" t="n">
        <v>3000</v>
      </c>
      <c r="C15" s="6" t="n">
        <v>3000</v>
      </c>
      <c r="D15" s="6" t="n">
        <v>280000</v>
      </c>
      <c r="E15" t="inlineStr">
        <is>
          <t>Asano</t>
        </is>
      </c>
    </row>
    <row r="16">
      <c r="A16" t="inlineStr">
        <is>
          <t>Chinsi factory</t>
        </is>
      </c>
      <c r="B16" t="inlineStr">
        <is>
          <t>—</t>
        </is>
      </c>
      <c r="C16" t="inlineStr">
        <is>
          <t>—</t>
        </is>
      </c>
      <c r="D16" s="6" t="n">
        <v>120000</v>
      </c>
      <c r="E16" t="inlineStr">
        <is>
          <t>”</t>
        </is>
      </c>
    </row>
    <row r="17">
      <c r="A17" t="inlineStr">
        <is>
          <t>Penhsihu Cement Co.:</t>
        </is>
      </c>
      <c r="B17" t="inlineStr"/>
      <c r="C17" t="inlineStr"/>
      <c r="D17" t="inlineStr"/>
      <c r="E17" t="inlineStr"/>
    </row>
    <row r="18">
      <c r="A18" t="inlineStr">
        <is>
          <t>Penhsihu factory</t>
        </is>
      </c>
      <c r="B18" s="6" t="n">
        <v>3000</v>
      </c>
      <c r="C18" s="6" t="n">
        <v>3000</v>
      </c>
      <c r="D18" s="6" t="n">
        <v>350000</v>
      </c>
      <c r="E18" t="inlineStr">
        <is>
          <t>Okura</t>
        </is>
      </c>
    </row>
    <row r="19">
      <c r="A19" t="inlineStr">
        <is>
          <t>Onoda Cement Co. of Manchou:</t>
        </is>
      </c>
      <c r="B19" t="inlineStr"/>
      <c r="C19" t="inlineStr"/>
      <c r="D19" t="inlineStr"/>
      <c r="E19" t="inlineStr"/>
    </row>
    <row r="20">
      <c r="A20" t="inlineStr">
        <is>
          <t>Chuantou factory</t>
        </is>
      </c>
      <c r="B20" s="6" t="n">
        <v>5000</v>
      </c>
      <c r="C20" s="6" t="n">
        <v>2500</v>
      </c>
      <c r="D20" s="6" t="n">
        <v>160000</v>
      </c>
      <c r="E20" t="inlineStr">
        <is>
          <t>Onoda</t>
        </is>
      </c>
    </row>
    <row r="21">
      <c r="A21" t="inlineStr">
        <is>
          <t>Harbin Cement Co.:</t>
        </is>
      </c>
      <c r="B21" t="inlineStr"/>
      <c r="C21" t="inlineStr"/>
      <c r="D21" t="inlineStr"/>
      <c r="E21" t="inlineStr"/>
    </row>
    <row r="22">
      <c r="A22" t="inlineStr">
        <is>
          <t>Harbin factory</t>
        </is>
      </c>
      <c r="B22" s="6" t="n">
        <v>1000</v>
      </c>
      <c r="C22" s="6" t="n">
        <v>1000</v>
      </c>
      <c r="D22" s="6" t="n">
        <v>73000</v>
      </c>
      <c r="E22" t="inlineStr">
        <is>
          <t>Mitsui</t>
        </is>
      </c>
    </row>
    <row r="23">
      <c r="A23" t="inlineStr">
        <is>
          <t>Mutankiang factory</t>
        </is>
      </c>
      <c r="B23" t="inlineStr">
        <is>
          <t>—</t>
        </is>
      </c>
      <c r="C23" t="inlineStr">
        <is>
          <t>—</t>
        </is>
      </c>
      <c r="D23" s="6" t="n">
        <v>150000</v>
      </c>
      <c r="E23" t="inlineStr">
        <is>
          <t>”</t>
        </is>
      </c>
    </row>
    <row r="24">
      <c r="A24" t="inlineStr">
        <is>
          <t>Total</t>
        </is>
      </c>
      <c r="B24" s="6" t="n">
        <v>17750</v>
      </c>
      <c r="C24" s="6" t="n">
        <v>15250</v>
      </c>
      <c r="D24" s="6" t="n">
        <v>2123000</v>
      </c>
      <c r="E24" t="inlineStr"/>
    </row>
    <row r="26">
      <c r="A26" s="2" t="inlineStr">
        <is>
          <t>Transcriber's notes</t>
        </is>
      </c>
    </row>
    <row r="27">
      <c r="A27" t="inlineStr">
        <is>
          <t>Dairen and Anshan factories are printed at the top with no company heading above them.</t>
        </is>
      </c>
    </row>
    <row r="28">
      <c r="A28" t="inlineStr">
        <is>
          <t>Ditto marks printed as ” in Affiliation column; kept.</t>
        </is>
      </c>
    </row>
    <row r="29">
      <c r="A29" t="inlineStr">
        <is>
          <t>Total Authorized 17,750: parts sum to 17,750 — reconciles.</t>
        </is>
      </c>
    </row>
    <row r="30">
      <c r="A30" t="inlineStr">
        <is>
          <t>Total Paid-up 15,250: parts sum to 15,250 — reconciles.</t>
        </is>
      </c>
    </row>
    <row r="31">
      <c r="A31" t="inlineStr">
        <is>
          <t>Total Annual Capacity 2,123,000: parts sum to 2,273,000 — does NOT reconcile (diff 150,000; re-read; equals the sum excluding one 150,000 entry, Wenchun or Mutankiang factory).</t>
        </is>
      </c>
    </row>
  </sheetData>
  <hyperlinks>
    <hyperlink xmlns:r="http://schemas.openxmlformats.org/officeDocument/2006/relationships" ref="A4" r:id="rId1"/>
  </hyperlink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21. Match Manufacturing Companies in Manchuria</t>
        </is>
      </c>
    </row>
    <row r="2">
      <c r="A2" t="inlineStr">
        <is>
          <t>Manufacturing Industry · printed pp. 542, 543</t>
        </is>
      </c>
    </row>
    <row r="3">
      <c r="A3" t="inlineStr">
        <is>
          <t>(1939)</t>
        </is>
      </c>
    </row>
    <row r="4">
      <c r="A4" s="3" t="inlineStr">
        <is>
          <t>← Contents</t>
        </is>
      </c>
    </row>
    <row r="6">
      <c r="A6" s="5" t="inlineStr">
        <is>
          <t>Company</t>
        </is>
      </c>
      <c r="B6" s="5" t="inlineStr">
        <is>
          <t>Management</t>
        </is>
      </c>
      <c r="C6" s="5" t="inlineStr">
        <is>
          <t>Locality</t>
        </is>
      </c>
      <c r="D6" s="5" t="inlineStr">
        <is>
          <t>Capital</t>
        </is>
      </c>
      <c r="E6" s="5" t="inlineStr">
        <is>
          <t>Annual capacity (Boxes containing 2,400 pocket boxes)</t>
        </is>
      </c>
    </row>
    <row r="7">
      <c r="A7" t="inlineStr">
        <is>
          <t>Kirin Match Co.</t>
        </is>
      </c>
      <c r="B7" t="inlineStr">
        <is>
          <t>(Japanese)</t>
        </is>
      </c>
      <c r="C7" t="inlineStr">
        <is>
          <t>Kirin</t>
        </is>
      </c>
      <c r="D7" t="inlineStr">
        <is>
          <t>¥750,000</t>
        </is>
      </c>
      <c r="E7" s="6" t="n">
        <v>64000</v>
      </c>
    </row>
    <row r="8">
      <c r="A8" t="inlineStr">
        <is>
          <t>Chinhua Match Co.</t>
        </is>
      </c>
      <c r="B8" t="inlineStr">
        <is>
          <t>(Manchou)</t>
        </is>
      </c>
      <c r="C8" t="inlineStr">
        <is>
          <t>”</t>
        </is>
      </c>
      <c r="D8" s="6" t="n">
        <v>160000</v>
      </c>
      <c r="E8" s="6" t="n">
        <v>51000</v>
      </c>
    </row>
    <row r="9">
      <c r="A9" t="inlineStr">
        <is>
          <t>Chungchih Match Co.</t>
        </is>
      </c>
      <c r="B9" t="inlineStr">
        <is>
          <t>( ” )</t>
        </is>
      </c>
      <c r="C9" t="inlineStr">
        <is>
          <t>”</t>
        </is>
      </c>
      <c r="D9" s="6" t="n">
        <v>160000</v>
      </c>
      <c r="E9" s="6" t="n">
        <v>42400</v>
      </c>
    </row>
    <row r="10">
      <c r="A10" t="inlineStr">
        <is>
          <t>Taifeng Match Co.</t>
        </is>
      </c>
      <c r="B10" t="inlineStr">
        <is>
          <t>( ” )</t>
        </is>
      </c>
      <c r="C10" t="inlineStr">
        <is>
          <t>”</t>
        </is>
      </c>
      <c r="D10" s="6" t="n">
        <v>100000</v>
      </c>
      <c r="E10" s="6" t="n">
        <v>21000</v>
      </c>
    </row>
    <row r="11">
      <c r="A11" t="inlineStr">
        <is>
          <t>Nisshin Match Co.</t>
        </is>
      </c>
      <c r="B11" t="inlineStr">
        <is>
          <t>(Japanese)</t>
        </is>
      </c>
      <c r="C11" t="inlineStr">
        <is>
          <t>Hsinking</t>
        </is>
      </c>
      <c r="D11" s="6" t="n">
        <v>300000</v>
      </c>
      <c r="E11" s="6" t="n">
        <v>51000</v>
      </c>
    </row>
    <row r="12">
      <c r="A12" t="inlineStr">
        <is>
          <t>Changchun Match Co.</t>
        </is>
      </c>
      <c r="B12" t="inlineStr">
        <is>
          <t>( ” )</t>
        </is>
      </c>
      <c r="C12" t="inlineStr">
        <is>
          <t>”</t>
        </is>
      </c>
      <c r="D12" s="6" t="n">
        <v>116800</v>
      </c>
      <c r="E12" s="6" t="n">
        <v>51000</v>
      </c>
    </row>
    <row r="13">
      <c r="A13" t="inlineStr">
        <is>
          <t>Paoshan Match Co.</t>
        </is>
      </c>
      <c r="B13" t="inlineStr">
        <is>
          <t>( ” )</t>
        </is>
      </c>
      <c r="C13" t="inlineStr">
        <is>
          <t>”</t>
        </is>
      </c>
      <c r="D13" s="6" t="n">
        <v>115000</v>
      </c>
      <c r="E13" s="6" t="n">
        <v>51000</v>
      </c>
    </row>
    <row r="14">
      <c r="A14" t="inlineStr">
        <is>
          <t>Huilin Match Co.</t>
        </is>
      </c>
      <c r="B14" t="inlineStr">
        <is>
          <t>(Manchou)</t>
        </is>
      </c>
      <c r="C14" t="inlineStr">
        <is>
          <t>Mukden</t>
        </is>
      </c>
      <c r="D14" s="6" t="n">
        <v>206000</v>
      </c>
      <c r="E14" s="6" t="n">
        <v>114000</v>
      </c>
    </row>
    <row r="15">
      <c r="A15" t="inlineStr">
        <is>
          <t>Tanhua Match Co.</t>
        </is>
      </c>
      <c r="B15" t="inlineStr">
        <is>
          <t>( ” )</t>
        </is>
      </c>
      <c r="C15" t="inlineStr">
        <is>
          <t>Antung</t>
        </is>
      </c>
      <c r="D15" s="6" t="n">
        <v>1200000</v>
      </c>
      <c r="E15" s="6" t="n">
        <v>64800</v>
      </c>
    </row>
    <row r="16">
      <c r="A16" t="inlineStr">
        <is>
          <t>Sanming Match Co.</t>
        </is>
      </c>
      <c r="B16" t="inlineStr">
        <is>
          <t>( ” )</t>
        </is>
      </c>
      <c r="C16" t="inlineStr">
        <is>
          <t>Yingkow</t>
        </is>
      </c>
      <c r="D16" s="6" t="n">
        <v>150000</v>
      </c>
      <c r="E16" s="6" t="n">
        <v>108000</v>
      </c>
    </row>
    <row r="17">
      <c r="A17" t="inlineStr">
        <is>
          <t>Shengsheng Match Co.</t>
        </is>
      </c>
      <c r="B17" t="inlineStr">
        <is>
          <t>( ” )</t>
        </is>
      </c>
      <c r="C17" t="inlineStr">
        <is>
          <t>”</t>
        </is>
      </c>
      <c r="D17" s="6" t="n">
        <v>100000</v>
      </c>
      <c r="E17" s="6" t="n">
        <v>90000</v>
      </c>
    </row>
    <row r="18">
      <c r="A18" t="inlineStr">
        <is>
          <t>Kwantung Match Co.</t>
        </is>
      </c>
      <c r="B18" t="inlineStr">
        <is>
          <t>( ” )</t>
        </is>
      </c>
      <c r="C18" t="inlineStr">
        <is>
          <t>”</t>
        </is>
      </c>
      <c r="D18" s="6" t="n">
        <v>100000</v>
      </c>
      <c r="E18" s="6" t="n">
        <v>63000</v>
      </c>
    </row>
    <row r="19">
      <c r="A19" t="inlineStr">
        <is>
          <t>Luchang Match Co.</t>
        </is>
      </c>
      <c r="B19" t="inlineStr">
        <is>
          <t>( ” )</t>
        </is>
      </c>
      <c r="C19" t="inlineStr">
        <is>
          <t>Tsitsihar</t>
        </is>
      </c>
      <c r="D19" s="6" t="n">
        <v>100000</v>
      </c>
      <c r="E19" s="6" t="n">
        <v>60000</v>
      </c>
    </row>
    <row r="20">
      <c r="A20" t="inlineStr">
        <is>
          <t>Chenhsing Match Co.</t>
        </is>
      </c>
      <c r="B20" t="inlineStr">
        <is>
          <t>( ” )</t>
        </is>
      </c>
      <c r="C20" t="inlineStr">
        <is>
          <t>Hulan</t>
        </is>
      </c>
      <c r="D20" s="6" t="n">
        <v>300000</v>
      </c>
      <c r="E20" s="6" t="n">
        <v>30000</v>
      </c>
    </row>
    <row r="21">
      <c r="A21" t="inlineStr">
        <is>
          <t>Changheng Match Co.</t>
        </is>
      </c>
      <c r="B21" t="inlineStr">
        <is>
          <t>( ” )</t>
        </is>
      </c>
      <c r="C21" t="inlineStr">
        <is>
          <t>Tunghua</t>
        </is>
      </c>
      <c r="D21" s="6" t="n">
        <v>200000</v>
      </c>
      <c r="E21" s="6" t="n">
        <v>19500</v>
      </c>
    </row>
    <row r="22">
      <c r="A22" t="inlineStr">
        <is>
          <t>Minyuang Match Co.</t>
        </is>
      </c>
      <c r="B22" t="inlineStr">
        <is>
          <t>( ” )</t>
        </is>
      </c>
      <c r="C22" t="inlineStr">
        <is>
          <t>Ashiho</t>
        </is>
      </c>
      <c r="D22" t="inlineStr">
        <is>
          <t>—</t>
        </is>
      </c>
      <c r="E22" s="6" t="n">
        <v>69000</v>
      </c>
    </row>
    <row r="23">
      <c r="A23" t="inlineStr">
        <is>
          <t>Dairen Match Co.</t>
        </is>
      </c>
      <c r="B23" t="inlineStr">
        <is>
          <t>( ” )</t>
        </is>
      </c>
      <c r="C23" t="inlineStr">
        <is>
          <t>Dairen</t>
        </is>
      </c>
      <c r="D23" s="6" t="n">
        <v>500000</v>
      </c>
      <c r="E23" s="6" t="n">
        <v>51847</v>
      </c>
    </row>
    <row r="24">
      <c r="A24" t="inlineStr">
        <is>
          <t>Total 17 Cos.</t>
        </is>
      </c>
      <c r="B24" t="inlineStr"/>
      <c r="C24" t="inlineStr"/>
      <c r="D24" s="6" t="n">
        <v>4571000</v>
      </c>
      <c r="E24" s="6" t="n">
        <v>959947</v>
      </c>
    </row>
    <row r="26">
      <c r="A26" s="2" t="inlineStr">
        <is>
          <t>Transcriber's notes</t>
        </is>
      </c>
    </row>
    <row r="27">
      <c r="A27" t="inlineStr">
        <is>
          <t>Runs from p. 542 to p. 543 ('(Continued)'); merged.</t>
        </is>
      </c>
    </row>
    <row r="28">
      <c r="A28" t="inlineStr">
        <is>
          <t>Company names printed with ditto marks for 'Match Co.' (e.g. 'Chinhua ” ”'); expanded to 'Match Co.' here. Ditto marks in Management/Locality kept as printed.</t>
        </is>
      </c>
    </row>
    <row r="29">
      <c r="A29" t="inlineStr">
        <is>
          <t>On p. 543 the stub names are printed skewed relative to the figures (the page is set at a slant); rows paired in order (15 names, 15 figure rows) — Chungchih paired with the first figure row (160,000 / 42,400).</t>
        </is>
      </c>
    </row>
    <row r="30">
      <c r="A30" t="inlineStr">
        <is>
          <t>Total Capital 4,571,000: parts sum to 4,557,800 — does NOT reconcile (diff 13,200; re-read).</t>
        </is>
      </c>
    </row>
    <row r="31">
      <c r="A31" t="inlineStr">
        <is>
          <t>Total Annual capacity 959,947: parts sum to 1,001,547 — does NOT reconcile (diff 41,600; re-read). 17 companies counted, matching 'Total 17 Cos.'</t>
        </is>
      </c>
    </row>
  </sheetData>
  <hyperlinks>
    <hyperlink xmlns:r="http://schemas.openxmlformats.org/officeDocument/2006/relationships" ref="A4" r:id="rId1"/>
  </hyperlink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16. Sheet Glass Manufacturing Companies</t>
        </is>
      </c>
    </row>
    <row r="2">
      <c r="A2" t="inlineStr">
        <is>
          <t>Manufacturing Industry · printed pp. 545</t>
        </is>
      </c>
    </row>
    <row r="3">
      <c r="A3" t="inlineStr">
        <is>
          <t>(End of Sept., 1939)</t>
        </is>
      </c>
    </row>
    <row r="4">
      <c r="A4" s="3" t="inlineStr">
        <is>
          <t>← Contents</t>
        </is>
      </c>
    </row>
    <row r="6">
      <c r="A6" s="5" t="inlineStr">
        <is>
          <t>Company</t>
        </is>
      </c>
      <c r="B6" s="5" t="inlineStr">
        <is>
          <t>Established</t>
        </is>
      </c>
      <c r="C6" s="5" t="inlineStr">
        <is>
          <t>Head office</t>
        </is>
      </c>
      <c r="D6" s="5" t="inlineStr">
        <is>
          <t>Capital (M¥1,000)</t>
        </is>
      </c>
      <c r="E6" s="5" t="inlineStr">
        <is>
          <t>Affiliation</t>
        </is>
      </c>
      <c r="F6" s="5" t="inlineStr">
        <is>
          <t>Capacity per year (Box in 100 sq. feet)</t>
        </is>
      </c>
    </row>
    <row r="7">
      <c r="A7" t="inlineStr">
        <is>
          <t>Shoko Glass Co., Ltd.</t>
        </is>
      </c>
      <c r="B7" s="9" t="n">
        <v>1925</v>
      </c>
      <c r="C7" t="inlineStr">
        <is>
          <t>Tokyo</t>
        </is>
      </c>
      <c r="D7" s="6" t="n">
        <v>3000</v>
      </c>
      <c r="E7" t="inlineStr">
        <is>
          <t>Asahi Glass Co. 60%; S.M.R. Co. 40%</t>
        </is>
      </c>
      <c r="F7" s="6" t="n">
        <v>1200000</v>
      </c>
    </row>
    <row r="8">
      <c r="A8" t="inlineStr">
        <is>
          <t>Manshu Shoko Glass Co., Ltd.</t>
        </is>
      </c>
      <c r="B8" s="9" t="n">
        <v>1937</v>
      </c>
      <c r="C8" t="inlineStr">
        <is>
          <t>Mukden</t>
        </is>
      </c>
      <c r="D8" s="6" t="n">
        <v>3000</v>
      </c>
      <c r="E8" t="inlineStr">
        <is>
          <t>Shoko Glass Co.</t>
        </is>
      </c>
      <c r="F8" s="6" t="n">
        <v>800000</v>
      </c>
    </row>
    <row r="10">
      <c r="A10" s="2" t="inlineStr">
        <is>
          <t>Transcriber's notes</t>
        </is>
      </c>
    </row>
    <row r="11">
      <c r="A11" t="inlineStr">
        <is>
          <t>Affiliation for Shoko Glass Co. is a bracketed pair (Asahi Glass Co. .. 60% / S.M.R. Co. ...... 40%); joined with '; '.</t>
        </is>
      </c>
    </row>
    <row r="12">
      <c r="A12" t="inlineStr">
        <is>
          <t>No totals printed.</t>
        </is>
      </c>
    </row>
  </sheetData>
  <hyperlinks>
    <hyperlink xmlns:r="http://schemas.openxmlformats.org/officeDocument/2006/relationships" ref="A4" r:id="rId1"/>
  </hyperlink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35. Imports of Machinery and Tools, Vehicles and Vessels</t>
        </is>
      </c>
    </row>
    <row r="2">
      <c r="A2" t="inlineStr">
        <is>
          <t>Manufacturing Industry · printed pp. 549, 550</t>
        </is>
      </c>
    </row>
    <row r="3">
      <c r="A3" t="inlineStr">
        <is>
          <t>(In M¥1,000)</t>
        </is>
      </c>
    </row>
    <row r="4">
      <c r="A4" s="3" t="inlineStr">
        <is>
          <t>← Contents</t>
        </is>
      </c>
    </row>
    <row r="6">
      <c r="A6" s="5" t="inlineStr">
        <is>
          <t>Item</t>
        </is>
      </c>
      <c r="B6" s="5" t="inlineStr">
        <is>
          <t>1933</t>
        </is>
      </c>
      <c r="C6" s="5" t="inlineStr">
        <is>
          <t>1934</t>
        </is>
      </c>
      <c r="D6" s="5" t="inlineStr">
        <is>
          <t>1935</t>
        </is>
      </c>
      <c r="E6" s="5" t="inlineStr">
        <is>
          <t>1936</t>
        </is>
      </c>
      <c r="F6" s="5" t="inlineStr">
        <is>
          <t>1937</t>
        </is>
      </c>
      <c r="G6" s="5" t="inlineStr">
        <is>
          <t>1938</t>
        </is>
      </c>
      <c r="H6" s="5" t="inlineStr">
        <is>
          <t>1939</t>
        </is>
      </c>
    </row>
    <row r="7">
      <c r="A7" t="inlineStr">
        <is>
          <t>Machinery &amp; Tools:</t>
        </is>
      </c>
      <c r="B7" t="inlineStr"/>
      <c r="C7" t="inlineStr"/>
      <c r="D7" t="inlineStr"/>
      <c r="E7" t="inlineStr"/>
      <c r="F7" t="inlineStr"/>
      <c r="G7" t="inlineStr"/>
      <c r="H7" t="inlineStr"/>
    </row>
    <row r="8">
      <c r="A8" t="inlineStr">
        <is>
          <t>Agricultural Machinery, Tools and Implements, and parts thereof</t>
        </is>
      </c>
      <c r="B8" s="9" t="n">
        <v>122</v>
      </c>
      <c r="C8" s="9" t="n">
        <v>158</v>
      </c>
      <c r="D8" s="9" t="n">
        <v>606</v>
      </c>
      <c r="E8" s="9" t="n">
        <v>987</v>
      </c>
      <c r="F8" s="6" t="n">
        <v>2306</v>
      </c>
      <c r="G8" s="6" t="n">
        <v>3939</v>
      </c>
      <c r="H8" s="6" t="n">
        <v>9136</v>
      </c>
    </row>
    <row r="9">
      <c r="A9" t="inlineStr">
        <is>
          <t>Motors, Dynamos or Generators</t>
        </is>
      </c>
      <c r="B9" s="9" t="n">
        <v>590</v>
      </c>
      <c r="C9" s="6" t="n">
        <v>2584</v>
      </c>
      <c r="D9" s="6" t="n">
        <v>1621</v>
      </c>
      <c r="E9" s="6" t="n">
        <v>2702</v>
      </c>
      <c r="F9" s="6" t="n">
        <v>3347</v>
      </c>
      <c r="G9" s="6" t="n">
        <v>7960</v>
      </c>
      <c r="H9" s="6" t="n">
        <v>17270</v>
      </c>
    </row>
    <row r="10">
      <c r="A10" t="inlineStr">
        <is>
          <t>Transformers</t>
        </is>
      </c>
      <c r="B10" s="9" t="n">
        <v>259</v>
      </c>
      <c r="C10" s="6" t="n">
        <v>1049</v>
      </c>
      <c r="D10" s="6" t="n">
        <v>1038</v>
      </c>
      <c r="E10" s="6" t="n">
        <v>1587</v>
      </c>
      <c r="F10" s="6" t="n">
        <v>2444</v>
      </c>
      <c r="G10" s="6" t="n">
        <v>4807</v>
      </c>
      <c r="H10" s="6" t="n">
        <v>6969</v>
      </c>
    </row>
    <row r="11">
      <c r="A11" t="inlineStr">
        <is>
          <t>Electric Fixture &amp; Fitting, pumps, and parts thereof</t>
        </is>
      </c>
      <c r="B11" s="9" t="n">
        <v>581</v>
      </c>
      <c r="C11" s="9" t="n">
        <v>961</v>
      </c>
      <c r="D11" s="9" t="n">
        <v>860</v>
      </c>
      <c r="E11" s="6" t="n">
        <v>1261</v>
      </c>
      <c r="F11" s="6" t="n">
        <v>2310</v>
      </c>
      <c r="G11" s="6" t="n">
        <v>8370</v>
      </c>
      <c r="H11" s="6" t="n">
        <v>14345</v>
      </c>
    </row>
    <row r="12">
      <c r="A12" t="inlineStr">
        <is>
          <t>Machines, Sewing, Knitting, and Embroidering, and parts thereof</t>
        </is>
      </c>
      <c r="B12" s="9" t="n">
        <v>395</v>
      </c>
      <c r="C12" s="9" t="n">
        <v>419</v>
      </c>
      <c r="D12" s="6" t="n">
        <v>1121</v>
      </c>
      <c r="E12" s="9" t="n">
        <v>629</v>
      </c>
      <c r="F12" s="9" t="n">
        <v>981</v>
      </c>
      <c r="G12" s="9" t="n">
        <v>930</v>
      </c>
      <c r="H12" s="6" t="n">
        <v>1215</v>
      </c>
    </row>
    <row r="13">
      <c r="A13" t="inlineStr">
        <is>
          <t>Machinery, Textile and parts thereof</t>
        </is>
      </c>
      <c r="B13" s="9" t="n">
        <v>270</v>
      </c>
      <c r="C13" s="9" t="n">
        <v>518</v>
      </c>
      <c r="D13" s="6" t="n">
        <v>1549</v>
      </c>
      <c r="E13" s="9" t="n">
        <v>809</v>
      </c>
      <c r="F13" s="6" t="n">
        <v>1073</v>
      </c>
      <c r="G13" t="inlineStr">
        <is>
          <t>—</t>
        </is>
      </c>
      <c r="H13" t="inlineStr">
        <is>
          <t>—</t>
        </is>
      </c>
    </row>
    <row r="14">
      <c r="A14" t="inlineStr">
        <is>
          <t>Office or Sales Machines, and parts thereof</t>
        </is>
      </c>
      <c r="B14" s="9" t="n">
        <v>300</v>
      </c>
      <c r="C14" s="9" t="n">
        <v>261</v>
      </c>
      <c r="D14" s="9" t="n">
        <v>349</v>
      </c>
      <c r="E14" s="9" t="n">
        <v>560</v>
      </c>
      <c r="F14" s="6" t="n">
        <v>1489</v>
      </c>
      <c r="G14" t="inlineStr">
        <is>
          <t>—</t>
        </is>
      </c>
      <c r="H14" t="inlineStr">
        <is>
          <t>—</t>
        </is>
      </c>
    </row>
    <row r="15">
      <c r="A15" t="inlineStr">
        <is>
          <t>Prime Movers, and parts thereof</t>
        </is>
      </c>
      <c r="B15" s="9" t="n">
        <v>904</v>
      </c>
      <c r="C15" s="6" t="n">
        <v>1928</v>
      </c>
      <c r="D15" s="6" t="n">
        <v>2002</v>
      </c>
      <c r="E15" s="6" t="n">
        <v>2623</v>
      </c>
      <c r="F15" s="6" t="n">
        <v>4746</v>
      </c>
      <c r="G15" t="inlineStr">
        <is>
          <t>*185</t>
        </is>
      </c>
      <c r="H15" t="inlineStr">
        <is>
          <t>*39</t>
        </is>
      </c>
    </row>
    <row r="16">
      <c r="A16" t="inlineStr">
        <is>
          <t>Hand Tools</t>
        </is>
      </c>
      <c r="B16" s="9" t="n">
        <v>801</v>
      </c>
      <c r="C16" s="6" t="n">
        <v>1672</v>
      </c>
      <c r="D16" s="6" t="n">
        <v>1901</v>
      </c>
      <c r="E16" s="6" t="n">
        <v>2185</v>
      </c>
      <c r="F16" s="6" t="n">
        <v>3232</v>
      </c>
      <c r="G16" s="6" t="n">
        <v>5563</v>
      </c>
      <c r="H16" s="6" t="n">
        <v>13762</v>
      </c>
    </row>
    <row r="17">
      <c r="A17" t="inlineStr">
        <is>
          <t>Vehicles &amp; Vessels:</t>
        </is>
      </c>
      <c r="B17" t="inlineStr"/>
      <c r="C17" t="inlineStr"/>
      <c r="D17" t="inlineStr"/>
      <c r="E17" t="inlineStr"/>
      <c r="F17" t="inlineStr"/>
      <c r="G17" t="inlineStr"/>
      <c r="H17" t="inlineStr"/>
    </row>
    <row r="18">
      <c r="A18" t="inlineStr">
        <is>
          <t>Aeroplanes, Hydroplanes, and all other Flying Machines, and parts thereof</t>
        </is>
      </c>
      <c r="B18" s="6" t="n">
        <v>1882</v>
      </c>
      <c r="C18" s="9" t="n">
        <v>728</v>
      </c>
      <c r="D18" s="6" t="n">
        <v>1373</v>
      </c>
      <c r="E18" s="9" t="n">
        <v>881</v>
      </c>
      <c r="F18" s="6" t="n">
        <v>1682</v>
      </c>
      <c r="G18" t="inlineStr">
        <is>
          <t>—</t>
        </is>
      </c>
      <c r="H18" t="inlineStr">
        <is>
          <t>—</t>
        </is>
      </c>
    </row>
    <row r="19">
      <c r="A19" t="inlineStr">
        <is>
          <t>Railway or Tramway Materials</t>
        </is>
      </c>
      <c r="B19" s="6" t="n">
        <v>6381</v>
      </c>
      <c r="C19" s="6" t="n">
        <v>8678</v>
      </c>
      <c r="D19" s="6" t="n">
        <v>12978</v>
      </c>
      <c r="E19" s="6" t="n">
        <v>12668</v>
      </c>
      <c r="F19" s="6" t="n">
        <v>11282</v>
      </c>
      <c r="G19" s="6" t="n">
        <v>74594</v>
      </c>
      <c r="H19" s="6" t="n">
        <v>127812</v>
      </c>
    </row>
    <row r="20">
      <c r="A20" t="inlineStr">
        <is>
          <t>Railway and Tramway Carriages or Wagons</t>
        </is>
      </c>
      <c r="B20" s="6" t="n">
        <v>1814</v>
      </c>
      <c r="C20" s="6" t="n">
        <v>3088</v>
      </c>
      <c r="D20" s="6" t="n">
        <v>1068</v>
      </c>
      <c r="E20" s="6" t="n">
        <v>1237</v>
      </c>
      <c r="F20" s="9" t="n">
        <v>972</v>
      </c>
      <c r="G20" t="inlineStr"/>
      <c r="H20" t="inlineStr"/>
    </row>
    <row r="21">
      <c r="A21" t="inlineStr">
        <is>
          <t>Locomotives and Tenders</t>
        </is>
      </c>
      <c r="B21" s="6" t="n">
        <v>2110</v>
      </c>
      <c r="C21" s="6" t="n">
        <v>7684</v>
      </c>
      <c r="D21" s="6" t="n">
        <v>11429</v>
      </c>
      <c r="E21" s="6" t="n">
        <v>11839</v>
      </c>
      <c r="F21" s="6" t="n">
        <v>11079</v>
      </c>
      <c r="G21" t="inlineStr"/>
      <c r="H21" t="inlineStr"/>
    </row>
    <row r="22">
      <c r="A22" t="inlineStr">
        <is>
          <t>Vehicles, and parts thereof</t>
        </is>
      </c>
      <c r="B22" s="9" t="n">
        <v>128</v>
      </c>
      <c r="C22" s="9" t="n">
        <v>299</v>
      </c>
      <c r="D22" s="6" t="n">
        <v>1021</v>
      </c>
      <c r="E22" s="9" t="n">
        <v>680</v>
      </c>
      <c r="F22" s="6" t="n">
        <v>1618</v>
      </c>
      <c r="G22" t="inlineStr">
        <is>
          <t>—</t>
        </is>
      </c>
      <c r="H22" t="inlineStr"/>
    </row>
    <row r="23">
      <c r="A23" t="inlineStr">
        <is>
          <t>Motor Trucks and Buses (incl. Chassis)</t>
        </is>
      </c>
      <c r="B23" s="6" t="n">
        <v>4316</v>
      </c>
      <c r="C23" s="6" t="n">
        <v>3030</v>
      </c>
      <c r="D23" s="6" t="n">
        <v>3048</v>
      </c>
      <c r="E23" s="6" t="n">
        <v>3722</v>
      </c>
      <c r="F23" s="6" t="n">
        <v>6494</v>
      </c>
      <c r="G23" t="inlineStr">
        <is>
          <t>—</t>
        </is>
      </c>
      <c r="H23" t="inlineStr"/>
    </row>
    <row r="24">
      <c r="A24" t="inlineStr">
        <is>
          <t>Other Cars (incl. Chassis)</t>
        </is>
      </c>
      <c r="B24" s="6" t="n">
        <v>2435</v>
      </c>
      <c r="C24" s="6" t="n">
        <v>3278</v>
      </c>
      <c r="D24" s="6" t="n">
        <v>2648</v>
      </c>
      <c r="E24" s="6" t="n">
        <v>2748</v>
      </c>
      <c r="F24" s="6" t="n">
        <v>3943</v>
      </c>
      <c r="G24" t="inlineStr">
        <is>
          <t>—</t>
        </is>
      </c>
      <c r="H24" t="inlineStr"/>
    </row>
    <row r="25">
      <c r="A25" t="inlineStr">
        <is>
          <t>Parts of Motor-Cars and Motor Tractors (excl. of Tyres and Tubes)</t>
        </is>
      </c>
      <c r="B25" s="6" t="n">
        <v>1557</v>
      </c>
      <c r="C25" s="6" t="n">
        <v>1865</v>
      </c>
      <c r="D25" s="6" t="n">
        <v>2645</v>
      </c>
      <c r="E25" s="6" t="n">
        <v>3099</v>
      </c>
      <c r="F25" s="6" t="n">
        <v>6242</v>
      </c>
      <c r="G25" t="inlineStr">
        <is>
          <t>—</t>
        </is>
      </c>
      <c r="H25" t="inlineStr"/>
    </row>
    <row r="26">
      <c r="A26" t="inlineStr">
        <is>
          <t>Bicycles</t>
        </is>
      </c>
      <c r="B26" s="9" t="n">
        <v>104</v>
      </c>
      <c r="C26" s="9" t="n">
        <v>151</v>
      </c>
      <c r="D26" s="9" t="n">
        <v>181</v>
      </c>
      <c r="E26" s="9" t="n">
        <v>166</v>
      </c>
      <c r="F26" s="9" t="n">
        <v>144</v>
      </c>
      <c r="G26" s="9" t="n">
        <v>596</v>
      </c>
      <c r="H26" s="6" t="n">
        <v>1181</v>
      </c>
    </row>
    <row r="27">
      <c r="A27" t="inlineStr">
        <is>
          <t>Bicycles parts and accessories</t>
        </is>
      </c>
      <c r="B27" s="9" t="n">
        <v>994</v>
      </c>
      <c r="C27" s="6" t="n">
        <v>1356</v>
      </c>
      <c r="D27" s="6" t="n">
        <v>2895</v>
      </c>
      <c r="E27" s="6" t="n">
        <v>2018</v>
      </c>
      <c r="F27" s="6" t="n">
        <v>2309</v>
      </c>
      <c r="G27" s="6" t="n">
        <v>5288</v>
      </c>
      <c r="H27" s="6" t="n">
        <v>7158</v>
      </c>
    </row>
    <row r="28">
      <c r="A28" t="inlineStr">
        <is>
          <t>Motor-cycles</t>
        </is>
      </c>
      <c r="B28" s="9" t="n">
        <v>93</v>
      </c>
      <c r="C28" s="9" t="n">
        <v>98</v>
      </c>
      <c r="D28" s="9" t="n">
        <v>149</v>
      </c>
      <c r="E28" s="9" t="n">
        <v>113</v>
      </c>
      <c r="F28" s="9" t="n">
        <v>160</v>
      </c>
      <c r="G28" t="inlineStr">
        <is>
          <t>—</t>
        </is>
      </c>
      <c r="H28" t="inlineStr">
        <is>
          <t>—</t>
        </is>
      </c>
    </row>
    <row r="29">
      <c r="A29" t="inlineStr">
        <is>
          <t>Total incl. others</t>
        </is>
      </c>
      <c r="B29" s="6" t="n">
        <v>321243</v>
      </c>
      <c r="C29" s="6" t="n">
        <v>59002</v>
      </c>
      <c r="D29" s="6" t="n">
        <v>74457</v>
      </c>
      <c r="E29" s="6" t="n">
        <v>78468</v>
      </c>
      <c r="F29" s="6" t="n">
        <v>112307</v>
      </c>
      <c r="G29" s="6" t="n">
        <v>241158</v>
      </c>
      <c r="H29" s="6" t="n">
        <v>395205</v>
      </c>
    </row>
    <row r="31">
      <c r="A31" s="2" t="inlineStr">
        <is>
          <t>Footnotes</t>
        </is>
      </c>
    </row>
    <row r="32">
      <c r="A32" t="inlineStr">
        <is>
          <t>Note: * Exclusive of internal combustion and steam engines.</t>
        </is>
      </c>
    </row>
    <row r="34">
      <c r="A34" s="2" t="inlineStr">
        <is>
          <t>Transcriber's notes</t>
        </is>
      </c>
    </row>
    <row r="35">
      <c r="A35" t="inlineStr">
        <is>
          <t>1938: '74,594' is printed once against a brace spanning Railway or Tramway Materials, Railway and Tramway Carriages or Wagons, and Locomotives and Tenders; placed in the first bracketed row, others left blank.</t>
        </is>
      </c>
    </row>
    <row r="36">
      <c r="A36" t="inlineStr">
        <is>
          <t>1939: '127,812' is printed once against a brace spanning the seven rows from Railway or Tramway Materials to Parts of Motor-Cars and Motor Tractors; placed in the first bracketed row, others left blank.</t>
        </is>
      </c>
    </row>
    <row r="37">
      <c r="A37" t="inlineStr">
        <is>
          <t>Table continues on p. 550 ('(Continued)'): last three rows and the Note are from p. 550; merged. On p. 550 the 1939 column runs into the gutter and is printed slanted but legible.</t>
        </is>
      </c>
    </row>
    <row r="38">
      <c r="A38" t="inlineStr">
        <is>
          <t>Bicycles parts an[d] accessories: 'and' is partly broken in print.</t>
        </is>
      </c>
    </row>
    <row r="39">
      <c r="A39" t="inlineStr">
        <is>
          <t>Total incl. others: includes unlisted items, so cannot be reconciled from the rows. For reference, listed rows sum to 1933 26,036; 1934 39,805; 1935 50,482; 1936 52,514; 1937 67,853; 1938 112,232; 1939 198,887. The 1933 total 321,243 is far above 1934 (59,002) and the listed 1933 items; transcribed as printed.</t>
        </is>
      </c>
    </row>
  </sheetData>
  <hyperlinks>
    <hyperlink xmlns:r="http://schemas.openxmlformats.org/officeDocument/2006/relationships" ref="A4" r:id="rId1"/>
  </hyperlink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37. Export of Hide, Leather and Skins</t>
        </is>
      </c>
    </row>
    <row r="2">
      <c r="A2" t="inlineStr">
        <is>
          <t>Manufacturing Industry · printed pp. 554</t>
        </is>
      </c>
    </row>
    <row r="3">
      <c r="A3" t="inlineStr">
        <is>
          <t>(Quantity in 1,000 pieces, Value in ¥1,000)</t>
        </is>
      </c>
    </row>
    <row r="4">
      <c r="A4" s="3" t="inlineStr">
        <is>
          <t>← Contents</t>
        </is>
      </c>
    </row>
    <row r="6">
      <c r="A6" s="5" t="inlineStr">
        <is>
          <t>Year</t>
        </is>
      </c>
      <c r="B6" s="5" t="inlineStr">
        <is>
          <t>Hide &amp; Leather — Cow — (m. tons)</t>
        </is>
      </c>
      <c r="C6" s="5" t="inlineStr">
        <is>
          <t>Hide &amp; Leather — Cow — Value</t>
        </is>
      </c>
      <c r="D6" s="5" t="inlineStr">
        <is>
          <t>Hide &amp; Leather — Ass, Horse, Mule — (m. tons)</t>
        </is>
      </c>
      <c r="E6" s="5" t="inlineStr">
        <is>
          <t>Hide &amp; Leather — Ass, Horse, Mule — Value</t>
        </is>
      </c>
      <c r="F6" s="5" t="inlineStr">
        <is>
          <t>Dog — Qty.</t>
        </is>
      </c>
      <c r="G6" s="5" t="inlineStr">
        <is>
          <t>Dog — Val.</t>
        </is>
      </c>
      <c r="H6" s="5" t="inlineStr">
        <is>
          <t>Skins dressed or undressed — Fox — Qty.</t>
        </is>
      </c>
      <c r="I6" s="5" t="inlineStr">
        <is>
          <t>Skins dressed or undressed — Fox — Val.</t>
        </is>
      </c>
      <c r="J6" s="5" t="inlineStr">
        <is>
          <t>Skins dressed or undressed — Sheep &amp; Goat — Qty.</t>
        </is>
      </c>
      <c r="K6" s="5" t="inlineStr">
        <is>
          <t>Skins dressed or undressed — Sheep &amp; Goat — Val.</t>
        </is>
      </c>
    </row>
    <row r="7">
      <c r="A7" s="9" t="n">
        <v>1933</v>
      </c>
      <c r="B7" s="9" t="n">
        <v>264</v>
      </c>
      <c r="C7" s="9" t="n">
        <v>155</v>
      </c>
      <c r="D7" s="6" t="n">
        <v>1180</v>
      </c>
      <c r="E7" t="inlineStr">
        <is>
          <t>1 026</t>
        </is>
      </c>
      <c r="F7" s="9" t="n">
        <v>566</v>
      </c>
      <c r="G7" s="9" t="n">
        <v>677</v>
      </c>
      <c r="H7" s="9" t="n">
        <v>15</v>
      </c>
      <c r="I7" s="9" t="n">
        <v>122</v>
      </c>
      <c r="J7" s="9" t="n">
        <v>121</v>
      </c>
      <c r="K7" s="9" t="n">
        <v>95</v>
      </c>
    </row>
    <row r="8">
      <c r="A8" s="9" t="n">
        <v>1934</v>
      </c>
      <c r="B8" s="9" t="n">
        <v>110</v>
      </c>
      <c r="C8" s="9" t="n">
        <v>61</v>
      </c>
      <c r="D8" s="9" t="n">
        <v>876</v>
      </c>
      <c r="E8" s="9" t="n">
        <v>701</v>
      </c>
      <c r="F8" s="9" t="n">
        <v>65</v>
      </c>
      <c r="G8" s="9" t="n">
        <v>92</v>
      </c>
      <c r="H8" s="9" t="n">
        <v>14</v>
      </c>
      <c r="I8" s="9" t="n">
        <v>149</v>
      </c>
      <c r="J8" s="9" t="n">
        <v>138</v>
      </c>
      <c r="K8" s="9" t="n">
        <v>98</v>
      </c>
    </row>
    <row r="9">
      <c r="A9" s="9" t="n">
        <v>1935</v>
      </c>
      <c r="B9" s="9" t="n">
        <v>37</v>
      </c>
      <c r="C9" s="9" t="n">
        <v>22</v>
      </c>
      <c r="D9" s="6" t="n">
        <v>1122</v>
      </c>
      <c r="E9" s="9" t="n">
        <v>877</v>
      </c>
      <c r="F9" s="9" t="n">
        <v>155</v>
      </c>
      <c r="G9" s="9" t="n">
        <v>643</v>
      </c>
      <c r="H9" s="9" t="n">
        <v>7</v>
      </c>
      <c r="I9" s="9" t="n">
        <v>49</v>
      </c>
      <c r="J9" s="9" t="n">
        <v>361</v>
      </c>
      <c r="K9" s="9" t="n">
        <v>260</v>
      </c>
    </row>
    <row r="10">
      <c r="A10" s="9" t="n">
        <v>1936</v>
      </c>
      <c r="B10" s="9" t="n">
        <v>65</v>
      </c>
      <c r="C10" s="9" t="n">
        <v>42</v>
      </c>
      <c r="D10" s="9" t="n">
        <v>830</v>
      </c>
      <c r="E10" s="9" t="n">
        <v>607</v>
      </c>
      <c r="F10" s="9" t="n">
        <v>347</v>
      </c>
      <c r="G10" s="6" t="n">
        <v>1074</v>
      </c>
      <c r="H10" s="9" t="n">
        <v>11</v>
      </c>
      <c r="I10" s="9" t="n">
        <v>122</v>
      </c>
      <c r="J10" s="9" t="n">
        <v>620</v>
      </c>
      <c r="K10" s="9" t="n">
        <v>351</v>
      </c>
    </row>
    <row r="11">
      <c r="A11" s="9" t="n">
        <v>1937</v>
      </c>
      <c r="B11" s="9" t="n">
        <v>51</v>
      </c>
      <c r="C11" s="9" t="n">
        <v>27</v>
      </c>
      <c r="D11" s="9" t="n">
        <v>840</v>
      </c>
      <c r="E11" s="9" t="n">
        <v>631</v>
      </c>
      <c r="F11" s="9" t="n">
        <v>309</v>
      </c>
      <c r="G11" s="9" t="n">
        <v>928</v>
      </c>
      <c r="H11" s="9" t="n">
        <v>9</v>
      </c>
      <c r="I11" s="9" t="n">
        <v>169</v>
      </c>
      <c r="J11" s="9" t="n">
        <v>357</v>
      </c>
      <c r="K11" s="9" t="n">
        <v>334</v>
      </c>
    </row>
    <row r="12">
      <c r="A12" s="9" t="n">
        <v>1938</v>
      </c>
      <c r="B12" s="9" t="n">
        <v>15</v>
      </c>
      <c r="C12" s="9" t="n">
        <v>17</v>
      </c>
      <c r="D12" s="9" t="n">
        <v>701</v>
      </c>
      <c r="E12" s="6" t="n">
        <v>1146</v>
      </c>
      <c r="F12" s="9" t="n">
        <v>59</v>
      </c>
      <c r="G12" t="inlineStr"/>
      <c r="H12" s="9" t="n">
        <v>3</v>
      </c>
      <c r="I12" s="9" t="n">
        <v>63</v>
      </c>
      <c r="J12" s="9" t="n">
        <v>514</v>
      </c>
      <c r="K12" s="6" t="n">
        <v>1151</v>
      </c>
    </row>
    <row r="13">
      <c r="A13" s="9" t="n">
        <v>1939</v>
      </c>
      <c r="B13" s="9" t="n">
        <v>0</v>
      </c>
      <c r="C13" s="9" t="n">
        <v>0</v>
      </c>
      <c r="D13" s="8" t="n">
        <v>2.5</v>
      </c>
      <c r="E13" s="8" t="n">
        <v>5.8</v>
      </c>
      <c r="F13" s="8" t="n">
        <v>0.8</v>
      </c>
      <c r="G13" s="8" t="n">
        <v>6.2</v>
      </c>
      <c r="H13" s="9" t="n">
        <v>0</v>
      </c>
      <c r="I13" s="9" t="n">
        <v>0</v>
      </c>
      <c r="J13" s="9" t="n">
        <v>20</v>
      </c>
      <c r="K13" s="9" t="n">
        <v>37</v>
      </c>
    </row>
    <row r="15">
      <c r="A15" s="2" t="inlineStr">
        <is>
          <t>(Continued)</t>
        </is>
      </c>
    </row>
    <row r="16">
      <c r="A16" s="5" t="inlineStr">
        <is>
          <t>Year</t>
        </is>
      </c>
      <c r="B16" s="5" t="inlineStr">
        <is>
          <t>Lamb &amp; kid — Qty.</t>
        </is>
      </c>
      <c r="C16" s="5" t="inlineStr">
        <is>
          <t>Lamb &amp; kid — Val.</t>
        </is>
      </c>
      <c r="D16" s="5" t="inlineStr">
        <is>
          <t>Kolinsky — Qty.</t>
        </is>
      </c>
      <c r="E16" s="5" t="inlineStr">
        <is>
          <t>Kolinsky — Val.</t>
        </is>
      </c>
      <c r="F16" s="5" t="inlineStr">
        <is>
          <t>Marmot — Qty.</t>
        </is>
      </c>
      <c r="G16" s="5" t="inlineStr">
        <is>
          <t>Marmot — Val.</t>
        </is>
      </c>
      <c r="H16" s="5" t="inlineStr">
        <is>
          <t>Racoon — Qty.</t>
        </is>
      </c>
      <c r="I16" s="5" t="inlineStr">
        <is>
          <t>Racoon — Val.</t>
        </is>
      </c>
      <c r="J16" s="5" t="inlineStr">
        <is>
          <t>Squirrel — Qty.</t>
        </is>
      </c>
      <c r="K16" s="5" t="inlineStr">
        <is>
          <t>Squirrel — Val.</t>
        </is>
      </c>
      <c r="L16" s="5" t="inlineStr">
        <is>
          <t>Total incl. others — Value</t>
        </is>
      </c>
    </row>
    <row r="17">
      <c r="A17" s="9" t="n">
        <v>1933</v>
      </c>
      <c r="B17" s="9" t="n">
        <v>50</v>
      </c>
      <c r="C17" s="9" t="n">
        <v>45</v>
      </c>
      <c r="D17" s="9" t="n">
        <v>280</v>
      </c>
      <c r="E17" s="9" t="n">
        <v>419</v>
      </c>
      <c r="F17" s="9" t="n">
        <v>46</v>
      </c>
      <c r="G17" s="9" t="n">
        <v>33</v>
      </c>
      <c r="H17" s="9" t="n">
        <v>6</v>
      </c>
      <c r="I17" s="9" t="n">
        <v>35</v>
      </c>
      <c r="J17" s="9" t="n">
        <v>132</v>
      </c>
      <c r="K17" s="9" t="n">
        <v>94</v>
      </c>
      <c r="L17" s="6" t="n">
        <v>3157</v>
      </c>
    </row>
    <row r="18">
      <c r="A18" s="9" t="n">
        <v>1934</v>
      </c>
      <c r="B18" s="9" t="n">
        <v>46</v>
      </c>
      <c r="C18" s="9" t="n">
        <v>28</v>
      </c>
      <c r="D18" s="9" t="n">
        <v>500</v>
      </c>
      <c r="E18" s="9" t="n">
        <v>679</v>
      </c>
      <c r="F18" s="9" t="n">
        <v>199</v>
      </c>
      <c r="G18" s="9" t="n">
        <v>153</v>
      </c>
      <c r="H18" s="9" t="n">
        <v>12</v>
      </c>
      <c r="I18" s="9" t="n">
        <v>76</v>
      </c>
      <c r="J18" s="9" t="n">
        <v>185</v>
      </c>
      <c r="K18" s="9" t="n">
        <v>86</v>
      </c>
      <c r="L18" s="6" t="n">
        <v>2687</v>
      </c>
    </row>
    <row r="19">
      <c r="A19" s="9" t="n">
        <v>1935</v>
      </c>
      <c r="B19" s="9" t="n">
        <v>106</v>
      </c>
      <c r="C19" s="9" t="n">
        <v>98</v>
      </c>
      <c r="D19" s="9" t="n">
        <v>943</v>
      </c>
      <c r="E19" s="9" t="n">
        <v>474</v>
      </c>
      <c r="F19" s="9" t="n">
        <v>170</v>
      </c>
      <c r="G19" s="9" t="n">
        <v>183</v>
      </c>
      <c r="H19" s="9" t="n">
        <v>10</v>
      </c>
      <c r="I19" s="9" t="n">
        <v>94</v>
      </c>
      <c r="J19" s="9" t="n">
        <v>121</v>
      </c>
      <c r="K19" s="9" t="n">
        <v>90</v>
      </c>
      <c r="L19" s="6" t="n">
        <v>4134</v>
      </c>
    </row>
    <row r="20">
      <c r="A20" s="9" t="n">
        <v>1936</v>
      </c>
      <c r="B20" s="9" t="n">
        <v>301</v>
      </c>
      <c r="C20" s="9" t="n">
        <v>155</v>
      </c>
      <c r="D20" s="9" t="n">
        <v>467</v>
      </c>
      <c r="E20" s="6" t="n">
        <v>1771</v>
      </c>
      <c r="F20" s="9" t="n">
        <v>56</v>
      </c>
      <c r="G20" s="9" t="n">
        <v>98</v>
      </c>
      <c r="H20" s="9" t="n">
        <v>12</v>
      </c>
      <c r="I20" s="9" t="n">
        <v>289</v>
      </c>
      <c r="J20" s="9" t="n">
        <v>56</v>
      </c>
      <c r="K20" s="9" t="n">
        <v>55</v>
      </c>
      <c r="L20" s="6" t="n">
        <v>5785</v>
      </c>
    </row>
    <row r="21">
      <c r="A21" s="9" t="n">
        <v>1937</v>
      </c>
      <c r="B21" s="9" t="n">
        <v>205</v>
      </c>
      <c r="C21" s="9" t="n">
        <v>113</v>
      </c>
      <c r="D21" s="9" t="n">
        <v>213</v>
      </c>
      <c r="E21" s="6" t="n">
        <v>1301</v>
      </c>
      <c r="F21" s="9" t="n">
        <v>69</v>
      </c>
      <c r="G21" s="9" t="n">
        <v>168</v>
      </c>
      <c r="H21" s="9" t="n">
        <v>9</v>
      </c>
      <c r="I21" s="9" t="n">
        <v>134</v>
      </c>
      <c r="J21" s="9" t="n">
        <v>51</v>
      </c>
      <c r="K21" s="9" t="n">
        <v>29</v>
      </c>
      <c r="L21" s="6" t="n">
        <v>5368</v>
      </c>
    </row>
    <row r="22">
      <c r="A22" s="9" t="n">
        <v>1938</v>
      </c>
      <c r="B22" s="9" t="n">
        <v>121</v>
      </c>
      <c r="C22" s="9" t="n">
        <v>129</v>
      </c>
      <c r="D22" s="9" t="n">
        <v>347</v>
      </c>
      <c r="E22" s="6" t="n">
        <v>2296</v>
      </c>
      <c r="F22" s="9" t="n">
        <v>28</v>
      </c>
      <c r="G22" s="9" t="n">
        <v>106</v>
      </c>
      <c r="H22" s="9" t="n">
        <v>12</v>
      </c>
      <c r="I22" s="9" t="n">
        <v>134</v>
      </c>
      <c r="J22" t="inlineStr">
        <is>
          <t>—</t>
        </is>
      </c>
      <c r="K22" t="inlineStr">
        <is>
          <t>—</t>
        </is>
      </c>
      <c r="L22" s="6" t="n">
        <v>6206</v>
      </c>
    </row>
    <row r="23">
      <c r="A23" s="9" t="n">
        <v>1939</v>
      </c>
      <c r="B23" s="8" t="n">
        <v>3.2</v>
      </c>
      <c r="C23" s="8" t="n">
        <v>18.1</v>
      </c>
      <c r="D23" s="9" t="n">
        <v>397</v>
      </c>
      <c r="E23" s="6" t="n">
        <v>2693</v>
      </c>
      <c r="F23" s="9" t="n">
        <v>58</v>
      </c>
      <c r="G23" s="9" t="n">
        <v>28</v>
      </c>
      <c r="H23" s="8" t="n">
        <v>3.1</v>
      </c>
      <c r="I23" s="8" t="n">
        <v>35.1</v>
      </c>
      <c r="J23" t="inlineStr">
        <is>
          <t>—</t>
        </is>
      </c>
      <c r="K23" t="inlineStr">
        <is>
          <t>—</t>
        </is>
      </c>
      <c r="L23" s="6" t="n">
        <v>3471</v>
      </c>
    </row>
    <row r="25">
      <c r="A25" s="2" t="inlineStr">
        <is>
          <t>Transcriber's notes</t>
        </is>
      </c>
    </row>
    <row r="26">
      <c r="A26" t="inlineStr">
        <is>
          <t>Row 1938, col 'Dog — Val.': first digit broken in print (reads 898 or 398) — left blank.</t>
        </is>
      </c>
    </row>
    <row r="27">
      <c r="A27" t="inlineStr">
        <is>
          <t>Row 1936, col 'Cow (m. tons)': first digit partly broken, read as 65. Row 1937 'Dog — Val.' first digit partly broken, read as 928. Row 1936 'Ass, Horse, Mule — Value' last digit partly broken, read as 607.</t>
        </is>
      </c>
    </row>
    <row r="28">
      <c r="A28" t="inlineStr">
        <is>
          <t>Row 1933 'Ass, Horse, Mule — Value' printed '1 026' (comma missing); kept.</t>
        </is>
      </c>
    </row>
    <row r="29">
      <c r="A29" t="inlineStr">
        <is>
          <t>The right-hand columns (Sheep &amp; Goat, and Total incl. others) run into the gutter; the Total incl. others column is printed at the gutter edge beside p. 555 but belongs to the continued part of this table on p. 554.</t>
        </is>
      </c>
    </row>
    <row r="30">
      <c r="A30" t="inlineStr">
        <is>
          <t>Whether the 'Skins dressed or undressed' brace extends over the continued part is not shown; headers of the continued part given without it.</t>
        </is>
      </c>
    </row>
    <row r="31">
      <c r="A31" t="inlineStr">
        <is>
          <t>Total incl. others includes unlisted items; not reconcilable. Listed values are below the totals in every year.</t>
        </is>
      </c>
    </row>
  </sheetData>
  <hyperlinks>
    <hyperlink xmlns:r="http://schemas.openxmlformats.org/officeDocument/2006/relationships" ref="A4" r:id="rId1"/>
  </hyperlink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Cigarette Production by Companies</t>
        </is>
      </c>
    </row>
    <row r="2">
      <c r="A2" t="inlineStr">
        <is>
          <t>Manufacturing Industry · printed pp. 555</t>
        </is>
      </c>
    </row>
    <row r="3">
      <c r="A3" t="inlineStr">
        <is>
          <t>(1939)</t>
        </is>
      </c>
    </row>
    <row r="4">
      <c r="A4" s="3" t="inlineStr">
        <is>
          <t>← Contents</t>
        </is>
      </c>
    </row>
    <row r="6">
      <c r="A6" s="5" t="inlineStr">
        <is>
          <t>Companies</t>
        </is>
      </c>
      <c r="B6" s="5" t="inlineStr">
        <is>
          <t>Million sticks</t>
        </is>
      </c>
    </row>
    <row r="7">
      <c r="A7" t="inlineStr">
        <is>
          <t>Toa Tobacco</t>
        </is>
      </c>
      <c r="B7" s="6" t="n">
        <v>7000</v>
      </c>
    </row>
    <row r="8">
      <c r="A8" t="inlineStr">
        <is>
          <t>Manshu Tobacco</t>
        </is>
      </c>
      <c r="B8" s="6" t="n">
        <v>3000</v>
      </c>
    </row>
    <row r="9">
      <c r="A9" t="inlineStr">
        <is>
          <t>Chi Tung Tobacco</t>
        </is>
      </c>
      <c r="B9" s="6" t="n">
        <v>5000</v>
      </c>
    </row>
    <row r="10">
      <c r="A10" t="inlineStr">
        <is>
          <t>A. Lopato Sons</t>
        </is>
      </c>
      <c r="B10" s="6" t="n">
        <v>3000</v>
      </c>
    </row>
    <row r="11">
      <c r="A11" t="inlineStr">
        <is>
          <t>Taiyo Tobacco</t>
        </is>
      </c>
      <c r="B11" s="6" t="n">
        <v>1500</v>
      </c>
    </row>
    <row r="12">
      <c r="A12" t="inlineStr">
        <is>
          <t>San Tai Chan</t>
        </is>
      </c>
      <c r="B12" s="6" t="n">
        <v>1200</v>
      </c>
    </row>
    <row r="13">
      <c r="A13" t="inlineStr">
        <is>
          <t>Total</t>
        </is>
      </c>
      <c r="B13" s="6" t="n">
        <v>20700</v>
      </c>
    </row>
    <row r="15">
      <c r="A15" s="2" t="inlineStr">
        <is>
          <t>Transcriber's notes</t>
        </is>
      </c>
    </row>
    <row r="16">
      <c r="A16" t="inlineStr">
        <is>
          <t>Total 20,700: parts sum to 20,700 — reconciles.</t>
        </is>
      </c>
    </row>
  </sheetData>
  <hyperlinks>
    <hyperlink xmlns:r="http://schemas.openxmlformats.org/officeDocument/2006/relationships" ref="A4" r:id="rId1"/>
  </hyperlink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36. Import of Tobacco Classified</t>
        </is>
      </c>
    </row>
    <row r="2">
      <c r="A2" t="inlineStr">
        <is>
          <t>Manufacturing Industry · printed pp. 555</t>
        </is>
      </c>
    </row>
    <row r="3">
      <c r="A3" s="3" t="inlineStr">
        <is>
          <t>← Contents</t>
        </is>
      </c>
    </row>
    <row r="5">
      <c r="A5" s="5" t="inlineStr">
        <is>
          <t>Year</t>
        </is>
      </c>
      <c r="B5" s="5" t="inlineStr">
        <is>
          <t>Cigarettes — Pieces (1,000)</t>
        </is>
      </c>
      <c r="C5" s="5" t="inlineStr">
        <is>
          <t>Cigarettes — M¥ (1,000)</t>
        </is>
      </c>
      <c r="D5" s="5" t="inlineStr">
        <is>
          <t>Cigars — Pieces (1,000)</t>
        </is>
      </c>
      <c r="E5" s="5" t="inlineStr">
        <is>
          <t>Cigars — M¥ (1,000)</t>
        </is>
      </c>
      <c r="F5" s="5" t="inlineStr">
        <is>
          <t>Leaf tobacco — (m. tons)</t>
        </is>
      </c>
      <c r="G5" s="5" t="inlineStr">
        <is>
          <t>Leaf tobacco — M¥ (1,000)</t>
        </is>
      </c>
      <c r="H5" s="5" t="inlineStr">
        <is>
          <t>Prepared tobacco — (m. tons)</t>
        </is>
      </c>
      <c r="I5" s="5" t="inlineStr">
        <is>
          <t>Prepared tobacco — M¥ (1,00)</t>
        </is>
      </c>
      <c r="J5" s="5" t="inlineStr">
        <is>
          <t>Total value incl. others — M¥ (1,000)</t>
        </is>
      </c>
    </row>
    <row r="6">
      <c r="A6" s="9" t="n">
        <v>1933</v>
      </c>
      <c r="B6" s="6" t="n">
        <v>591343</v>
      </c>
      <c r="C6" s="6" t="n">
        <v>1734</v>
      </c>
      <c r="D6" s="9" t="n">
        <v>382</v>
      </c>
      <c r="E6" s="9" t="n">
        <v>31</v>
      </c>
      <c r="F6" s="6" t="n">
        <v>15396</v>
      </c>
      <c r="G6" s="6" t="n">
        <v>9503</v>
      </c>
      <c r="H6" s="9" t="n">
        <v>34</v>
      </c>
      <c r="I6" s="9" t="n">
        <v>31</v>
      </c>
      <c r="J6" s="6" t="n">
        <v>11476</v>
      </c>
    </row>
    <row r="7">
      <c r="A7" s="9" t="n">
        <v>1934</v>
      </c>
      <c r="B7" s="6" t="n">
        <v>843364</v>
      </c>
      <c r="C7" s="6" t="n">
        <v>2679</v>
      </c>
      <c r="D7" s="9" t="n">
        <v>968</v>
      </c>
      <c r="E7" s="9" t="n">
        <v>72</v>
      </c>
      <c r="F7" s="6" t="n">
        <v>17200</v>
      </c>
      <c r="G7" s="6" t="n">
        <v>8558</v>
      </c>
      <c r="H7" s="9" t="n">
        <v>152</v>
      </c>
      <c r="I7" s="9" t="n">
        <v>119</v>
      </c>
      <c r="J7" s="6" t="n">
        <v>11664</v>
      </c>
    </row>
    <row r="8">
      <c r="A8" s="9" t="n">
        <v>1935</v>
      </c>
      <c r="B8" s="6" t="n">
        <v>598473</v>
      </c>
      <c r="C8" s="6" t="n">
        <v>1934</v>
      </c>
      <c r="D8" s="9" t="n">
        <v>372</v>
      </c>
      <c r="E8" s="9" t="n">
        <v>41</v>
      </c>
      <c r="F8" s="6" t="n">
        <v>9700</v>
      </c>
      <c r="G8" s="6" t="n">
        <v>6067</v>
      </c>
      <c r="H8" s="9" t="n">
        <v>119</v>
      </c>
      <c r="I8" s="9" t="n">
        <v>87</v>
      </c>
      <c r="J8" s="6" t="n">
        <v>8327</v>
      </c>
    </row>
    <row r="9">
      <c r="A9" s="9" t="n">
        <v>1936</v>
      </c>
      <c r="B9" s="6" t="n">
        <v>360985</v>
      </c>
      <c r="C9" s="6" t="n">
        <v>1202</v>
      </c>
      <c r="D9" s="9" t="n">
        <v>197</v>
      </c>
      <c r="E9" s="9" t="n">
        <v>24</v>
      </c>
      <c r="F9" s="6" t="n">
        <v>15180</v>
      </c>
      <c r="G9" s="6" t="n">
        <v>8848</v>
      </c>
      <c r="H9" s="9" t="n">
        <v>116</v>
      </c>
      <c r="I9" s="9" t="n">
        <v>84</v>
      </c>
      <c r="J9" s="6" t="n">
        <v>10585</v>
      </c>
    </row>
    <row r="10">
      <c r="A10" s="9" t="n">
        <v>1937</v>
      </c>
      <c r="B10" s="6" t="n">
        <v>456027</v>
      </c>
      <c r="C10" s="6" t="n">
        <v>1419</v>
      </c>
      <c r="D10" s="9" t="n">
        <v>200</v>
      </c>
      <c r="E10" s="9" t="n">
        <v>26</v>
      </c>
      <c r="F10" s="6" t="n">
        <v>12880</v>
      </c>
      <c r="G10" s="6" t="n">
        <v>7597</v>
      </c>
      <c r="H10" s="9" t="n">
        <v>74</v>
      </c>
      <c r="I10" s="9" t="n">
        <v>50</v>
      </c>
      <c r="J10" s="6" t="n">
        <v>9617</v>
      </c>
    </row>
    <row r="11">
      <c r="A11" s="9" t="n">
        <v>1938</v>
      </c>
      <c r="B11" s="6" t="n">
        <v>720678</v>
      </c>
      <c r="C11" s="6" t="n">
        <v>1247</v>
      </c>
      <c r="D11" s="9" t="n">
        <v>55</v>
      </c>
      <c r="E11" s="9" t="n">
        <v>2</v>
      </c>
      <c r="F11" s="6" t="n">
        <v>12378</v>
      </c>
      <c r="G11" s="6" t="n">
        <v>7739</v>
      </c>
      <c r="H11" t="inlineStr">
        <is>
          <t>4,039*</t>
        </is>
      </c>
      <c r="I11" s="9" t="n">
        <v>418</v>
      </c>
      <c r="J11" s="6" t="n">
        <v>9427</v>
      </c>
    </row>
    <row r="12">
      <c r="A12" s="9" t="n">
        <v>1939</v>
      </c>
      <c r="B12" s="6" t="n">
        <v>386552</v>
      </c>
      <c r="C12" s="9" t="n">
        <v>870</v>
      </c>
      <c r="D12" s="9" t="n">
        <v>124</v>
      </c>
      <c r="E12" s="9" t="n">
        <v>6</v>
      </c>
      <c r="F12" s="6" t="n">
        <v>9875</v>
      </c>
      <c r="G12" s="6" t="n">
        <v>8085</v>
      </c>
      <c r="H12" t="inlineStr">
        <is>
          <t>2,709*</t>
        </is>
      </c>
      <c r="I12" s="9" t="n">
        <v>159</v>
      </c>
      <c r="J12" s="6" t="n">
        <v>9130</v>
      </c>
    </row>
    <row r="14">
      <c r="A14" s="2" t="inlineStr">
        <is>
          <t>Footnotes</t>
        </is>
      </c>
    </row>
    <row r="15">
      <c r="A15" t="inlineStr">
        <is>
          <t>Note: * Inclusive of stalk and dust.</t>
        </is>
      </c>
    </row>
    <row r="17">
      <c r="A17" s="2" t="inlineStr">
        <is>
          <t>Transcriber's notes</t>
        </is>
      </c>
    </row>
    <row r="18">
      <c r="A18" t="inlineStr">
        <is>
          <t>Prepared tobacco value unit printed '(1,00)' — kept as printed (presumably 1,000).</t>
        </is>
      </c>
    </row>
    <row r="19">
      <c r="A19" t="inlineStr">
        <is>
          <t>Total value incl. others includes unlisted items; not reconcilable (listed M¥ values sum below the total each year).</t>
        </is>
      </c>
    </row>
  </sheetData>
  <hyperlinks>
    <hyperlink xmlns:r="http://schemas.openxmlformats.org/officeDocument/2006/relationships" ref="A3" r:id="rId1"/>
  </hyperlink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Electric Power Generation Potentialities of Principal River Systems</t>
        </is>
      </c>
    </row>
    <row r="2">
      <c r="A2" t="inlineStr">
        <is>
          <t>Electric and Gas Industries · printed pp. 557</t>
        </is>
      </c>
    </row>
    <row r="3">
      <c r="A3" s="3" t="inlineStr">
        <is>
          <t>← Contents</t>
        </is>
      </c>
    </row>
    <row r="5">
      <c r="A5" s="5" t="inlineStr">
        <is>
          <t>River system</t>
        </is>
      </c>
      <c r="B5" s="5" t="inlineStr">
        <is>
          <t>Output — Average (kilowatts)</t>
        </is>
      </c>
      <c r="C5" s="5" t="inlineStr">
        <is>
          <t>Output — Maximum (kilowatts)</t>
        </is>
      </c>
    </row>
    <row r="6">
      <c r="A6" t="inlineStr">
        <is>
          <t>Sungari River No. 2</t>
        </is>
      </c>
      <c r="B6" s="6" t="n">
        <v>850000</v>
      </c>
      <c r="C6" s="6" t="n">
        <v>1780000</v>
      </c>
    </row>
    <row r="7">
      <c r="A7" t="inlineStr">
        <is>
          <t>Yalu River (including Hunkiang)</t>
        </is>
      </c>
      <c r="B7" s="6" t="n">
        <v>1133000</v>
      </c>
      <c r="C7" s="6" t="n">
        <v>1913000</v>
      </c>
    </row>
    <row r="8">
      <c r="A8" t="inlineStr">
        <is>
          <t>Mutankiang (including Pilteng Lake)</t>
        </is>
      </c>
      <c r="B8" s="6" t="n">
        <v>383000</v>
      </c>
      <c r="C8" s="6" t="n">
        <v>686000</v>
      </c>
    </row>
    <row r="9">
      <c r="A9" t="inlineStr">
        <is>
          <t>Luan River</t>
        </is>
      </c>
      <c r="B9" s="6" t="n">
        <v>393000</v>
      </c>
      <c r="C9" s="6" t="n">
        <v>772000</v>
      </c>
    </row>
    <row r="10">
      <c r="A10" t="inlineStr">
        <is>
          <t>Tumen River</t>
        </is>
      </c>
      <c r="B10" s="6" t="n">
        <v>71000</v>
      </c>
      <c r="C10" s="6" t="n">
        <v>141000</v>
      </c>
    </row>
    <row r="11">
      <c r="A11" t="inlineStr">
        <is>
          <t>Nonni River</t>
        </is>
      </c>
      <c r="B11" s="6" t="n">
        <v>209000</v>
      </c>
      <c r="C11" s="6" t="n">
        <v>335000</v>
      </c>
    </row>
    <row r="12">
      <c r="A12" t="inlineStr">
        <is>
          <t>Huma River</t>
        </is>
      </c>
      <c r="B12" s="6" t="n">
        <v>100000</v>
      </c>
      <c r="C12" s="6" t="n">
        <v>200000</v>
      </c>
    </row>
    <row r="13">
      <c r="A13" t="inlineStr">
        <is>
          <t>Liao River</t>
        </is>
      </c>
      <c r="B13" s="6" t="n">
        <v>36000</v>
      </c>
      <c r="C13" s="6" t="n">
        <v>60000</v>
      </c>
    </row>
    <row r="15">
      <c r="A15" s="2" t="inlineStr">
        <is>
          <t>Transcriber's notes</t>
        </is>
      </c>
    </row>
    <row r="16">
      <c r="A16" t="inlineStr">
        <is>
          <t>Chapter-opening page carries no printed page number; '557' inferred from pp. 556 and 558.</t>
        </is>
      </c>
    </row>
    <row r="17">
      <c r="A17" t="inlineStr">
        <is>
          <t>No total printed.</t>
        </is>
      </c>
    </row>
  </sheetData>
  <hyperlinks>
    <hyperlink xmlns:r="http://schemas.openxmlformats.org/officeDocument/2006/relationships" ref="A3" r:id="rId1"/>
  </hyperlink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Statistics of Power Generation</t>
        </is>
      </c>
    </row>
    <row r="2">
      <c r="A2" t="inlineStr">
        <is>
          <t>Electric and Gas Industries · printed pp. 561</t>
        </is>
      </c>
    </row>
    <row r="3">
      <c r="A3" s="3" t="inlineStr">
        <is>
          <t>← Contents</t>
        </is>
      </c>
    </row>
    <row r="5">
      <c r="A5" s="5" t="inlineStr">
        <is>
          <t>Period</t>
        </is>
      </c>
      <c r="B5" s="5" t="inlineStr">
        <is>
          <t>No. of Stations</t>
        </is>
      </c>
      <c r="C5" s="5" t="inlineStr">
        <is>
          <t>Generation capacity (k. w.)</t>
        </is>
      </c>
      <c r="D5" s="5" t="inlineStr">
        <is>
          <t>Supply (1,000 KWH) — Generated</t>
        </is>
      </c>
      <c r="E5" s="5" t="inlineStr">
        <is>
          <t>Supply (1,000 KWH) — Purchased</t>
        </is>
      </c>
      <c r="F5" s="5" t="inlineStr">
        <is>
          <t>Supply (1,000 KWH) — Total</t>
        </is>
      </c>
      <c r="G5" s="5" t="inlineStr">
        <is>
          <t>Consumption (1,000 KWH) — Sold</t>
        </is>
      </c>
      <c r="H5" s="5" t="inlineStr">
        <is>
          <t>Consumption (1,000 KWH) — Sold — %</t>
        </is>
      </c>
      <c r="I5" s="5" t="inlineStr">
        <is>
          <t>Consumption (1,000 KWH) — Lost*</t>
        </is>
      </c>
      <c r="J5" s="5" t="inlineStr">
        <is>
          <t>Consumption (1,000 KWH) — Lost* — %</t>
        </is>
      </c>
    </row>
    <row r="6">
      <c r="A6" s="9" t="n">
        <v>1936</v>
      </c>
      <c r="B6" t="inlineStr"/>
      <c r="C6" t="inlineStr"/>
      <c r="D6" t="inlineStr"/>
      <c r="E6" t="inlineStr"/>
      <c r="F6" t="inlineStr"/>
      <c r="G6" t="inlineStr"/>
      <c r="H6" t="inlineStr"/>
      <c r="I6" t="inlineStr"/>
      <c r="J6" t="inlineStr"/>
    </row>
    <row r="7">
      <c r="A7" t="inlineStr">
        <is>
          <t>1st</t>
        </is>
      </c>
      <c r="B7" s="9" t="n">
        <v>20</v>
      </c>
      <c r="C7" s="6" t="n">
        <v>172111</v>
      </c>
      <c r="D7" s="6" t="n">
        <v>277122</v>
      </c>
      <c r="E7" s="6" t="n">
        <v>108524</v>
      </c>
      <c r="F7" s="6" t="n">
        <v>385645</v>
      </c>
      <c r="G7" s="6" t="n">
        <v>309325</v>
      </c>
      <c r="H7" s="8" t="n">
        <v>80</v>
      </c>
      <c r="I7" s="6" t="n">
        <v>76320</v>
      </c>
      <c r="J7" s="8" t="n">
        <v>20</v>
      </c>
    </row>
    <row r="8">
      <c r="A8" t="inlineStr">
        <is>
          <t>2nd</t>
        </is>
      </c>
      <c r="B8" s="9" t="n">
        <v>21</v>
      </c>
      <c r="C8" s="6" t="n">
        <v>170392</v>
      </c>
      <c r="D8" s="6" t="n">
        <v>294769</v>
      </c>
      <c r="E8" s="6" t="n">
        <v>114824</v>
      </c>
      <c r="F8" s="6" t="n">
        <v>409593</v>
      </c>
      <c r="G8" s="6" t="n">
        <v>323685</v>
      </c>
      <c r="H8" s="8" t="n">
        <v>79</v>
      </c>
      <c r="I8" s="6" t="n">
        <v>85908</v>
      </c>
      <c r="J8" s="8" t="n">
        <v>21</v>
      </c>
    </row>
    <row r="9">
      <c r="A9" s="9" t="n">
        <v>1937</v>
      </c>
      <c r="B9" t="inlineStr"/>
      <c r="C9" t="inlineStr"/>
      <c r="D9" t="inlineStr"/>
      <c r="E9" t="inlineStr"/>
      <c r="F9" t="inlineStr"/>
      <c r="G9" t="inlineStr"/>
      <c r="H9" t="inlineStr"/>
      <c r="I9" t="inlineStr"/>
      <c r="J9" t="inlineStr"/>
    </row>
    <row r="10">
      <c r="A10" t="inlineStr">
        <is>
          <t>1st</t>
        </is>
      </c>
      <c r="B10" s="9" t="n">
        <v>34</v>
      </c>
      <c r="C10" s="6" t="n">
        <v>219019</v>
      </c>
      <c r="D10" s="6" t="n">
        <v>324363</v>
      </c>
      <c r="E10" s="6" t="n">
        <v>130484</v>
      </c>
      <c r="F10" s="6" t="n">
        <v>454848</v>
      </c>
      <c r="G10" s="6" t="n">
        <v>369334</v>
      </c>
      <c r="H10" s="8" t="n">
        <v>81</v>
      </c>
      <c r="I10" s="6" t="n">
        <v>85513</v>
      </c>
      <c r="J10" s="8" t="n">
        <v>19</v>
      </c>
    </row>
    <row r="11">
      <c r="A11" t="inlineStr">
        <is>
          <t>2nd</t>
        </is>
      </c>
      <c r="B11" s="9" t="n">
        <v>41</v>
      </c>
      <c r="C11" s="6" t="n">
        <v>223452</v>
      </c>
      <c r="D11" s="6" t="n">
        <v>339300</v>
      </c>
      <c r="E11" s="6" t="n">
        <v>184024</v>
      </c>
      <c r="F11" s="6" t="n">
        <v>523324</v>
      </c>
      <c r="G11" s="6" t="n">
        <v>421817</v>
      </c>
      <c r="H11" s="8" t="n">
        <v>78.59999999999999</v>
      </c>
      <c r="I11" s="6" t="n">
        <v>101508</v>
      </c>
      <c r="J11" s="8" t="n">
        <v>11.4</v>
      </c>
    </row>
    <row r="12">
      <c r="A12" s="9" t="n">
        <v>1938</v>
      </c>
      <c r="B12" t="inlineStr"/>
      <c r="C12" t="inlineStr"/>
      <c r="D12" t="inlineStr"/>
      <c r="E12" t="inlineStr"/>
      <c r="F12" t="inlineStr"/>
      <c r="G12" t="inlineStr"/>
      <c r="H12" t="inlineStr"/>
      <c r="I12" t="inlineStr"/>
      <c r="J12" t="inlineStr"/>
    </row>
    <row r="13">
      <c r="A13" t="inlineStr">
        <is>
          <t>1st</t>
        </is>
      </c>
      <c r="B13" s="9" t="n">
        <v>42</v>
      </c>
      <c r="C13" s="6" t="n">
        <v>229275</v>
      </c>
      <c r="D13" s="6" t="n">
        <v>407014</v>
      </c>
      <c r="E13" s="6" t="n">
        <v>214004</v>
      </c>
      <c r="F13" s="6" t="n">
        <v>621017</v>
      </c>
      <c r="G13" s="6" t="n">
        <v>508112</v>
      </c>
      <c r="H13" s="8" t="n">
        <v>82</v>
      </c>
      <c r="I13" s="6" t="n">
        <v>112905</v>
      </c>
      <c r="J13" s="8" t="n">
        <v>18</v>
      </c>
    </row>
    <row r="14">
      <c r="A14" t="inlineStr">
        <is>
          <t>2nd</t>
        </is>
      </c>
      <c r="B14" s="9" t="n">
        <v>40</v>
      </c>
      <c r="C14" s="6" t="n">
        <v>232668</v>
      </c>
      <c r="D14" s="6" t="n">
        <v>424639</v>
      </c>
      <c r="E14" s="6" t="n">
        <v>247272</v>
      </c>
      <c r="F14" s="6" t="n">
        <v>671911</v>
      </c>
      <c r="G14" t="inlineStr">
        <is>
          <t>—</t>
        </is>
      </c>
      <c r="H14" t="inlineStr">
        <is>
          <t>—</t>
        </is>
      </c>
      <c r="I14" t="inlineStr">
        <is>
          <t>—</t>
        </is>
      </c>
      <c r="J14" t="inlineStr">
        <is>
          <t>—</t>
        </is>
      </c>
    </row>
    <row r="16">
      <c r="A16" s="2" t="inlineStr">
        <is>
          <t>Footnotes</t>
        </is>
      </c>
    </row>
    <row r="17">
      <c r="A17" t="inlineStr">
        <is>
          <t>Note: “1st” &amp; “2nd” represent first half &amp; second halves of each year, respectively.</t>
        </is>
      </c>
    </row>
    <row r="18">
      <c r="A18" t="inlineStr">
        <is>
          <t>* Includes losses, from transmission and companies' own utilization.</t>
        </is>
      </c>
    </row>
    <row r="20">
      <c r="A20" s="2" t="inlineStr">
        <is>
          <t>Transcriber's notes</t>
        </is>
      </c>
    </row>
    <row r="21">
      <c r="A21" t="inlineStr">
        <is>
          <t>Supply Total = Generated + Purchased: 1936-1st parts 385,646 vs 385,645 (diff 1); 1936-2nd reconciles; 1937-1st parts 454,847 vs 454,848 (diff 1); 1937-2nd reconciles; 1938-1st parts 621,018 vs 621,017 (diff 1); 1938-2nd reconciles.</t>
        </is>
      </c>
    </row>
    <row r="22">
      <c r="A22" t="inlineStr">
        <is>
          <t>Sold + Lost vs Supply Total: 1936-1st and 1936-2nd reconcile; 1937-1st 454,847 vs 454,848 (diff 1); 1937-2nd 523,325 vs 523,324 (diff 1); 1938-1st reconciles.</t>
        </is>
      </c>
    </row>
    <row r="23">
      <c r="A23" t="inlineStr">
        <is>
          <t>1937-2nd: Sold % 78.6 + Lost % 11.4 = 90.0, not 100 (Lost 101,508 is c. 19.4% of total); transcribed as printed.</t>
        </is>
      </c>
    </row>
  </sheetData>
  <hyperlinks>
    <hyperlink xmlns:r="http://schemas.openxmlformats.org/officeDocument/2006/relationships" ref="A3" r:id="rId1"/>
  </hyperlink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Electric Power Consumption Classified</t>
        </is>
      </c>
    </row>
    <row r="2">
      <c r="A2" t="inlineStr">
        <is>
          <t>Electric and Gas Industries · printed pp. 562</t>
        </is>
      </c>
    </row>
    <row r="3">
      <c r="A3" s="3" t="inlineStr">
        <is>
          <t>← Contents</t>
        </is>
      </c>
    </row>
    <row r="5">
      <c r="A5" s="5" t="inlineStr">
        <is>
          <t>Period</t>
        </is>
      </c>
      <c r="B5" s="5" t="inlineStr">
        <is>
          <t>Light — No. of consumers (1,000)</t>
        </is>
      </c>
      <c r="C5" s="5" t="inlineStr">
        <is>
          <t>Light — Lights installed (1,000)</t>
        </is>
      </c>
      <c r="D5" s="5" t="inlineStr">
        <is>
          <t>Light — Consumption (1,000 KWH)</t>
        </is>
      </c>
      <c r="E5" s="5" t="inlineStr">
        <is>
          <t>Power — No. of consumers</t>
        </is>
      </c>
      <c r="F5" s="5" t="inlineStr">
        <is>
          <t>Power — Consumption (1,000 KWH)</t>
        </is>
      </c>
      <c r="G5" s="5" t="inlineStr">
        <is>
          <t>Heat — No. of consumers</t>
        </is>
      </c>
      <c r="H5" s="5" t="inlineStr">
        <is>
          <t>Heat — Consumption (1,000 KWH)</t>
        </is>
      </c>
      <c r="I5" s="5" t="inlineStr">
        <is>
          <t>Total incl. others (1,000 KWH)</t>
        </is>
      </c>
    </row>
    <row r="6">
      <c r="A6" t="inlineStr">
        <is>
          <t>1936 1st</t>
        </is>
      </c>
      <c r="B6" s="9" t="n">
        <v>256</v>
      </c>
      <c r="C6" s="6" t="n">
        <v>1885</v>
      </c>
      <c r="D6" s="6" t="n">
        <v>52119</v>
      </c>
      <c r="E6" s="6" t="n">
        <v>6560</v>
      </c>
      <c r="F6" s="6" t="n">
        <v>266461</v>
      </c>
      <c r="G6" s="6" t="n">
        <v>4848</v>
      </c>
      <c r="H6" s="6" t="n">
        <v>3126</v>
      </c>
      <c r="I6" s="6" t="n">
        <v>322159</v>
      </c>
    </row>
    <row r="7">
      <c r="A7" t="inlineStr">
        <is>
          <t>1936 2nd</t>
        </is>
      </c>
      <c r="B7" s="9" t="n">
        <v>294</v>
      </c>
      <c r="C7" s="6" t="n">
        <v>2103</v>
      </c>
      <c r="D7" s="6" t="n">
        <v>45608</v>
      </c>
      <c r="E7" s="6" t="n">
        <v>7151</v>
      </c>
      <c r="F7" s="6" t="n">
        <v>285042</v>
      </c>
      <c r="G7" s="6" t="n">
        <v>5531</v>
      </c>
      <c r="H7" s="6" t="n">
        <v>2804</v>
      </c>
      <c r="I7" s="6" t="n">
        <v>338368</v>
      </c>
    </row>
    <row r="8">
      <c r="A8" t="inlineStr">
        <is>
          <t>1937 1st</t>
        </is>
      </c>
      <c r="B8" s="9" t="n">
        <v>336</v>
      </c>
      <c r="C8" s="6" t="n">
        <v>2242</v>
      </c>
      <c r="D8" s="6" t="n">
        <v>58909</v>
      </c>
      <c r="E8" s="6" t="n">
        <v>7502</v>
      </c>
      <c r="F8" s="6" t="n">
        <v>330010</v>
      </c>
      <c r="G8" s="6" t="n">
        <v>5645</v>
      </c>
      <c r="H8" s="6" t="n">
        <v>3474</v>
      </c>
      <c r="I8" s="6" t="n">
        <v>392950</v>
      </c>
    </row>
    <row r="9">
      <c r="A9" t="inlineStr">
        <is>
          <t>1937 2nd</t>
        </is>
      </c>
      <c r="B9" s="9" t="n">
        <v>369</v>
      </c>
      <c r="C9" s="6" t="n">
        <v>2395</v>
      </c>
      <c r="D9" s="6" t="n">
        <v>54888</v>
      </c>
      <c r="E9" s="6" t="n">
        <v>8156</v>
      </c>
      <c r="F9" s="6" t="n">
        <v>407281</v>
      </c>
      <c r="G9" s="6" t="n">
        <v>6421</v>
      </c>
      <c r="H9" s="6" t="n">
        <v>3204</v>
      </c>
      <c r="I9" s="6" t="n">
        <v>466366</v>
      </c>
    </row>
    <row r="10">
      <c r="A10" t="inlineStr">
        <is>
          <t>1938 1st</t>
        </is>
      </c>
      <c r="B10" s="9" t="n">
        <v>430</v>
      </c>
      <c r="C10" s="6" t="n">
        <v>2626</v>
      </c>
      <c r="D10" s="6" t="n">
        <v>68335</v>
      </c>
      <c r="E10" s="6" t="n">
        <v>9274</v>
      </c>
      <c r="F10" s="6" t="n">
        <v>487323</v>
      </c>
      <c r="G10" s="6" t="n">
        <v>7851</v>
      </c>
      <c r="H10" s="6" t="n">
        <v>4220</v>
      </c>
      <c r="I10" s="6" t="n">
        <v>560330</v>
      </c>
    </row>
    <row r="11">
      <c r="A11" t="inlineStr">
        <is>
          <t>1938 2nd</t>
        </is>
      </c>
      <c r="B11" s="9" t="n">
        <v>495</v>
      </c>
      <c r="C11" s="6" t="n">
        <v>2879</v>
      </c>
      <c r="D11" t="inlineStr">
        <is>
          <t>—</t>
        </is>
      </c>
      <c r="E11" t="inlineStr">
        <is>
          <t>—</t>
        </is>
      </c>
      <c r="F11" t="inlineStr">
        <is>
          <t>—</t>
        </is>
      </c>
      <c r="G11" t="inlineStr">
        <is>
          <t>—</t>
        </is>
      </c>
      <c r="H11" t="inlineStr">
        <is>
          <t>—</t>
        </is>
      </c>
      <c r="I11" t="inlineStr">
        <is>
          <t>—</t>
        </is>
      </c>
    </row>
    <row r="13">
      <c r="A13" s="2" t="inlineStr">
        <is>
          <t>Transcriber's notes</t>
        </is>
      </c>
    </row>
    <row r="14">
      <c r="A14" t="inlineStr">
        <is>
          <t>Year and half-year stub combined (printed as year heading with '1st'/'2nd' rows).</t>
        </is>
      </c>
    </row>
    <row r="15">
      <c r="A15" t="inlineStr">
        <is>
          <t>Total incl. others includes unlisted categories; listed parts compared: 1936 1st: Light+Power+Heat consumption = 321,706 vs Total incl. others 322,159 (diff 453); 1936 2nd: Light+Power+Heat consumption = 333,454 vs Total incl. others 338,368 (diff 4,914); 1937 1st: Light+Power+Heat consumption = 392,393 vs Total incl. others 392,950 (diff 557); 1937 2nd: Light+Power+Heat consumption = 465,373 vs Total incl. others 466,366 (diff 993); 1938 1st: Light+Power+Heat consumption = 559,878 vs Total incl. others 560,330 (diff 452). Differences are the unlisted 'others'; no reconciliation possible.</t>
        </is>
      </c>
    </row>
    <row r="16">
      <c r="A16" t="inlineStr">
        <is>
          <t>Total incl. others column is printed near the gutter; legible.</t>
        </is>
      </c>
    </row>
  </sheetData>
  <hyperlinks>
    <hyperlink xmlns:r="http://schemas.openxmlformats.org/officeDocument/2006/relationships" ref="A3" r:id="rId1"/>
  </hyperlink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M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Electric Power Consumption Classified by Industries</t>
        </is>
      </c>
    </row>
    <row r="2">
      <c r="A2" t="inlineStr">
        <is>
          <t>Electric and Gas Industries · printed pp. 562</t>
        </is>
      </c>
    </row>
    <row r="3">
      <c r="A3" t="inlineStr">
        <is>
          <t>(% against grand total. Index: 1st half, 1936=100)</t>
        </is>
      </c>
    </row>
    <row r="4">
      <c r="A4" s="3" t="inlineStr">
        <is>
          <t>← Contents</t>
        </is>
      </c>
    </row>
    <row r="6">
      <c r="A6" s="5" t="inlineStr">
        <is>
          <t>Period</t>
        </is>
      </c>
      <c r="B6" s="5" t="inlineStr">
        <is>
          <t>Textile — Index</t>
        </is>
      </c>
      <c r="C6" s="5" t="inlineStr">
        <is>
          <t>Textile — %</t>
        </is>
      </c>
      <c r="D6" s="5" t="inlineStr">
        <is>
          <t>Metallic — Index</t>
        </is>
      </c>
      <c r="E6" s="5" t="inlineStr">
        <is>
          <t>Metallic — %</t>
        </is>
      </c>
      <c r="F6" s="5" t="inlineStr">
        <is>
          <t>Machinery — Index</t>
        </is>
      </c>
      <c r="G6" s="5" t="inlineStr">
        <is>
          <t>Machinery — %</t>
        </is>
      </c>
      <c r="H6" s="5" t="inlineStr">
        <is>
          <t>Ceramic — Index</t>
        </is>
      </c>
      <c r="I6" s="5" t="inlineStr">
        <is>
          <t>Ceramic — %</t>
        </is>
      </c>
      <c r="J6" s="5" t="inlineStr">
        <is>
          <t>Chemical — Index</t>
        </is>
      </c>
      <c r="K6" s="5" t="inlineStr">
        <is>
          <t>Chemical — %</t>
        </is>
      </c>
      <c r="L6" s="5" t="inlineStr">
        <is>
          <t>Bean-oil — Index</t>
        </is>
      </c>
      <c r="M6" s="5" t="inlineStr">
        <is>
          <t>Bean-oil — %</t>
        </is>
      </c>
    </row>
    <row r="7">
      <c r="A7" t="inlineStr">
        <is>
          <t>1935 1st</t>
        </is>
      </c>
      <c r="B7" s="9" t="n">
        <v>8</v>
      </c>
      <c r="C7" s="8" t="n">
        <v>0.9</v>
      </c>
      <c r="D7" s="9" t="n">
        <v>29</v>
      </c>
      <c r="E7" s="8" t="n">
        <v>11</v>
      </c>
      <c r="F7" s="9" t="n">
        <v>49</v>
      </c>
      <c r="G7" s="8" t="n">
        <v>6.4</v>
      </c>
      <c r="H7" s="9" t="n">
        <v>69</v>
      </c>
      <c r="I7" s="8" t="n">
        <v>4.6</v>
      </c>
      <c r="J7" s="9" t="n">
        <v>33</v>
      </c>
      <c r="K7" s="8" t="n">
        <v>18.8</v>
      </c>
      <c r="L7" t="inlineStr">
        <is>
          <t>—</t>
        </is>
      </c>
      <c r="M7" t="inlineStr">
        <is>
          <t>—</t>
        </is>
      </c>
    </row>
    <row r="8">
      <c r="A8" t="inlineStr">
        <is>
          <t>1935 2nd</t>
        </is>
      </c>
      <c r="B8" s="9" t="n">
        <v>101</v>
      </c>
      <c r="C8" s="8" t="n">
        <v>7.8</v>
      </c>
      <c r="D8" s="9" t="n">
        <v>73</v>
      </c>
      <c r="E8" s="8" t="n">
        <v>18</v>
      </c>
      <c r="F8" s="9" t="n">
        <v>68</v>
      </c>
      <c r="G8" s="8" t="n">
        <v>5.8</v>
      </c>
      <c r="H8" s="9" t="n">
        <v>59</v>
      </c>
      <c r="I8" s="8" t="n">
        <v>2.6</v>
      </c>
      <c r="J8" s="9" t="n">
        <v>87</v>
      </c>
      <c r="K8" s="8" t="n">
        <v>28.7</v>
      </c>
      <c r="L8" s="9" t="n">
        <v>57</v>
      </c>
      <c r="M8" s="8" t="n">
        <v>1.2</v>
      </c>
    </row>
    <row r="9">
      <c r="A9" t="inlineStr">
        <is>
          <t>1936 1st</t>
        </is>
      </c>
      <c r="B9" s="9" t="n">
        <v>100</v>
      </c>
      <c r="C9" s="8" t="n">
        <v>6.4</v>
      </c>
      <c r="D9" s="9" t="n">
        <v>100</v>
      </c>
      <c r="E9" s="8" t="n">
        <v>21</v>
      </c>
      <c r="F9" s="9" t="n">
        <v>100</v>
      </c>
      <c r="G9" s="8" t="n">
        <v>7.3</v>
      </c>
      <c r="H9" s="9" t="n">
        <v>100</v>
      </c>
      <c r="I9" s="8" t="n">
        <v>3.7</v>
      </c>
      <c r="J9" s="9" t="n">
        <v>100</v>
      </c>
      <c r="K9" s="8" t="n">
        <v>27.8</v>
      </c>
      <c r="L9" s="9" t="n">
        <v>100</v>
      </c>
      <c r="M9" s="8" t="n">
        <v>1.7</v>
      </c>
    </row>
    <row r="10">
      <c r="A10" t="inlineStr">
        <is>
          <t>1936 2nd</t>
        </is>
      </c>
      <c r="B10" s="9" t="n">
        <v>112</v>
      </c>
      <c r="C10" s="8" t="n">
        <v>6.7</v>
      </c>
      <c r="D10" s="9" t="n">
        <v>125</v>
      </c>
      <c r="E10" s="8" t="n">
        <v>24.5</v>
      </c>
      <c r="F10" s="9" t="n">
        <v>71</v>
      </c>
      <c r="G10" s="8" t="n">
        <v>4.9</v>
      </c>
      <c r="H10" s="9" t="n">
        <v>100</v>
      </c>
      <c r="I10" s="8" t="n">
        <v>3.5</v>
      </c>
      <c r="J10" s="9" t="n">
        <v>102</v>
      </c>
      <c r="K10" s="8" t="n">
        <v>27</v>
      </c>
      <c r="L10" s="9" t="n">
        <v>54</v>
      </c>
      <c r="M10" s="8" t="n">
        <v>0.9</v>
      </c>
    </row>
    <row r="11">
      <c r="A11" t="inlineStr">
        <is>
          <t>1937 1st</t>
        </is>
      </c>
      <c r="B11" s="9" t="n">
        <v>128</v>
      </c>
      <c r="C11" s="8" t="n">
        <v>6.4</v>
      </c>
      <c r="D11" s="9" t="n">
        <v>119</v>
      </c>
      <c r="E11" s="8" t="n">
        <v>20.1</v>
      </c>
      <c r="F11" s="9" t="n">
        <v>74</v>
      </c>
      <c r="G11" s="8" t="n">
        <v>4.4</v>
      </c>
      <c r="H11" s="9" t="n">
        <v>109</v>
      </c>
      <c r="I11" s="8" t="n">
        <v>3.3</v>
      </c>
      <c r="J11" s="9" t="n">
        <v>112</v>
      </c>
      <c r="K11" s="8" t="n">
        <v>24.9</v>
      </c>
      <c r="L11" s="9" t="n">
        <v>104</v>
      </c>
      <c r="M11" s="8" t="n">
        <v>1.5</v>
      </c>
    </row>
    <row r="12">
      <c r="A12" t="inlineStr">
        <is>
          <t>1937 2nd</t>
        </is>
      </c>
      <c r="B12" s="9" t="n">
        <v>132</v>
      </c>
      <c r="C12" s="8" t="n">
        <v>5.5</v>
      </c>
      <c r="D12" s="9" t="n">
        <v>170</v>
      </c>
      <c r="E12" s="8" t="n">
        <v>23.4</v>
      </c>
      <c r="F12" s="9" t="n">
        <v>96</v>
      </c>
      <c r="G12" s="8" t="n">
        <v>4.5</v>
      </c>
      <c r="H12" s="9" t="n">
        <v>133</v>
      </c>
      <c r="I12" s="8" t="n">
        <v>3.3</v>
      </c>
      <c r="J12" s="9" t="n">
        <v>112</v>
      </c>
      <c r="K12" s="8" t="n">
        <v>20.3</v>
      </c>
      <c r="L12" s="9" t="n">
        <v>46</v>
      </c>
      <c r="M12" s="8" t="n">
        <v>0.5</v>
      </c>
    </row>
    <row r="13">
      <c r="A13" t="inlineStr">
        <is>
          <t>1938 1st</t>
        </is>
      </c>
      <c r="B13" s="9" t="n">
        <v>164</v>
      </c>
      <c r="C13" s="8" t="n">
        <v>6.3</v>
      </c>
      <c r="D13" s="9" t="n">
        <v>180</v>
      </c>
      <c r="E13" s="8" t="n">
        <v>22.4</v>
      </c>
      <c r="F13" s="9" t="n">
        <v>120</v>
      </c>
      <c r="G13" s="8" t="n">
        <v>5.3</v>
      </c>
      <c r="H13" s="9" t="n">
        <v>122</v>
      </c>
      <c r="I13" s="8" t="n">
        <v>2.7</v>
      </c>
      <c r="J13" s="9" t="n">
        <v>150</v>
      </c>
      <c r="K13" s="8" t="n">
        <v>26.4</v>
      </c>
      <c r="L13" s="9" t="n">
        <v>118</v>
      </c>
      <c r="M13" s="8" t="n">
        <v>1.2</v>
      </c>
    </row>
    <row r="15">
      <c r="A15" s="2" t="inlineStr">
        <is>
          <t>(second block)</t>
        </is>
      </c>
    </row>
    <row r="16">
      <c r="A16" s="5" t="inlineStr">
        <is>
          <t>Period</t>
        </is>
      </c>
      <c r="B16" s="5" t="inlineStr">
        <is>
          <t>Lumbering &amp; wood-working — Index</t>
        </is>
      </c>
      <c r="C16" s="5" t="inlineStr">
        <is>
          <t>Lumbering &amp; wood-working — %</t>
        </is>
      </c>
      <c r="D16" s="5" t="inlineStr">
        <is>
          <t>Provision — Index</t>
        </is>
      </c>
      <c r="E16" s="5" t="inlineStr">
        <is>
          <t>Provision — %</t>
        </is>
      </c>
      <c r="F16" s="5" t="inlineStr">
        <is>
          <t>Mining — Index</t>
        </is>
      </c>
      <c r="G16" s="5" t="inlineStr">
        <is>
          <t>Mining — %</t>
        </is>
      </c>
      <c r="H16" s="5" t="inlineStr">
        <is>
          <t>Electric — Index</t>
        </is>
      </c>
      <c r="I16" s="5" t="inlineStr">
        <is>
          <t>Electric — %</t>
        </is>
      </c>
      <c r="J16" s="5" t="inlineStr">
        <is>
          <t>Total incl. others — Index</t>
        </is>
      </c>
      <c r="K16" s="5" t="inlineStr">
        <is>
          <t>Total incl. others — %</t>
        </is>
      </c>
      <c r="L16" s="5" t="n"/>
      <c r="M16" s="5" t="n"/>
    </row>
    <row r="17">
      <c r="A17" t="inlineStr">
        <is>
          <t>1935 1st</t>
        </is>
      </c>
      <c r="B17" t="inlineStr">
        <is>
          <t>—</t>
        </is>
      </c>
      <c r="C17" t="inlineStr">
        <is>
          <t>—</t>
        </is>
      </c>
      <c r="D17" s="9" t="n">
        <v>41</v>
      </c>
      <c r="E17" s="8" t="n">
        <v>2.9</v>
      </c>
      <c r="F17" s="9" t="n">
        <v>17</v>
      </c>
      <c r="G17" s="8" t="n">
        <v>0.5</v>
      </c>
      <c r="H17" s="9" t="n">
        <v>89</v>
      </c>
      <c r="I17" s="8" t="n">
        <v>28.7</v>
      </c>
      <c r="J17" s="9" t="n">
        <v>56</v>
      </c>
      <c r="K17" s="9" t="n">
        <v>100</v>
      </c>
    </row>
    <row r="18">
      <c r="A18" t="inlineStr">
        <is>
          <t>1935 2nd</t>
        </is>
      </c>
      <c r="B18" s="9" t="n">
        <v>120</v>
      </c>
      <c r="C18" s="8" t="n">
        <v>1.3</v>
      </c>
      <c r="D18" s="9" t="n">
        <v>83</v>
      </c>
      <c r="E18" s="8" t="n">
        <v>3.9</v>
      </c>
      <c r="F18" s="9" t="n">
        <v>87</v>
      </c>
      <c r="G18" s="8" t="n">
        <v>1.6</v>
      </c>
      <c r="H18" s="9" t="n">
        <v>86</v>
      </c>
      <c r="I18" s="8" t="n">
        <v>18.4</v>
      </c>
      <c r="J18" s="9" t="n">
        <v>85</v>
      </c>
      <c r="K18" s="9" t="n">
        <v>100</v>
      </c>
    </row>
    <row r="19">
      <c r="A19" t="inlineStr">
        <is>
          <t>1936 1st</t>
        </is>
      </c>
      <c r="B19" s="9" t="n">
        <v>100</v>
      </c>
      <c r="C19" s="8" t="n">
        <v>0.9</v>
      </c>
      <c r="D19" s="9" t="n">
        <v>100</v>
      </c>
      <c r="E19" s="8" t="n">
        <v>4.5</v>
      </c>
      <c r="F19" s="9" t="n">
        <v>100</v>
      </c>
      <c r="G19" s="8" t="n">
        <v>1.5</v>
      </c>
      <c r="H19" s="9" t="n">
        <v>100</v>
      </c>
      <c r="I19" s="8" t="n">
        <v>18.1</v>
      </c>
      <c r="J19" s="9" t="n">
        <v>100</v>
      </c>
      <c r="K19" s="9" t="n">
        <v>100</v>
      </c>
    </row>
    <row r="20">
      <c r="A20" t="inlineStr">
        <is>
          <t>1936 2nd</t>
        </is>
      </c>
      <c r="B20" s="9" t="n">
        <v>142</v>
      </c>
      <c r="C20" s="8" t="n">
        <v>1.2</v>
      </c>
      <c r="D20" s="9" t="n">
        <v>154</v>
      </c>
      <c r="E20" s="8" t="n">
        <v>5.7</v>
      </c>
      <c r="F20" s="9" t="n">
        <v>123</v>
      </c>
      <c r="G20" s="8" t="n">
        <v>1.7</v>
      </c>
      <c r="H20" s="9" t="n">
        <v>109</v>
      </c>
      <c r="I20" s="8" t="n">
        <v>18.3</v>
      </c>
      <c r="J20" s="9" t="n">
        <v>104</v>
      </c>
      <c r="K20" s="9" t="n">
        <v>100</v>
      </c>
    </row>
    <row r="21">
      <c r="A21" t="inlineStr">
        <is>
          <t>1937 1st</t>
        </is>
      </c>
      <c r="B21" s="9" t="n">
        <v>126</v>
      </c>
      <c r="C21" s="8" t="n">
        <v>3.1</v>
      </c>
      <c r="D21" s="9" t="n">
        <v>188</v>
      </c>
      <c r="E21" s="8" t="n">
        <v>5.8</v>
      </c>
      <c r="F21" s="9" t="n">
        <v>165</v>
      </c>
      <c r="G21" s="8" t="n">
        <v>2.5</v>
      </c>
      <c r="H21" s="9" t="n">
        <v>138</v>
      </c>
      <c r="I21" s="8" t="n">
        <v>20.6</v>
      </c>
      <c r="J21" s="9" t="n">
        <v>124</v>
      </c>
      <c r="K21" s="9" t="n">
        <v>100</v>
      </c>
    </row>
    <row r="22">
      <c r="A22" t="inlineStr">
        <is>
          <t>1937 2nd</t>
        </is>
      </c>
      <c r="B22" s="9" t="n">
        <v>183</v>
      </c>
      <c r="C22" s="8" t="n">
        <v>1.3</v>
      </c>
      <c r="D22" s="9" t="n">
        <v>223</v>
      </c>
      <c r="E22" s="8" t="n">
        <v>5.8</v>
      </c>
      <c r="F22" s="9" t="n">
        <v>295</v>
      </c>
      <c r="G22" s="8" t="n">
        <v>3</v>
      </c>
      <c r="H22" s="9" t="n">
        <v>198</v>
      </c>
      <c r="I22" s="8" t="n">
        <v>23.4</v>
      </c>
      <c r="J22" s="9" t="n">
        <v>152</v>
      </c>
      <c r="K22" s="9" t="n">
        <v>100</v>
      </c>
    </row>
    <row r="23">
      <c r="A23" t="inlineStr">
        <is>
          <t>1938 1st</t>
        </is>
      </c>
      <c r="B23" s="9" t="n">
        <v>160</v>
      </c>
      <c r="C23" s="8" t="n">
        <v>0.9</v>
      </c>
      <c r="D23" s="9" t="n">
        <v>236</v>
      </c>
      <c r="E23" s="8" t="n">
        <v>5.5</v>
      </c>
      <c r="F23" s="9" t="n">
        <v>374</v>
      </c>
      <c r="G23" s="8" t="n">
        <v>3.4</v>
      </c>
      <c r="H23" s="9" t="n">
        <v>229</v>
      </c>
      <c r="I23" s="8" t="n">
        <v>24.6</v>
      </c>
      <c r="J23" s="9" t="n">
        <v>180</v>
      </c>
      <c r="K23" s="9" t="n">
        <v>100</v>
      </c>
    </row>
    <row r="25">
      <c r="A25" s="2" t="inlineStr">
        <is>
          <t>Transcriber's notes</t>
        </is>
      </c>
    </row>
    <row r="26">
      <c r="A26" t="inlineStr">
        <is>
          <t>Printed in two stacked blocks with the same stub; kept as two parts.</t>
        </is>
      </c>
    </row>
    <row r="27">
      <c r="A27" t="inlineStr">
        <is>
          <t>Sum of the ten listed industry % shares per period (total incl. others = 100): 1935 1st 73.8; 1935 2nd 89.3; 1936 1st 92.9; 1936 2nd 94.4; 1937 1st 92.6; 1937 2nd 91.0; 1938 1st 98.7. Remainder is 'others'; the listed shares never exceed 100.</t>
        </is>
      </c>
    </row>
  </sheetData>
  <hyperlinks>
    <hyperlink xmlns:r="http://schemas.openxmlformats.org/officeDocument/2006/relationships" ref="A4" r:id="rId1"/>
  </hyperlink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Electric Power Consumption Classified by Industries</t>
        </is>
      </c>
    </row>
    <row r="2">
      <c r="A2" t="inlineStr">
        <is>
          <t>Electric and Gas Industries · printed pp. 563, 564</t>
        </is>
      </c>
    </row>
    <row r="3">
      <c r="A3" t="inlineStr">
        <is>
          <t>(Consumption in 1,000 KWH)</t>
        </is>
      </c>
    </row>
    <row r="4">
      <c r="A4" s="3" t="inlineStr">
        <is>
          <t>← Contents</t>
        </is>
      </c>
    </row>
    <row r="6">
      <c r="A6" s="2" t="inlineStr">
        <is>
          <t>Textile Industry</t>
        </is>
      </c>
    </row>
    <row r="7">
      <c r="A7" s="5" t="inlineStr">
        <is>
          <t>Period</t>
        </is>
      </c>
      <c r="B7" s="5" t="inlineStr">
        <is>
          <t>Ordinary — Consumers</t>
        </is>
      </c>
      <c r="C7" s="5" t="inlineStr">
        <is>
          <t>Ordinary — Consumption</t>
        </is>
      </c>
      <c r="D7" s="5" t="inlineStr">
        <is>
          <t>Contract — Consumers</t>
        </is>
      </c>
      <c r="E7" s="5" t="inlineStr">
        <is>
          <t>Contract — Consumption</t>
        </is>
      </c>
      <c r="F7" s="5" t="inlineStr">
        <is>
          <t>Total — Consumers</t>
        </is>
      </c>
      <c r="G7" s="5" t="inlineStr">
        <is>
          <t>Total — Consumption</t>
        </is>
      </c>
    </row>
    <row r="8">
      <c r="A8" t="inlineStr">
        <is>
          <t>1935 1st</t>
        </is>
      </c>
      <c r="B8" s="9" t="n">
        <v>362</v>
      </c>
      <c r="C8" s="6" t="n">
        <v>1767</v>
      </c>
      <c r="D8" s="9" t="n">
        <v>6</v>
      </c>
      <c r="E8" s="6" t="n">
        <v>11593</v>
      </c>
      <c r="F8" s="9" t="n">
        <v>368</v>
      </c>
      <c r="G8" s="6" t="n">
        <v>1333</v>
      </c>
    </row>
    <row r="9">
      <c r="A9" t="inlineStr">
        <is>
          <t>1935 2nd</t>
        </is>
      </c>
      <c r="B9" s="9" t="n">
        <v>447</v>
      </c>
      <c r="C9" s="6" t="n">
        <v>2496</v>
      </c>
      <c r="D9" s="9" t="n">
        <v>8</v>
      </c>
      <c r="E9" s="6" t="n">
        <v>15182</v>
      </c>
      <c r="F9" s="9" t="n">
        <v>455</v>
      </c>
      <c r="G9" s="6" t="n">
        <v>17678</v>
      </c>
    </row>
    <row r="10">
      <c r="A10" t="inlineStr">
        <is>
          <t>1936 1st</t>
        </is>
      </c>
      <c r="B10" s="9" t="n">
        <v>443</v>
      </c>
      <c r="C10" s="6" t="n">
        <v>2839</v>
      </c>
      <c r="D10" s="9" t="n">
        <v>10</v>
      </c>
      <c r="E10" s="6" t="n">
        <v>14378</v>
      </c>
      <c r="F10" s="9" t="n">
        <v>453</v>
      </c>
      <c r="G10" s="6" t="n">
        <v>17217</v>
      </c>
    </row>
    <row r="11">
      <c r="A11" t="inlineStr">
        <is>
          <t>1936 2nd</t>
        </is>
      </c>
      <c r="B11" s="9" t="n">
        <v>510</v>
      </c>
      <c r="C11" s="6" t="n">
        <v>3218</v>
      </c>
      <c r="D11" s="9" t="n">
        <v>12</v>
      </c>
      <c r="E11" s="6" t="n">
        <v>15997</v>
      </c>
      <c r="F11" s="9" t="n">
        <v>522</v>
      </c>
      <c r="G11" s="6" t="n">
        <v>19215</v>
      </c>
    </row>
    <row r="12">
      <c r="A12" t="inlineStr">
        <is>
          <t>1937 1st</t>
        </is>
      </c>
      <c r="B12" s="9" t="n">
        <v>547</v>
      </c>
      <c r="C12" s="6" t="n">
        <v>3664</v>
      </c>
      <c r="D12" s="9" t="n">
        <v>10</v>
      </c>
      <c r="E12" s="6" t="n">
        <v>18362</v>
      </c>
      <c r="F12" s="9" t="n">
        <v>557</v>
      </c>
      <c r="G12" s="6" t="n">
        <v>22026</v>
      </c>
    </row>
    <row r="13">
      <c r="A13" t="inlineStr">
        <is>
          <t>1937 2nd</t>
        </is>
      </c>
      <c r="B13" s="9" t="n">
        <v>634</v>
      </c>
      <c r="C13" s="6" t="n">
        <v>4102</v>
      </c>
      <c r="D13" s="9" t="n">
        <v>12</v>
      </c>
      <c r="E13" s="6" t="n">
        <v>18539</v>
      </c>
      <c r="F13" s="9" t="n">
        <v>646</v>
      </c>
      <c r="G13" s="6" t="n">
        <v>22641</v>
      </c>
    </row>
    <row r="14">
      <c r="A14" t="inlineStr">
        <is>
          <t>1938 1st</t>
        </is>
      </c>
      <c r="B14" s="9" t="n">
        <v>699</v>
      </c>
      <c r="C14" s="6" t="n">
        <v>4594</v>
      </c>
      <c r="D14" s="9" t="n">
        <v>13</v>
      </c>
      <c r="E14" s="6" t="n">
        <v>23510</v>
      </c>
      <c r="F14" s="9" t="n">
        <v>712</v>
      </c>
      <c r="G14" s="6" t="n">
        <v>28104</v>
      </c>
    </row>
    <row r="16">
      <c r="A16" s="2" t="inlineStr">
        <is>
          <t>Metallic Industry</t>
        </is>
      </c>
    </row>
    <row r="17">
      <c r="A17" s="5" t="inlineStr">
        <is>
          <t>Period</t>
        </is>
      </c>
      <c r="B17" s="5" t="inlineStr">
        <is>
          <t>Ordinary — Consumers</t>
        </is>
      </c>
      <c r="C17" s="5" t="inlineStr">
        <is>
          <t>Ordinary — Consumption</t>
        </is>
      </c>
      <c r="D17" s="5" t="inlineStr">
        <is>
          <t>Contract — Consumers</t>
        </is>
      </c>
      <c r="E17" s="5" t="inlineStr">
        <is>
          <t>Contract — Consumption</t>
        </is>
      </c>
      <c r="F17" s="5" t="inlineStr">
        <is>
          <t>Total — Consumers</t>
        </is>
      </c>
      <c r="G17" s="5" t="inlineStr">
        <is>
          <t>Total — Consumption</t>
        </is>
      </c>
    </row>
    <row r="18">
      <c r="A18" t="inlineStr">
        <is>
          <t>1935 1st</t>
        </is>
      </c>
      <c r="B18" s="9" t="n">
        <v>179</v>
      </c>
      <c r="C18" s="9" t="n">
        <v>335</v>
      </c>
      <c r="D18" s="9" t="n">
        <v>4</v>
      </c>
      <c r="E18" s="6" t="n">
        <v>1304</v>
      </c>
      <c r="F18" s="9" t="n">
        <v>183</v>
      </c>
      <c r="G18" s="6" t="n">
        <v>16390</v>
      </c>
    </row>
    <row r="19">
      <c r="A19" t="inlineStr">
        <is>
          <t>1935 2nd</t>
        </is>
      </c>
      <c r="B19" s="9" t="n">
        <v>288</v>
      </c>
      <c r="C19" s="6" t="n">
        <v>1124</v>
      </c>
      <c r="D19" s="9" t="n">
        <v>6</v>
      </c>
      <c r="E19" s="6" t="n">
        <v>39757</v>
      </c>
      <c r="F19" s="9" t="n">
        <v>294</v>
      </c>
      <c r="G19" s="6" t="n">
        <v>40881</v>
      </c>
    </row>
    <row r="20">
      <c r="A20" t="inlineStr">
        <is>
          <t>1936 1st</t>
        </is>
      </c>
      <c r="B20" s="9" t="n">
        <v>310</v>
      </c>
      <c r="C20" s="9" t="n">
        <v>744</v>
      </c>
      <c r="D20" s="9" t="n">
        <v>12</v>
      </c>
      <c r="E20" s="6" t="n">
        <v>55306</v>
      </c>
      <c r="F20" s="9" t="n">
        <v>324</v>
      </c>
      <c r="G20" s="6" t="n">
        <v>56050</v>
      </c>
    </row>
    <row r="21">
      <c r="A21" t="inlineStr">
        <is>
          <t>1936 2nd</t>
        </is>
      </c>
      <c r="B21" s="9" t="n">
        <v>339</v>
      </c>
      <c r="C21" s="6" t="n">
        <v>1562</v>
      </c>
      <c r="D21" s="9" t="n">
        <v>12</v>
      </c>
      <c r="E21" s="6" t="n">
        <v>54829</v>
      </c>
      <c r="F21" s="9" t="n">
        <v>351</v>
      </c>
      <c r="G21" s="6" t="n">
        <v>70449</v>
      </c>
    </row>
    <row r="22">
      <c r="A22" t="inlineStr">
        <is>
          <t>1937 1st</t>
        </is>
      </c>
      <c r="B22" s="9" t="n">
        <v>293</v>
      </c>
      <c r="C22" s="6" t="n">
        <v>1106</v>
      </c>
      <c r="D22" s="9" t="n">
        <v>13</v>
      </c>
      <c r="E22" s="6" t="n">
        <v>65367</v>
      </c>
      <c r="F22" s="9" t="n">
        <v>409</v>
      </c>
      <c r="G22" s="6" t="n">
        <v>66473</v>
      </c>
    </row>
    <row r="23">
      <c r="A23" t="inlineStr">
        <is>
          <t>1937 2nd</t>
        </is>
      </c>
      <c r="B23" s="9" t="n">
        <v>336</v>
      </c>
      <c r="C23" s="6" t="n">
        <v>1144</v>
      </c>
      <c r="D23" s="9" t="n">
        <v>16</v>
      </c>
      <c r="E23" s="6" t="n">
        <v>94424</v>
      </c>
      <c r="F23" s="9" t="n">
        <v>352</v>
      </c>
      <c r="G23" s="6" t="n">
        <v>95568</v>
      </c>
    </row>
    <row r="24">
      <c r="A24" t="inlineStr">
        <is>
          <t>1938 1st</t>
        </is>
      </c>
      <c r="B24" s="9" t="n">
        <v>416</v>
      </c>
      <c r="C24" s="6" t="n">
        <v>1247</v>
      </c>
      <c r="D24" s="9" t="n">
        <v>16</v>
      </c>
      <c r="E24" s="6" t="n">
        <v>100131</v>
      </c>
      <c r="F24" s="9" t="n">
        <v>432</v>
      </c>
      <c r="G24" s="6" t="n">
        <v>101378</v>
      </c>
    </row>
    <row r="26">
      <c r="A26" s="2" t="inlineStr">
        <is>
          <t>Machinery Industry</t>
        </is>
      </c>
    </row>
    <row r="27">
      <c r="A27" s="5" t="inlineStr">
        <is>
          <t>Period</t>
        </is>
      </c>
      <c r="B27" s="5" t="inlineStr">
        <is>
          <t>Ordinary — Consumers</t>
        </is>
      </c>
      <c r="C27" s="5" t="inlineStr">
        <is>
          <t>Ordinary — Consumption</t>
        </is>
      </c>
      <c r="D27" s="5" t="inlineStr">
        <is>
          <t>Contract — Consumers</t>
        </is>
      </c>
      <c r="E27" s="5" t="inlineStr">
        <is>
          <t>Contract — Consumption</t>
        </is>
      </c>
      <c r="F27" s="5" t="inlineStr">
        <is>
          <t>Total — Consumers</t>
        </is>
      </c>
      <c r="G27" s="5" t="inlineStr">
        <is>
          <t>Total — Consumption</t>
        </is>
      </c>
    </row>
    <row r="28">
      <c r="A28" t="inlineStr">
        <is>
          <t>1935 1st</t>
        </is>
      </c>
      <c r="B28" s="9" t="n">
        <v>485</v>
      </c>
      <c r="C28" s="6" t="n">
        <v>1276</v>
      </c>
      <c r="D28" s="9" t="n">
        <v>7</v>
      </c>
      <c r="E28" s="6" t="n">
        <v>8323</v>
      </c>
      <c r="F28" s="9" t="n">
        <v>492</v>
      </c>
      <c r="G28" s="6" t="n">
        <v>9599</v>
      </c>
    </row>
    <row r="29">
      <c r="A29" t="inlineStr">
        <is>
          <t>1935 2nd</t>
        </is>
      </c>
      <c r="B29" s="9" t="n">
        <v>625</v>
      </c>
      <c r="C29" s="6" t="n">
        <v>2625</v>
      </c>
      <c r="D29" s="9" t="n">
        <v>10</v>
      </c>
      <c r="E29" s="6" t="n">
        <v>10597</v>
      </c>
      <c r="F29" s="9" t="n">
        <v>635</v>
      </c>
      <c r="G29" s="6" t="n">
        <v>13222</v>
      </c>
    </row>
    <row r="30">
      <c r="A30" t="inlineStr">
        <is>
          <t>1936 1st</t>
        </is>
      </c>
      <c r="B30" s="9" t="n">
        <v>660</v>
      </c>
      <c r="C30" s="6" t="n">
        <v>1825</v>
      </c>
      <c r="D30" s="9" t="n">
        <v>12</v>
      </c>
      <c r="E30" s="6" t="n">
        <v>17761</v>
      </c>
      <c r="F30" s="9" t="n">
        <v>672</v>
      </c>
      <c r="G30" s="6" t="n">
        <v>19586</v>
      </c>
    </row>
    <row r="31">
      <c r="A31" t="inlineStr">
        <is>
          <t>1936 2nd</t>
        </is>
      </c>
      <c r="B31" s="9" t="n">
        <v>684</v>
      </c>
      <c r="C31" s="6" t="n">
        <v>2446</v>
      </c>
      <c r="D31" s="9" t="n">
        <v>12</v>
      </c>
      <c r="E31" s="6" t="n">
        <v>11506</v>
      </c>
      <c r="F31" s="9" t="n">
        <v>696</v>
      </c>
      <c r="G31" s="6" t="n">
        <v>13952</v>
      </c>
    </row>
    <row r="32">
      <c r="A32" t="inlineStr">
        <is>
          <t>1937 1st</t>
        </is>
      </c>
      <c r="B32" s="9" t="n">
        <v>749</v>
      </c>
      <c r="C32" s="6" t="n">
        <v>2073</v>
      </c>
      <c r="D32" s="9" t="n">
        <v>17</v>
      </c>
      <c r="E32" s="6" t="n">
        <v>12430</v>
      </c>
      <c r="F32" s="9" t="n">
        <v>766</v>
      </c>
      <c r="G32" s="6" t="n">
        <v>14503</v>
      </c>
    </row>
    <row r="33">
      <c r="A33" t="inlineStr">
        <is>
          <t>1937 2nd</t>
        </is>
      </c>
      <c r="B33" s="9" t="n">
        <v>762</v>
      </c>
      <c r="C33" s="6" t="n">
        <v>2784</v>
      </c>
      <c r="D33" s="9" t="n">
        <v>16</v>
      </c>
      <c r="E33" s="6" t="n">
        <v>15686</v>
      </c>
      <c r="F33" s="9" t="n">
        <v>778</v>
      </c>
      <c r="G33" s="6" t="n">
        <v>18470</v>
      </c>
    </row>
    <row r="34">
      <c r="A34" t="inlineStr">
        <is>
          <t>1938 1st</t>
        </is>
      </c>
      <c r="B34" s="9" t="n">
        <v>854</v>
      </c>
      <c r="C34" s="6" t="n">
        <v>3268</v>
      </c>
      <c r="D34" s="9" t="n">
        <v>16</v>
      </c>
      <c r="E34" s="6" t="n">
        <v>20326</v>
      </c>
      <c r="F34" s="9" t="n">
        <v>870</v>
      </c>
      <c r="G34" s="6" t="n">
        <v>23594</v>
      </c>
    </row>
    <row r="36">
      <c r="A36" s="2" t="inlineStr">
        <is>
          <t>Ceramic Industry</t>
        </is>
      </c>
    </row>
    <row r="37">
      <c r="A37" s="5" t="inlineStr">
        <is>
          <t>Period</t>
        </is>
      </c>
      <c r="B37" s="5" t="inlineStr">
        <is>
          <t>Ordinary — Consumers</t>
        </is>
      </c>
      <c r="C37" s="5" t="inlineStr">
        <is>
          <t>Ordinary — Consumption</t>
        </is>
      </c>
      <c r="D37" s="5" t="inlineStr">
        <is>
          <t>Contract — Consumers</t>
        </is>
      </c>
      <c r="E37" s="5" t="inlineStr">
        <is>
          <t>Contract — Consumption</t>
        </is>
      </c>
      <c r="F37" s="5" t="inlineStr">
        <is>
          <t>Total — Consumers</t>
        </is>
      </c>
      <c r="G37" s="5" t="inlineStr">
        <is>
          <t>Total — Consumption</t>
        </is>
      </c>
    </row>
    <row r="38">
      <c r="A38" t="inlineStr">
        <is>
          <t>1935 1st</t>
        </is>
      </c>
      <c r="B38" s="9" t="n">
        <v>58</v>
      </c>
      <c r="C38" s="9" t="n">
        <v>728</v>
      </c>
      <c r="D38" s="9" t="n">
        <v>6</v>
      </c>
      <c r="E38" s="6" t="n">
        <v>6187</v>
      </c>
      <c r="F38" s="9" t="n">
        <v>64</v>
      </c>
      <c r="G38" s="6" t="n">
        <v>6915</v>
      </c>
    </row>
    <row r="39">
      <c r="A39" t="inlineStr">
        <is>
          <t>1935 2nd</t>
        </is>
      </c>
      <c r="B39" s="9" t="n">
        <v>44</v>
      </c>
      <c r="C39" s="6" t="n">
        <v>1341</v>
      </c>
      <c r="D39" s="9" t="n">
        <v>6</v>
      </c>
      <c r="E39" s="6" t="n">
        <v>4646</v>
      </c>
      <c r="F39" s="9" t="n">
        <v>50</v>
      </c>
      <c r="G39" s="6" t="n">
        <v>5987</v>
      </c>
    </row>
    <row r="40">
      <c r="A40" t="inlineStr">
        <is>
          <t>1936 1st</t>
        </is>
      </c>
      <c r="B40" s="9" t="n">
        <v>62</v>
      </c>
      <c r="C40" s="9" t="n">
        <v>687</v>
      </c>
      <c r="D40" s="9" t="n">
        <v>8</v>
      </c>
      <c r="E40" s="6" t="n">
        <v>9392</v>
      </c>
      <c r="F40" s="9" t="n">
        <v>70</v>
      </c>
      <c r="G40" s="6" t="n">
        <v>10079</v>
      </c>
    </row>
    <row r="41">
      <c r="A41" t="inlineStr">
        <is>
          <t>1936 2nd</t>
        </is>
      </c>
      <c r="B41" s="9" t="n">
        <v>46</v>
      </c>
      <c r="C41" s="6" t="n">
        <v>1170</v>
      </c>
      <c r="D41" s="9" t="n">
        <v>8</v>
      </c>
      <c r="E41" s="6" t="n">
        <v>8857</v>
      </c>
      <c r="F41" s="9" t="n">
        <v>54</v>
      </c>
      <c r="G41" s="6" t="n">
        <v>10027</v>
      </c>
    </row>
    <row r="42">
      <c r="A42" t="inlineStr">
        <is>
          <t>1937 1st</t>
        </is>
      </c>
      <c r="B42" s="9" t="n">
        <v>68</v>
      </c>
      <c r="C42" s="6" t="n">
        <v>1115</v>
      </c>
      <c r="D42" s="9" t="n">
        <v>9</v>
      </c>
      <c r="E42" s="6" t="n">
        <v>9851</v>
      </c>
      <c r="F42" s="9" t="n">
        <v>77</v>
      </c>
      <c r="G42" s="6" t="n">
        <v>10966</v>
      </c>
    </row>
    <row r="43">
      <c r="A43" t="inlineStr">
        <is>
          <t>1937 2nd</t>
        </is>
      </c>
      <c r="B43" s="9" t="n">
        <v>58</v>
      </c>
      <c r="C43" s="6" t="n">
        <v>1735</v>
      </c>
      <c r="D43" s="9" t="n">
        <v>10</v>
      </c>
      <c r="E43" s="6" t="n">
        <v>11524</v>
      </c>
      <c r="F43" s="9" t="n">
        <v>68</v>
      </c>
      <c r="G43" s="6" t="n">
        <v>13259</v>
      </c>
    </row>
    <row r="44">
      <c r="A44" t="inlineStr">
        <is>
          <t>1938 1st</t>
        </is>
      </c>
      <c r="B44" s="9" t="n">
        <v>126</v>
      </c>
      <c r="C44" s="6" t="n">
        <v>1672</v>
      </c>
      <c r="D44" s="9" t="n">
        <v>9</v>
      </c>
      <c r="E44" s="6" t="n">
        <v>10526</v>
      </c>
      <c r="F44" s="9" t="n">
        <v>135</v>
      </c>
      <c r="G44" s="6" t="n">
        <v>12198</v>
      </c>
    </row>
    <row r="46">
      <c r="A46" s="2" t="inlineStr">
        <is>
          <t>Chemical Industry</t>
        </is>
      </c>
    </row>
    <row r="47">
      <c r="A47" s="5" t="inlineStr">
        <is>
          <t>Period</t>
        </is>
      </c>
      <c r="B47" s="5" t="inlineStr">
        <is>
          <t>Ordinary — Consumers</t>
        </is>
      </c>
      <c r="C47" s="5" t="inlineStr">
        <is>
          <t>Ordinary — Consumption</t>
        </is>
      </c>
      <c r="D47" s="5" t="inlineStr">
        <is>
          <t>Contract — Consumers</t>
        </is>
      </c>
      <c r="E47" s="5" t="inlineStr">
        <is>
          <t>Contract — Consumption</t>
        </is>
      </c>
      <c r="F47" s="5" t="inlineStr">
        <is>
          <t>Total — Consumers</t>
        </is>
      </c>
      <c r="G47" s="5" t="inlineStr">
        <is>
          <t>Total — Consumption</t>
        </is>
      </c>
    </row>
    <row r="48">
      <c r="A48" t="inlineStr">
        <is>
          <t>1935 1st</t>
        </is>
      </c>
      <c r="B48" s="9" t="n">
        <v>257</v>
      </c>
      <c r="C48" s="6" t="n">
        <v>1031</v>
      </c>
      <c r="D48" s="9" t="n">
        <v>13</v>
      </c>
      <c r="E48" s="6" t="n">
        <v>27133</v>
      </c>
      <c r="F48" s="9" t="n">
        <v>270</v>
      </c>
      <c r="G48" s="6" t="n">
        <v>28164</v>
      </c>
    </row>
    <row r="49">
      <c r="A49" t="inlineStr">
        <is>
          <t>1935 2nd</t>
        </is>
      </c>
      <c r="B49" s="9" t="n">
        <v>204</v>
      </c>
      <c r="C49" s="9" t="n">
        <v>971</v>
      </c>
      <c r="D49" s="9" t="n">
        <v>11</v>
      </c>
      <c r="E49" s="6" t="n">
        <v>64089</v>
      </c>
      <c r="F49" s="9" t="n">
        <v>215</v>
      </c>
      <c r="G49" s="6" t="n">
        <v>65060</v>
      </c>
    </row>
    <row r="50">
      <c r="A50" t="inlineStr">
        <is>
          <t>1936 1st</t>
        </is>
      </c>
      <c r="B50" s="9" t="n">
        <v>210</v>
      </c>
      <c r="C50" s="6" t="n">
        <v>1442</v>
      </c>
      <c r="D50" s="9" t="n">
        <v>12</v>
      </c>
      <c r="E50" s="6" t="n">
        <v>72817</v>
      </c>
      <c r="F50" s="9" t="n">
        <v>222</v>
      </c>
      <c r="G50" s="6" t="n">
        <v>74259</v>
      </c>
    </row>
    <row r="51">
      <c r="A51" t="inlineStr">
        <is>
          <t>1936 2nd</t>
        </is>
      </c>
      <c r="B51" s="9" t="n">
        <v>210</v>
      </c>
      <c r="C51" s="6" t="n">
        <v>1375</v>
      </c>
      <c r="D51" s="9" t="n">
        <v>12</v>
      </c>
      <c r="E51" s="6" t="n">
        <v>76539</v>
      </c>
      <c r="F51" s="9" t="n">
        <v>222</v>
      </c>
      <c r="G51" s="6" t="n">
        <v>77914</v>
      </c>
    </row>
    <row r="52">
      <c r="A52" t="inlineStr">
        <is>
          <t>1937 1st</t>
        </is>
      </c>
      <c r="B52" s="9" t="n">
        <v>199</v>
      </c>
      <c r="C52" s="6" t="n">
        <v>1708</v>
      </c>
      <c r="D52" s="9" t="n">
        <v>16</v>
      </c>
      <c r="E52" s="6" t="n">
        <v>80898</v>
      </c>
      <c r="F52" s="9" t="n">
        <v>215</v>
      </c>
      <c r="G52" s="6" t="n">
        <v>82606</v>
      </c>
    </row>
    <row r="53">
      <c r="A53" t="inlineStr">
        <is>
          <t>1937 2nd</t>
        </is>
      </c>
      <c r="B53" s="9" t="n">
        <v>213</v>
      </c>
      <c r="C53" s="6" t="n">
        <v>1967</v>
      </c>
      <c r="D53" s="9" t="n">
        <v>16</v>
      </c>
      <c r="E53" s="6" t="n">
        <v>80671</v>
      </c>
      <c r="F53" s="9" t="n">
        <v>229</v>
      </c>
      <c r="G53" s="6" t="n">
        <v>82638</v>
      </c>
    </row>
    <row r="54">
      <c r="A54" t="inlineStr">
        <is>
          <t>1938 1st</t>
        </is>
      </c>
      <c r="B54" s="9" t="n">
        <v>236</v>
      </c>
      <c r="C54" s="6" t="n">
        <v>2602</v>
      </c>
      <c r="D54" s="9" t="n">
        <v>25</v>
      </c>
      <c r="E54" s="6" t="n">
        <v>117056</v>
      </c>
      <c r="F54" s="9" t="n">
        <v>261</v>
      </c>
      <c r="G54" s="6" t="n">
        <v>119658</v>
      </c>
    </row>
    <row r="56">
      <c r="A56" s="2" t="inlineStr">
        <is>
          <t>Bean-oil Industry</t>
        </is>
      </c>
    </row>
    <row r="57">
      <c r="A57" s="5" t="inlineStr">
        <is>
          <t>Period</t>
        </is>
      </c>
      <c r="B57" s="5" t="inlineStr">
        <is>
          <t>Ordinary — Consumers</t>
        </is>
      </c>
      <c r="C57" s="5" t="inlineStr">
        <is>
          <t>Ordinary — Consumption</t>
        </is>
      </c>
      <c r="D57" s="5" t="inlineStr">
        <is>
          <t>Contract — Consumers</t>
        </is>
      </c>
      <c r="E57" s="5" t="inlineStr">
        <is>
          <t>Contract — Consumption</t>
        </is>
      </c>
      <c r="F57" s="5" t="inlineStr">
        <is>
          <t>Total — Consumers</t>
        </is>
      </c>
      <c r="G57" s="5" t="inlineStr">
        <is>
          <t>Total — Consumption</t>
        </is>
      </c>
    </row>
    <row r="58">
      <c r="A58" t="inlineStr">
        <is>
          <t>1935 1st</t>
        </is>
      </c>
      <c r="B58" t="inlineStr">
        <is>
          <t>—</t>
        </is>
      </c>
      <c r="C58" t="inlineStr">
        <is>
          <t>—</t>
        </is>
      </c>
      <c r="D58" t="inlineStr">
        <is>
          <t>—</t>
        </is>
      </c>
      <c r="E58" t="inlineStr">
        <is>
          <t>—</t>
        </is>
      </c>
      <c r="F58" t="inlineStr">
        <is>
          <t>—</t>
        </is>
      </c>
      <c r="G58" t="inlineStr">
        <is>
          <t>—</t>
        </is>
      </c>
    </row>
    <row r="59">
      <c r="A59" t="inlineStr">
        <is>
          <t>1935 2nd</t>
        </is>
      </c>
      <c r="B59" s="9" t="n">
        <v>84</v>
      </c>
      <c r="C59" s="9" t="n">
        <v>282</v>
      </c>
      <c r="D59" s="9" t="n">
        <v>5</v>
      </c>
      <c r="E59" s="6" t="n">
        <v>2374</v>
      </c>
      <c r="F59" s="9" t="n">
        <v>89</v>
      </c>
      <c r="G59" s="6" t="n">
        <v>2656</v>
      </c>
    </row>
    <row r="60">
      <c r="A60" t="inlineStr">
        <is>
          <t>1936 1st</t>
        </is>
      </c>
      <c r="B60" s="9" t="n">
        <v>103</v>
      </c>
      <c r="C60" s="9" t="n">
        <v>400</v>
      </c>
      <c r="D60" s="9" t="n">
        <v>5</v>
      </c>
      <c r="E60" s="6" t="n">
        <v>4240</v>
      </c>
      <c r="F60" s="9" t="n">
        <v>108</v>
      </c>
      <c r="G60" s="6" t="n">
        <v>4640</v>
      </c>
    </row>
    <row r="61">
      <c r="A61" t="inlineStr">
        <is>
          <t>1936 2nd</t>
        </is>
      </c>
      <c r="B61" s="9" t="n">
        <v>140</v>
      </c>
      <c r="C61" s="9" t="n">
        <v>401</v>
      </c>
      <c r="D61" s="9" t="n">
        <v>5</v>
      </c>
      <c r="E61" s="6" t="n">
        <v>2101</v>
      </c>
      <c r="F61" s="9" t="n">
        <v>145</v>
      </c>
      <c r="G61" s="6" t="n">
        <v>2502</v>
      </c>
    </row>
    <row r="62">
      <c r="A62" t="inlineStr">
        <is>
          <t>1937 1st</t>
        </is>
      </c>
      <c r="B62" s="9" t="n">
        <v>135</v>
      </c>
      <c r="C62" s="9" t="n">
        <v>610</v>
      </c>
      <c r="D62" s="9" t="n">
        <v>5</v>
      </c>
      <c r="E62" s="6" t="n">
        <v>4356</v>
      </c>
      <c r="F62" s="9" t="n">
        <v>140</v>
      </c>
      <c r="G62" s="6" t="n">
        <v>4966</v>
      </c>
    </row>
    <row r="63">
      <c r="A63" t="inlineStr">
        <is>
          <t>1937 2nd</t>
        </is>
      </c>
      <c r="B63" s="9" t="n">
        <v>162</v>
      </c>
      <c r="C63" s="9" t="n">
        <v>496</v>
      </c>
      <c r="D63" s="9" t="n">
        <v>5</v>
      </c>
      <c r="E63" s="6" t="n">
        <v>1650</v>
      </c>
      <c r="F63" s="9" t="n">
        <v>167</v>
      </c>
      <c r="G63" s="6" t="n">
        <v>2146</v>
      </c>
    </row>
    <row r="64">
      <c r="A64" t="inlineStr">
        <is>
          <t>1938 1st</t>
        </is>
      </c>
      <c r="B64" s="9" t="n">
        <v>163</v>
      </c>
      <c r="C64" s="6" t="n">
        <v>1379</v>
      </c>
      <c r="D64" s="9" t="n">
        <v>5</v>
      </c>
      <c r="E64" s="6" t="n">
        <v>4064</v>
      </c>
      <c r="F64" s="9" t="n">
        <v>168</v>
      </c>
      <c r="G64" s="6" t="n">
        <v>5443</v>
      </c>
    </row>
    <row r="66">
      <c r="A66" s="2" t="inlineStr">
        <is>
          <t>Lumbering &amp; Wood-working Industry</t>
        </is>
      </c>
    </row>
    <row r="67">
      <c r="A67" s="5" t="inlineStr">
        <is>
          <t>Period</t>
        </is>
      </c>
      <c r="B67" s="5" t="inlineStr">
        <is>
          <t>Ordinary — Consumers</t>
        </is>
      </c>
      <c r="C67" s="5" t="inlineStr">
        <is>
          <t>Ordinary — Consumption</t>
        </is>
      </c>
      <c r="D67" s="5" t="inlineStr">
        <is>
          <t>Contract — Consumers</t>
        </is>
      </c>
      <c r="E67" s="5" t="inlineStr">
        <is>
          <t>Contract — Consumption</t>
        </is>
      </c>
      <c r="F67" s="5" t="inlineStr">
        <is>
          <t>Total — Consumers</t>
        </is>
      </c>
      <c r="G67" s="5" t="inlineStr">
        <is>
          <t>Total — Consumption</t>
        </is>
      </c>
    </row>
    <row r="68">
      <c r="A68" t="inlineStr">
        <is>
          <t>1935 1st</t>
        </is>
      </c>
      <c r="B68" t="inlineStr">
        <is>
          <t>—</t>
        </is>
      </c>
      <c r="C68" t="inlineStr">
        <is>
          <t>—</t>
        </is>
      </c>
      <c r="D68" t="inlineStr">
        <is>
          <t>—</t>
        </is>
      </c>
      <c r="E68" t="inlineStr">
        <is>
          <t>—</t>
        </is>
      </c>
      <c r="F68" t="inlineStr">
        <is>
          <t>—</t>
        </is>
      </c>
      <c r="G68" t="inlineStr">
        <is>
          <t>—</t>
        </is>
      </c>
    </row>
    <row r="69">
      <c r="A69" t="inlineStr">
        <is>
          <t>1935 2nd</t>
        </is>
      </c>
      <c r="B69" s="9" t="n">
        <v>201</v>
      </c>
      <c r="C69" s="6" t="n">
        <v>2674</v>
      </c>
      <c r="D69" s="9" t="n">
        <v>1</v>
      </c>
      <c r="E69" s="9" t="n">
        <v>76</v>
      </c>
      <c r="F69" s="9" t="n">
        <v>202</v>
      </c>
      <c r="G69" s="6" t="n">
        <v>2876</v>
      </c>
    </row>
    <row r="70">
      <c r="A70" t="inlineStr">
        <is>
          <t>1936 1st</t>
        </is>
      </c>
      <c r="B70" s="9" t="n">
        <v>229</v>
      </c>
      <c r="C70" s="6" t="n">
        <v>2174</v>
      </c>
      <c r="D70" s="9" t="n">
        <v>2</v>
      </c>
      <c r="E70" s="9" t="n">
        <v>218</v>
      </c>
      <c r="F70" s="9" t="n">
        <v>231</v>
      </c>
      <c r="G70" s="6" t="n">
        <v>2392</v>
      </c>
    </row>
    <row r="71">
      <c r="A71" t="inlineStr">
        <is>
          <t>1936 2nd</t>
        </is>
      </c>
      <c r="B71" s="9" t="n">
        <v>210</v>
      </c>
      <c r="C71" s="6" t="n">
        <v>3033</v>
      </c>
      <c r="D71" s="9" t="n">
        <v>2</v>
      </c>
      <c r="E71" s="9" t="n">
        <v>367</v>
      </c>
      <c r="F71" s="9" t="n">
        <v>212</v>
      </c>
      <c r="G71" s="6" t="n">
        <v>3400</v>
      </c>
    </row>
    <row r="72">
      <c r="A72" t="inlineStr">
        <is>
          <t>1937 1st</t>
        </is>
      </c>
      <c r="B72" s="9" t="n">
        <v>259</v>
      </c>
      <c r="C72" s="6" t="n">
        <v>2467</v>
      </c>
      <c r="D72" s="9" t="n">
        <v>1</v>
      </c>
      <c r="E72" s="9" t="n">
        <v>544</v>
      </c>
      <c r="F72" s="9" t="n">
        <v>260</v>
      </c>
      <c r="G72" s="6" t="n">
        <v>3011</v>
      </c>
    </row>
    <row r="73">
      <c r="A73" t="inlineStr">
        <is>
          <t>1937 2nd</t>
        </is>
      </c>
      <c r="B73" s="9" t="n">
        <v>273</v>
      </c>
      <c r="C73" s="6" t="n">
        <v>3662</v>
      </c>
      <c r="D73" s="9" t="n">
        <v>5</v>
      </c>
      <c r="E73" s="9" t="n">
        <v>713</v>
      </c>
      <c r="F73" s="9" t="n">
        <v>278</v>
      </c>
      <c r="G73" s="6" t="n">
        <v>4375</v>
      </c>
    </row>
    <row r="74">
      <c r="A74" t="inlineStr">
        <is>
          <t>1938 1st</t>
        </is>
      </c>
      <c r="B74" s="9" t="n">
        <v>303</v>
      </c>
      <c r="C74" s="6" t="n">
        <v>3022</v>
      </c>
      <c r="D74" s="9" t="n">
        <v>5</v>
      </c>
      <c r="E74" s="9" t="n">
        <v>786</v>
      </c>
      <c r="F74" s="9" t="n">
        <v>308</v>
      </c>
      <c r="G74" s="6" t="n">
        <v>3808</v>
      </c>
    </row>
    <row r="76">
      <c r="A76" s="2" t="inlineStr">
        <is>
          <t>Provision Industry</t>
        </is>
      </c>
    </row>
    <row r="77">
      <c r="A77" s="5" t="inlineStr">
        <is>
          <t>Period</t>
        </is>
      </c>
      <c r="B77" s="5" t="inlineStr">
        <is>
          <t>Ordinary — Consumers</t>
        </is>
      </c>
      <c r="C77" s="5" t="inlineStr">
        <is>
          <t>Ordinary — Consumption</t>
        </is>
      </c>
      <c r="D77" s="5" t="inlineStr">
        <is>
          <t>Contract — Consumers</t>
        </is>
      </c>
      <c r="E77" s="5" t="inlineStr">
        <is>
          <t>Contract — Consumption</t>
        </is>
      </c>
      <c r="F77" s="5" t="inlineStr">
        <is>
          <t>Total — Consumers</t>
        </is>
      </c>
      <c r="G77" s="5" t="inlineStr">
        <is>
          <t>Total — Consumption</t>
        </is>
      </c>
    </row>
    <row r="78">
      <c r="A78" t="inlineStr">
        <is>
          <t>1935 1st</t>
        </is>
      </c>
      <c r="B78" s="6" t="n">
        <v>1183</v>
      </c>
      <c r="C78" s="6" t="n">
        <v>2638</v>
      </c>
      <c r="D78" s="9" t="n">
        <v>6</v>
      </c>
      <c r="E78" s="6" t="n">
        <v>1737</v>
      </c>
      <c r="F78" s="6" t="n">
        <v>1189</v>
      </c>
      <c r="G78" s="6" t="n">
        <v>4375</v>
      </c>
    </row>
    <row r="79">
      <c r="A79" t="inlineStr">
        <is>
          <t>1935 2nd</t>
        </is>
      </c>
      <c r="B79" s="6" t="n">
        <v>1573</v>
      </c>
      <c r="C79" s="6" t="n">
        <v>5476</v>
      </c>
      <c r="D79" s="9" t="n">
        <v>8</v>
      </c>
      <c r="E79" s="6" t="n">
        <v>3308</v>
      </c>
      <c r="F79" s="6" t="n">
        <v>1581</v>
      </c>
      <c r="G79" s="6" t="n">
        <v>8784</v>
      </c>
    </row>
    <row r="80">
      <c r="A80" t="inlineStr">
        <is>
          <t>1936 1st</t>
        </is>
      </c>
      <c r="B80" s="6" t="n">
        <v>1612</v>
      </c>
      <c r="C80" s="6" t="n">
        <v>6451</v>
      </c>
      <c r="D80" s="9" t="n">
        <v>11</v>
      </c>
      <c r="E80" s="6" t="n">
        <v>4538</v>
      </c>
      <c r="F80" s="6" t="n">
        <v>1623</v>
      </c>
      <c r="G80" s="6" t="n">
        <v>10589</v>
      </c>
    </row>
    <row r="81">
      <c r="A81" t="inlineStr">
        <is>
          <t>1936 2nd</t>
        </is>
      </c>
      <c r="B81" s="6" t="n">
        <v>1828</v>
      </c>
      <c r="C81" s="6" t="n">
        <v>8334</v>
      </c>
      <c r="D81" s="9" t="n">
        <v>16</v>
      </c>
      <c r="E81" s="6" t="n">
        <v>8021</v>
      </c>
      <c r="F81" s="6" t="n">
        <v>1844</v>
      </c>
      <c r="G81" s="6" t="n">
        <v>16355</v>
      </c>
    </row>
    <row r="82">
      <c r="A82" t="inlineStr">
        <is>
          <t>1937 1st</t>
        </is>
      </c>
      <c r="B82" s="6" t="n">
        <v>1928</v>
      </c>
      <c r="C82" s="6" t="n">
        <v>10040</v>
      </c>
      <c r="D82" s="9" t="n">
        <v>23</v>
      </c>
      <c r="E82" s="6" t="n">
        <v>9177</v>
      </c>
      <c r="F82" s="6" t="n">
        <v>1951</v>
      </c>
      <c r="G82" s="6" t="n">
        <v>19217</v>
      </c>
    </row>
    <row r="83">
      <c r="A83" t="inlineStr">
        <is>
          <t>1937 2nd</t>
        </is>
      </c>
      <c r="B83" s="6" t="n">
        <v>2093</v>
      </c>
      <c r="C83" s="6" t="n">
        <v>8260</v>
      </c>
      <c r="D83" s="9" t="n">
        <v>40</v>
      </c>
      <c r="E83" s="6" t="n">
        <v>15256</v>
      </c>
      <c r="F83" s="6" t="n">
        <v>2133</v>
      </c>
      <c r="G83" s="6" t="n">
        <v>23516</v>
      </c>
    </row>
    <row r="84">
      <c r="A84" t="inlineStr">
        <is>
          <t>1938 1st</t>
        </is>
      </c>
      <c r="B84" s="6" t="n">
        <v>2530</v>
      </c>
      <c r="C84" s="6" t="n">
        <v>9241</v>
      </c>
      <c r="D84" s="9" t="n">
        <v>47</v>
      </c>
      <c r="E84" s="6" t="n">
        <v>15945</v>
      </c>
      <c r="F84" s="6" t="n">
        <v>2577</v>
      </c>
      <c r="G84" s="6" t="n">
        <v>25186</v>
      </c>
    </row>
    <row r="86">
      <c r="A86" s="2" t="inlineStr">
        <is>
          <t>Mining Industry</t>
        </is>
      </c>
    </row>
    <row r="87">
      <c r="A87" s="5" t="inlineStr">
        <is>
          <t>Period</t>
        </is>
      </c>
      <c r="B87" s="5" t="inlineStr">
        <is>
          <t>Ordinary — Consumers</t>
        </is>
      </c>
      <c r="C87" s="5" t="inlineStr">
        <is>
          <t>Ordinary — Consumption</t>
        </is>
      </c>
      <c r="D87" s="5" t="inlineStr">
        <is>
          <t>Contract — Consumers</t>
        </is>
      </c>
      <c r="E87" s="5" t="inlineStr">
        <is>
          <t>Contract — Consumption</t>
        </is>
      </c>
      <c r="F87" s="5" t="inlineStr">
        <is>
          <t>Total — Consumers</t>
        </is>
      </c>
      <c r="G87" s="5" t="inlineStr">
        <is>
          <t>Total — Consumption</t>
        </is>
      </c>
    </row>
    <row r="88">
      <c r="A88" t="inlineStr">
        <is>
          <t>1935 1st</t>
        </is>
      </c>
      <c r="B88" s="9" t="n">
        <v>12</v>
      </c>
      <c r="C88" s="9" t="n">
        <v>19</v>
      </c>
      <c r="D88" s="9" t="n">
        <v>2</v>
      </c>
      <c r="E88" s="9" t="n">
        <v>673</v>
      </c>
      <c r="F88" s="9" t="n">
        <v>14</v>
      </c>
      <c r="G88" s="9" t="n">
        <v>692</v>
      </c>
    </row>
    <row r="89">
      <c r="A89" t="inlineStr">
        <is>
          <t>1935 2nd</t>
        </is>
      </c>
      <c r="B89" s="9" t="n">
        <v>36</v>
      </c>
      <c r="C89" s="9" t="n">
        <v>176</v>
      </c>
      <c r="D89" s="9" t="n">
        <v>4</v>
      </c>
      <c r="E89" s="6" t="n">
        <v>3388</v>
      </c>
      <c r="F89" s="9" t="n">
        <v>40</v>
      </c>
      <c r="G89" s="6" t="n">
        <v>3564</v>
      </c>
    </row>
    <row r="90">
      <c r="A90" t="inlineStr">
        <is>
          <t>1936 1st</t>
        </is>
      </c>
      <c r="B90" s="9" t="n">
        <v>40</v>
      </c>
      <c r="C90" s="9" t="n">
        <v>195</v>
      </c>
      <c r="D90" s="9" t="n">
        <v>6</v>
      </c>
      <c r="E90" s="6" t="n">
        <v>3900</v>
      </c>
      <c r="F90" s="9" t="n">
        <v>46</v>
      </c>
      <c r="G90" s="6" t="n">
        <v>4095</v>
      </c>
    </row>
    <row r="91">
      <c r="A91" t="inlineStr">
        <is>
          <t>1936 2nd</t>
        </is>
      </c>
      <c r="B91" s="9" t="n">
        <v>44</v>
      </c>
      <c r="C91" s="9" t="n">
        <v>101</v>
      </c>
      <c r="D91" s="9" t="n">
        <v>7</v>
      </c>
      <c r="E91" s="6" t="n">
        <v>4965</v>
      </c>
      <c r="F91" s="9" t="n">
        <v>51</v>
      </c>
      <c r="G91" s="6" t="n">
        <v>5066</v>
      </c>
    </row>
    <row r="92">
      <c r="A92" t="inlineStr">
        <is>
          <t>1937 1st</t>
        </is>
      </c>
      <c r="B92" s="9" t="n">
        <v>19</v>
      </c>
      <c r="C92" s="9" t="n">
        <v>268</v>
      </c>
      <c r="D92" s="9" t="n">
        <v>12</v>
      </c>
      <c r="E92" s="6" t="n">
        <v>6511</v>
      </c>
      <c r="F92" s="9" t="n">
        <v>31</v>
      </c>
      <c r="G92" s="6" t="n">
        <v>6779</v>
      </c>
    </row>
    <row r="93">
      <c r="A93" t="inlineStr">
        <is>
          <t>1937 2nd</t>
        </is>
      </c>
      <c r="B93" s="9" t="n">
        <v>17</v>
      </c>
      <c r="C93" s="9" t="n">
        <v>300</v>
      </c>
      <c r="D93" s="9" t="n">
        <v>15</v>
      </c>
      <c r="E93" s="6" t="n">
        <v>11823</v>
      </c>
      <c r="F93" s="9" t="n">
        <v>32</v>
      </c>
      <c r="G93" s="6" t="n">
        <v>12123</v>
      </c>
    </row>
    <row r="94">
      <c r="A94" t="inlineStr">
        <is>
          <t>1938 1st</t>
        </is>
      </c>
      <c r="B94" s="9" t="n">
        <v>17</v>
      </c>
      <c r="C94" s="9" t="n">
        <v>156</v>
      </c>
      <c r="D94" s="9" t="n">
        <v>16</v>
      </c>
      <c r="E94" s="6" t="n">
        <v>15115</v>
      </c>
      <c r="F94" s="9" t="n">
        <v>33</v>
      </c>
      <c r="G94" s="6" t="n">
        <v>15271</v>
      </c>
    </row>
    <row r="96">
      <c r="A96" s="2" t="inlineStr">
        <is>
          <t>Agricultural &amp; Aquatic Ind.</t>
        </is>
      </c>
    </row>
    <row r="97">
      <c r="A97" s="5" t="inlineStr">
        <is>
          <t>Period</t>
        </is>
      </c>
      <c r="B97" s="5" t="inlineStr">
        <is>
          <t>Ordinary — Consumers</t>
        </is>
      </c>
      <c r="C97" s="5" t="inlineStr">
        <is>
          <t>Ordinary — Consumption</t>
        </is>
      </c>
      <c r="D97" s="5" t="inlineStr">
        <is>
          <t>Contract — Consumers</t>
        </is>
      </c>
      <c r="E97" s="5" t="inlineStr">
        <is>
          <t>Contract — Consumption</t>
        </is>
      </c>
      <c r="F97" s="5" t="inlineStr">
        <is>
          <t>Total — Consumers</t>
        </is>
      </c>
      <c r="G97" s="5" t="inlineStr">
        <is>
          <t>Total — Consumption</t>
        </is>
      </c>
    </row>
    <row r="98">
      <c r="A98" t="inlineStr">
        <is>
          <t>1935 1st</t>
        </is>
      </c>
      <c r="B98" s="9" t="n">
        <v>21</v>
      </c>
      <c r="C98" s="9" t="n">
        <v>23</v>
      </c>
      <c r="D98" s="9" t="n">
        <v>1</v>
      </c>
      <c r="E98" s="9" t="n">
        <v>456</v>
      </c>
      <c r="F98" s="9" t="n">
        <v>22</v>
      </c>
      <c r="G98" s="9" t="n">
        <v>479</v>
      </c>
    </row>
    <row r="99">
      <c r="A99" t="inlineStr">
        <is>
          <t>1935 2nd</t>
        </is>
      </c>
      <c r="B99" s="9" t="n">
        <v>16</v>
      </c>
      <c r="C99" s="9" t="n">
        <v>25</v>
      </c>
      <c r="D99" t="inlineStr">
        <is>
          <t>—</t>
        </is>
      </c>
      <c r="E99" s="9" t="n">
        <v>493</v>
      </c>
      <c r="F99" t="inlineStr">
        <is>
          <t>—</t>
        </is>
      </c>
      <c r="G99" s="9" t="n">
        <v>518</v>
      </c>
    </row>
    <row r="100">
      <c r="A100" t="inlineStr">
        <is>
          <t>1936 1st</t>
        </is>
      </c>
      <c r="B100" s="9" t="n">
        <v>27</v>
      </c>
      <c r="C100" s="9" t="n">
        <v>71</v>
      </c>
      <c r="D100" s="9" t="n">
        <v>1</v>
      </c>
      <c r="E100" s="9" t="n">
        <v>639</v>
      </c>
      <c r="F100" s="9" t="n">
        <v>28</v>
      </c>
      <c r="G100" s="9" t="n">
        <v>710</v>
      </c>
    </row>
    <row r="101">
      <c r="A101" t="inlineStr">
        <is>
          <t>1936 2nd</t>
        </is>
      </c>
      <c r="B101" s="9" t="n">
        <v>21</v>
      </c>
      <c r="C101" s="9" t="n">
        <v>415</v>
      </c>
      <c r="D101" t="inlineStr">
        <is>
          <t>—</t>
        </is>
      </c>
      <c r="E101" s="9" t="n">
        <v>816</v>
      </c>
      <c r="F101" t="inlineStr">
        <is>
          <t>—</t>
        </is>
      </c>
      <c r="G101" s="6" t="n">
        <v>1231</v>
      </c>
    </row>
    <row r="102">
      <c r="A102" t="inlineStr">
        <is>
          <t>1937 1st</t>
        </is>
      </c>
      <c r="B102" s="9" t="n">
        <v>64</v>
      </c>
      <c r="C102" s="9" t="n">
        <v>256</v>
      </c>
      <c r="D102" s="9" t="n">
        <v>2</v>
      </c>
      <c r="E102" s="9" t="n">
        <v>549</v>
      </c>
      <c r="F102" s="9" t="n">
        <v>66</v>
      </c>
      <c r="G102" s="9" t="n">
        <v>805</v>
      </c>
    </row>
    <row r="103">
      <c r="A103" t="inlineStr">
        <is>
          <t>1937 2nd</t>
        </is>
      </c>
      <c r="B103" s="9" t="n">
        <v>43</v>
      </c>
      <c r="C103" s="9" t="n">
        <v>489</v>
      </c>
      <c r="D103" t="inlineStr">
        <is>
          <t>—</t>
        </is>
      </c>
      <c r="E103" s="9" t="n">
        <v>674</v>
      </c>
      <c r="F103" t="inlineStr">
        <is>
          <t>—</t>
        </is>
      </c>
      <c r="G103" s="6" t="n">
        <v>1163</v>
      </c>
    </row>
    <row r="104">
      <c r="A104" t="inlineStr">
        <is>
          <t>1938 1st</t>
        </is>
      </c>
      <c r="B104" s="9" t="n">
        <v>137</v>
      </c>
      <c r="C104" s="9" t="n">
        <v>364</v>
      </c>
      <c r="D104" s="9" t="n">
        <v>2</v>
      </c>
      <c r="E104" s="9" t="n">
        <v>523</v>
      </c>
      <c r="F104" s="9" t="n">
        <v>139</v>
      </c>
      <c r="G104" s="9" t="n">
        <v>887</v>
      </c>
    </row>
    <row r="106">
      <c r="A106" s="2" t="inlineStr">
        <is>
          <t>Printing &amp; Bookbinding (Ordinary) / Electric Ind. (Contract)</t>
        </is>
      </c>
    </row>
    <row r="107">
      <c r="A107" s="5" t="inlineStr">
        <is>
          <t>Period</t>
        </is>
      </c>
      <c r="B107" s="5" t="inlineStr">
        <is>
          <t>Printing &amp; Bookbinding — Ordinary — Consumers</t>
        </is>
      </c>
      <c r="C107" s="5" t="inlineStr">
        <is>
          <t>Printing &amp; Bookbinding — Ordinary — Consumption</t>
        </is>
      </c>
      <c r="D107" s="5" t="inlineStr">
        <is>
          <t>Electric Ind. — Contract — Consumers</t>
        </is>
      </c>
      <c r="E107" s="5" t="inlineStr">
        <is>
          <t>Electric Ind. — Contract — Consumption</t>
        </is>
      </c>
      <c r="F107" s="5" t="n"/>
      <c r="G107" s="5" t="n"/>
    </row>
    <row r="108">
      <c r="A108" t="inlineStr">
        <is>
          <t>1935 1st</t>
        </is>
      </c>
      <c r="B108" t="inlineStr">
        <is>
          <t>—</t>
        </is>
      </c>
      <c r="C108" t="inlineStr">
        <is>
          <t>—</t>
        </is>
      </c>
      <c r="D108" s="9" t="n">
        <v>23</v>
      </c>
      <c r="E108" s="6" t="n">
        <v>42910</v>
      </c>
    </row>
    <row r="109">
      <c r="A109" t="inlineStr">
        <is>
          <t>1935 2nd</t>
        </is>
      </c>
      <c r="B109" s="9" t="n">
        <v>362</v>
      </c>
      <c r="C109" s="9" t="n">
        <v>572</v>
      </c>
      <c r="D109" s="9" t="n">
        <v>23</v>
      </c>
      <c r="E109" s="6" t="n">
        <v>41618</v>
      </c>
    </row>
    <row r="110">
      <c r="A110" t="inlineStr">
        <is>
          <t>1936 1st</t>
        </is>
      </c>
      <c r="B110" s="9" t="n">
        <v>374</v>
      </c>
      <c r="C110" s="9" t="n">
        <v>636</v>
      </c>
      <c r="D110" s="9" t="n">
        <v>24</v>
      </c>
      <c r="E110" s="6" t="n">
        <v>48334</v>
      </c>
    </row>
    <row r="111">
      <c r="A111" t="inlineStr">
        <is>
          <t>1936 2nd</t>
        </is>
      </c>
      <c r="B111" s="9" t="n">
        <v>391</v>
      </c>
      <c r="C111" s="9" t="n">
        <v>721</v>
      </c>
      <c r="D111" s="9" t="n">
        <v>24</v>
      </c>
      <c r="E111" s="6" t="n">
        <v>52728</v>
      </c>
    </row>
    <row r="112">
      <c r="A112" t="inlineStr">
        <is>
          <t>1937 1st</t>
        </is>
      </c>
      <c r="B112" s="9" t="n">
        <v>402</v>
      </c>
      <c r="C112" s="9" t="n">
        <v>826</v>
      </c>
      <c r="D112" s="9" t="n">
        <v>23</v>
      </c>
      <c r="E112" s="6" t="n">
        <v>67109</v>
      </c>
    </row>
    <row r="113">
      <c r="A113" t="inlineStr">
        <is>
          <t>1937 2nd</t>
        </is>
      </c>
      <c r="B113" s="9" t="n">
        <v>415</v>
      </c>
      <c r="C113" s="9" t="n">
        <v>848</v>
      </c>
      <c r="D113" s="9" t="n">
        <v>24</v>
      </c>
      <c r="E113" s="6" t="n">
        <v>95783</v>
      </c>
    </row>
    <row r="114">
      <c r="A114" t="inlineStr">
        <is>
          <t>1938 1st</t>
        </is>
      </c>
      <c r="B114" s="9" t="n">
        <v>456</v>
      </c>
      <c r="C114" s="9" t="n">
        <v>909</v>
      </c>
      <c r="D114" s="9" t="n">
        <v>20</v>
      </c>
      <c r="E114" s="6" t="n">
        <v>110993</v>
      </c>
    </row>
    <row r="116">
      <c r="A116" s="2" t="inlineStr">
        <is>
          <t>Total incl. Others</t>
        </is>
      </c>
    </row>
    <row r="117">
      <c r="A117" s="5" t="inlineStr">
        <is>
          <t>Period</t>
        </is>
      </c>
      <c r="B117" s="5" t="inlineStr">
        <is>
          <t>Ordinary — Consumers</t>
        </is>
      </c>
      <c r="C117" s="5" t="inlineStr">
        <is>
          <t>Ordinary — Consumption</t>
        </is>
      </c>
      <c r="D117" s="5" t="inlineStr">
        <is>
          <t>Contract — Consumers</t>
        </is>
      </c>
      <c r="E117" s="5" t="inlineStr">
        <is>
          <t>Contract — Consumption</t>
        </is>
      </c>
      <c r="F117" s="5" t="inlineStr">
        <is>
          <t>Total — Consumers</t>
        </is>
      </c>
      <c r="G117" s="5" t="inlineStr">
        <is>
          <t>Total — Consumption</t>
        </is>
      </c>
    </row>
    <row r="118">
      <c r="A118" t="inlineStr">
        <is>
          <t>1935 1st</t>
        </is>
      </c>
      <c r="B118" s="6" t="n">
        <v>5790</v>
      </c>
      <c r="C118" s="6" t="n">
        <v>20276</v>
      </c>
      <c r="D118" s="9" t="n">
        <v>115</v>
      </c>
      <c r="E118" s="6" t="n">
        <v>129164</v>
      </c>
      <c r="F118" s="6" t="n">
        <v>5905</v>
      </c>
      <c r="G118" t="inlineStr"/>
    </row>
    <row r="119">
      <c r="A119" t="inlineStr">
        <is>
          <t>1935 2nd</t>
        </is>
      </c>
      <c r="B119" s="6" t="n">
        <v>6134</v>
      </c>
      <c r="C119" s="6" t="n">
        <v>25589</v>
      </c>
      <c r="D119" s="9" t="n">
        <v>120</v>
      </c>
      <c r="E119" s="6" t="n">
        <v>200439</v>
      </c>
      <c r="F119" s="6" t="n">
        <v>6254</v>
      </c>
      <c r="G119" t="inlineStr"/>
    </row>
    <row r="120">
      <c r="A120" t="inlineStr">
        <is>
          <t>1936 1st</t>
        </is>
      </c>
      <c r="B120" s="6" t="n">
        <v>6404</v>
      </c>
      <c r="C120" s="6" t="n">
        <v>25895</v>
      </c>
      <c r="D120" s="9" t="n">
        <v>156</v>
      </c>
      <c r="E120" s="6" t="n">
        <v>240826</v>
      </c>
      <c r="F120" s="6" t="n">
        <v>6560</v>
      </c>
      <c r="G120" t="inlineStr"/>
    </row>
    <row r="121">
      <c r="A121" t="inlineStr">
        <is>
          <t>1936 2nd</t>
        </is>
      </c>
      <c r="B121" s="6" t="n">
        <v>6983</v>
      </c>
      <c r="C121" s="6" t="n">
        <v>30983</v>
      </c>
      <c r="D121" s="9" t="n">
        <v>168</v>
      </c>
      <c r="E121" s="6" t="n">
        <v>254675</v>
      </c>
      <c r="F121" s="6" t="n">
        <v>7151</v>
      </c>
      <c r="G121" t="inlineStr"/>
    </row>
    <row r="122">
      <c r="A122" t="inlineStr">
        <is>
          <t>1937 1st</t>
        </is>
      </c>
      <c r="B122" s="6" t="n">
        <v>7297</v>
      </c>
      <c r="C122" s="6" t="n">
        <v>33448</v>
      </c>
      <c r="D122" s="9" t="n">
        <v>205</v>
      </c>
      <c r="E122" s="6" t="n">
        <v>297211</v>
      </c>
      <c r="F122" s="6" t="n">
        <v>7502</v>
      </c>
      <c r="G122" t="inlineStr"/>
    </row>
    <row r="123">
      <c r="A123" t="inlineStr">
        <is>
          <t>1937 2nd</t>
        </is>
      </c>
      <c r="B123" s="6" t="n">
        <v>7899</v>
      </c>
      <c r="C123" s="6" t="n">
        <v>35344</v>
      </c>
      <c r="D123" s="9" t="n">
        <v>257</v>
      </c>
      <c r="E123" s="6" t="n">
        <v>372627</v>
      </c>
      <c r="F123" s="6" t="n">
        <v>8156</v>
      </c>
      <c r="G123" t="inlineStr"/>
    </row>
    <row r="124">
      <c r="A124" t="inlineStr">
        <is>
          <t>1938 1st</t>
        </is>
      </c>
      <c r="B124" s="6" t="n">
        <v>8982</v>
      </c>
      <c r="C124" s="6" t="n">
        <v>37709</v>
      </c>
      <c r="D124" s="9" t="n">
        <v>292</v>
      </c>
      <c r="E124" s="6" t="n">
        <v>449860</v>
      </c>
      <c r="F124" s="6" t="n">
        <v>9274</v>
      </c>
      <c r="G124" t="inlineStr"/>
    </row>
    <row r="126">
      <c r="A126" s="2" t="inlineStr">
        <is>
          <t>Transcriber's notes</t>
        </is>
      </c>
    </row>
    <row r="127">
      <c r="A127" t="inlineStr">
        <is>
          <t>Table runs from p. 563 to p. 564 ('(Continued)'); merged. Each industry block (printed as separate stacked panels, two industries side by side) is one part.</t>
        </is>
      </c>
    </row>
    <row r="128">
      <c r="A128" t="inlineStr">
        <is>
          <t>Total incl. Others — Total — Consumption: the column is printed into the binding gutter of p. 564 and the last digits of every figure are hidden; visible beginnings: 149,44…, 226,0…, 266,7…, 285,6…, 330,6…, 407,9…, 477,5… — all left blank.</t>
        </is>
      </c>
    </row>
    <row r="129">
      <c r="A129" t="inlineStr">
        <is>
          <t>Textile Industry 1935-1st Total Consumption printed 1,333 (Ordinary 1,767 + Contract 11,593 = 13,360); transcribed as printed.</t>
        </is>
      </c>
    </row>
    <row r="130">
      <c r="A130" t="inlineStr">
        <is>
          <t>Ordinary+Contract=Total checked for every row/pair (re-read after checking; figures are clearly printed): 133 reconcile; do NOT reconcile: Textile Industry 1935 1st Consumption: 1,767+11,593=13,360 vs printed 1,333 (diff -12,027); Metallic Industry 1935 1st Consumption: 335+1,304=1,639 vs printed 16,390 (diff 14,751); Metallic Industry 1936 1st Consumers: 310+12=322 vs printed 324 (diff 2); Metallic Industry 1936 2nd Consumption: 1,562+54,829=56,391 vs printed 70,449 (diff 14,058); Metallic Industry 1937 1st Consumers: 293+13=306 vs printed 409 (diff 103); Lumbering &amp; Wood-working Industry 1935 2nd Consumption: 2,674+76=2,750 vs printed 2,876 (diff 126); Provision Industry 1936 1st Consumption: 6,451+4,538=10,989 vs printed 10,589 (diff -400); Agricultural &amp; Aquatic Ind. 1935 2nd Consumers: 16+—=16 vs printed — (diff -16); Agricultural &amp; Aquatic Ind. 1936 2nd Consumers: 21+—=21 vs printed — (diff -21); Agricultural &amp; Aquatic Ind. 1937 2nd Consumers: 43+—=43 vs printed — (diff -43)</t>
        </is>
      </c>
    </row>
  </sheetData>
  <hyperlinks>
    <hyperlink xmlns:r="http://schemas.openxmlformats.org/officeDocument/2006/relationships" ref="A4" r:id="rId1"/>
  </hyperlink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Subsidiary Companies of the Manchuria Electric Co.</t>
        </is>
      </c>
    </row>
    <row r="2">
      <c r="A2" t="inlineStr">
        <is>
          <t>Electric and Gas Industries · printed pp. 566</t>
        </is>
      </c>
    </row>
    <row r="3">
      <c r="A3" t="inlineStr">
        <is>
          <t>(June, 1939)</t>
        </is>
      </c>
    </row>
    <row r="4">
      <c r="A4" s="3" t="inlineStr">
        <is>
          <t>← Contents</t>
        </is>
      </c>
    </row>
    <row r="6">
      <c r="A6" s="5" t="inlineStr">
        <is>
          <t>Co.</t>
        </is>
      </c>
      <c r="B6" s="5" t="inlineStr">
        <is>
          <t>Capital (M¥)</t>
        </is>
      </c>
      <c r="C6" s="5" t="inlineStr">
        <is>
          <t>Total Shares</t>
        </is>
      </c>
      <c r="D6" s="5" t="inlineStr">
        <is>
          <t>Held by the Manchuria Electric Co. — Shares</t>
        </is>
      </c>
      <c r="E6" s="5" t="inlineStr">
        <is>
          <t>Held by the Manchuria Electric Co. — %</t>
        </is>
      </c>
    </row>
    <row r="7">
      <c r="A7" t="inlineStr">
        <is>
          <t>Wafangtien Electric Light Company</t>
        </is>
      </c>
      <c r="B7" s="6" t="n">
        <v>200000</v>
      </c>
      <c r="C7" s="6" t="n">
        <v>4000</v>
      </c>
      <c r="D7" s="6" t="n">
        <v>2200</v>
      </c>
      <c r="E7" s="8" t="n">
        <v>55</v>
      </c>
    </row>
    <row r="8">
      <c r="A8" t="inlineStr">
        <is>
          <t>Tashihchiao Electric Light Company</t>
        </is>
      </c>
      <c r="B8" s="6" t="n">
        <v>300000</v>
      </c>
      <c r="C8" s="6" t="n">
        <v>6000</v>
      </c>
      <c r="D8" s="6" t="n">
        <v>3150</v>
      </c>
      <c r="E8" s="8" t="n">
        <v>52.5</v>
      </c>
    </row>
    <row r="9">
      <c r="A9" t="inlineStr">
        <is>
          <t>Kaiyuan Electric Company</t>
        </is>
      </c>
      <c r="B9" s="6" t="n">
        <v>500000</v>
      </c>
      <c r="C9" s="6" t="n">
        <v>10000</v>
      </c>
      <c r="D9" s="6" t="n">
        <v>5020</v>
      </c>
      <c r="E9" s="8" t="n">
        <v>50.2</v>
      </c>
    </row>
    <row r="10">
      <c r="A10" t="inlineStr">
        <is>
          <t>Tatung Electric Company</t>
        </is>
      </c>
      <c r="B10" s="6" t="n">
        <v>2000000</v>
      </c>
      <c r="C10" s="6" t="n">
        <v>40000</v>
      </c>
      <c r="D10" s="6" t="n">
        <v>21750</v>
      </c>
      <c r="E10" s="8" t="n">
        <v>54.5</v>
      </c>
    </row>
    <row r="11">
      <c r="A11" t="inlineStr">
        <is>
          <t>Chengchiatun Electric Company</t>
        </is>
      </c>
      <c r="B11" s="6" t="n">
        <v>300000</v>
      </c>
      <c r="C11" s="6" t="n">
        <v>6000</v>
      </c>
      <c r="D11" s="6" t="n">
        <v>3734</v>
      </c>
      <c r="E11" s="8" t="n">
        <v>62</v>
      </c>
    </row>
    <row r="12">
      <c r="A12" t="inlineStr">
        <is>
          <t>Tunhua Electric Company</t>
        </is>
      </c>
      <c r="B12" s="6" t="n">
        <v>1000000</v>
      </c>
      <c r="C12" s="6" t="n">
        <v>20000</v>
      </c>
      <c r="D12" s="6" t="n">
        <v>17858</v>
      </c>
      <c r="E12" s="8" t="n">
        <v>90</v>
      </c>
    </row>
    <row r="13">
      <c r="A13" t="inlineStr">
        <is>
          <t>Peian Electric Company</t>
        </is>
      </c>
      <c r="B13" s="6" t="n">
        <v>1000000</v>
      </c>
      <c r="C13" s="6" t="n">
        <v>20000</v>
      </c>
      <c r="D13" s="6" t="n">
        <v>18608</v>
      </c>
      <c r="E13" s="8" t="n">
        <v>93</v>
      </c>
    </row>
    <row r="14">
      <c r="A14" t="inlineStr">
        <is>
          <t>Ilan Electric Company</t>
        </is>
      </c>
      <c r="B14" s="6" t="n">
        <v>90000</v>
      </c>
      <c r="C14" s="6" t="n">
        <v>1800</v>
      </c>
      <c r="D14" s="6" t="n">
        <v>1300</v>
      </c>
      <c r="E14" s="8" t="n">
        <v>72</v>
      </c>
    </row>
    <row r="15">
      <c r="A15" t="inlineStr">
        <is>
          <t>Tsienkouchi Electric Company</t>
        </is>
      </c>
      <c r="B15" s="6" t="n">
        <v>100000</v>
      </c>
      <c r="C15" s="6" t="n">
        <v>2000</v>
      </c>
      <c r="D15" s="6" t="n">
        <v>1386</v>
      </c>
      <c r="E15" s="8" t="n">
        <v>69.5</v>
      </c>
    </row>
    <row r="16">
      <c r="A16" t="inlineStr">
        <is>
          <t>Manchouri Electric Company</t>
        </is>
      </c>
      <c r="B16" s="6" t="n">
        <v>140000</v>
      </c>
      <c r="C16" s="6" t="n">
        <v>2800</v>
      </c>
      <c r="D16" s="6" t="n">
        <v>1400</v>
      </c>
      <c r="E16" s="8" t="n">
        <v>50</v>
      </c>
    </row>
    <row r="17">
      <c r="A17" t="inlineStr">
        <is>
          <t>North Chosen Associated Electric Company</t>
        </is>
      </c>
      <c r="B17" s="6" t="n">
        <v>17750000</v>
      </c>
      <c r="C17" s="6" t="n">
        <v>355000</v>
      </c>
      <c r="D17" s="6" t="n">
        <v>25980</v>
      </c>
      <c r="E17" s="8" t="n">
        <v>69</v>
      </c>
    </row>
    <row r="18">
      <c r="A18" t="inlineStr">
        <is>
          <t>Manchuria Electric Chemical Industrial Co.</t>
        </is>
      </c>
      <c r="B18" s="6" t="n">
        <v>30000000</v>
      </c>
      <c r="C18" s="6" t="n">
        <v>600000</v>
      </c>
      <c r="D18" s="6" t="n">
        <v>200000</v>
      </c>
      <c r="E18" s="8" t="n">
        <v>33.3</v>
      </c>
    </row>
    <row r="20">
      <c r="A20" s="2" t="inlineStr">
        <is>
          <t>Transcriber's notes</t>
        </is>
      </c>
    </row>
    <row r="21">
      <c r="A21" t="inlineStr">
        <is>
          <t>Company names from Tatung to Manchouri printed with ditto marks (” ”) for 'Electric Company'; expanded.</t>
        </is>
      </c>
    </row>
    <row r="22">
      <c r="A22" t="inlineStr">
        <is>
          <t>'Tashih’chiao' printed with an apostrophe-like mark ('Tashihchiao'); normalised.</t>
        </is>
      </c>
    </row>
    <row r="23">
      <c r="A23" t="inlineStr">
        <is>
          <t>The shares-held column has no printed sub-heading; 'Shares' supplied.</t>
        </is>
      </c>
    </row>
    <row r="24">
      <c r="A24" t="inlineStr">
        <is>
          <t>% check (held/total shares): Tatung: 21,750/40,000 = 54.4% vs printed 54.5; Chengchiatun: 3,734/6,000 = 62.2% vs printed 62.0; Tunhua: 17,858/20,000 = 89.3% vs printed 90.0; Ilan: 1,300/1,800 = 72.2% vs printed 72.0; Tsienkouchi: 1,386/2,000 = 69.3% vs printed 69.5; North Chosen Associated: 25,980/355,000 = 7.3% vs printed 69.0. Transcribed as printed.</t>
        </is>
      </c>
    </row>
    <row r="25">
      <c r="A25" t="inlineStr">
        <is>
          <t>Capital/Total Shares = M¥50 per share in every row.</t>
        </is>
      </c>
    </row>
  </sheetData>
  <hyperlinks>
    <hyperlink xmlns:r="http://schemas.openxmlformats.org/officeDocument/2006/relationships" ref="A4" r:id="rId1"/>
  </hyperlink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Statistics of Gas Industry</t>
        </is>
      </c>
    </row>
    <row r="2">
      <c r="A2" t="inlineStr">
        <is>
          <t>Electric and Gas Industries · printed pp. 570</t>
        </is>
      </c>
    </row>
    <row r="3">
      <c r="A3" s="3" t="inlineStr">
        <is>
          <t>← Contents</t>
        </is>
      </c>
    </row>
    <row r="5">
      <c r="A5" s="5" t="inlineStr">
        <is>
          <t>Year Ending Mar. 31</t>
        </is>
      </c>
      <c r="B5" s="5" t="inlineStr">
        <is>
          <t>No. of — Cos.</t>
        </is>
      </c>
      <c r="C5" s="5" t="inlineStr">
        <is>
          <t>No. of — Factories</t>
        </is>
      </c>
      <c r="D5" s="5" t="inlineStr">
        <is>
          <t>Daily Capacity (cubic m.)</t>
        </is>
      </c>
      <c r="E5" s="5" t="inlineStr">
        <is>
          <t>Production (1,000 cubic meters)</t>
        </is>
      </c>
      <c r="F5" s="5" t="inlineStr">
        <is>
          <t>Tank — No.</t>
        </is>
      </c>
      <c r="G5" s="5" t="inlineStr">
        <is>
          <t>Tank — Capacity</t>
        </is>
      </c>
      <c r="H5" s="5" t="inlineStr">
        <is>
          <t>Extension Length of Pipe (kilometers) — Main pipe</t>
        </is>
      </c>
      <c r="I5" s="5" t="inlineStr">
        <is>
          <t>Extension Length of Pipe (kilometers) — Conducting pipe</t>
        </is>
      </c>
      <c r="J5" s="5" t="inlineStr">
        <is>
          <t>Extension Length of Pipe (kilometers) — Indoor pipe</t>
        </is>
      </c>
    </row>
    <row r="6">
      <c r="A6" s="9" t="n">
        <v>1933</v>
      </c>
      <c r="B6" s="9" t="n">
        <v>2</v>
      </c>
      <c r="C6" s="9" t="n">
        <v>6</v>
      </c>
      <c r="D6" s="6" t="n">
        <v>86158</v>
      </c>
      <c r="E6" t="inlineStr">
        <is>
          <t>—</t>
        </is>
      </c>
      <c r="F6" s="9" t="n">
        <v>10</v>
      </c>
      <c r="G6" s="6" t="n">
        <v>71386</v>
      </c>
      <c r="H6" s="9" t="n">
        <v>525</v>
      </c>
      <c r="I6" s="9" t="n">
        <v>467</v>
      </c>
      <c r="J6" s="9" t="n">
        <v>537</v>
      </c>
    </row>
    <row r="7">
      <c r="A7" s="9" t="n">
        <v>1934</v>
      </c>
      <c r="B7" s="9" t="n">
        <v>2</v>
      </c>
      <c r="C7" s="9" t="n">
        <v>6</v>
      </c>
      <c r="D7" s="6" t="n">
        <v>86200</v>
      </c>
      <c r="E7" s="6" t="n">
        <v>23445</v>
      </c>
      <c r="F7" s="9" t="n">
        <v>10</v>
      </c>
      <c r="G7" s="6" t="n">
        <v>81200</v>
      </c>
      <c r="H7" s="9" t="n">
        <v>567</v>
      </c>
      <c r="I7" s="9" t="n">
        <v>521</v>
      </c>
      <c r="J7" s="9" t="n">
        <v>756</v>
      </c>
    </row>
    <row r="8">
      <c r="A8" s="9" t="n">
        <v>1935</v>
      </c>
      <c r="B8" s="9" t="n">
        <v>2</v>
      </c>
      <c r="C8" s="9" t="n">
        <v>6</v>
      </c>
      <c r="D8" s="6" t="n">
        <v>105200</v>
      </c>
      <c r="E8" s="6" t="n">
        <v>29504</v>
      </c>
      <c r="F8" s="9" t="n">
        <v>11</v>
      </c>
      <c r="G8" s="6" t="n">
        <v>86383</v>
      </c>
      <c r="H8" s="9" t="n">
        <v>627</v>
      </c>
      <c r="I8" s="9" t="n">
        <v>622</v>
      </c>
      <c r="J8" s="9" t="n">
        <v>640</v>
      </c>
    </row>
    <row r="9">
      <c r="A9" s="9" t="n">
        <v>1936</v>
      </c>
      <c r="B9" s="9" t="n">
        <v>2</v>
      </c>
      <c r="C9" s="9" t="n">
        <v>6</v>
      </c>
      <c r="D9" s="6" t="n">
        <v>114900</v>
      </c>
      <c r="E9" s="6" t="n">
        <v>32982</v>
      </c>
      <c r="F9" s="9" t="n">
        <v>11</v>
      </c>
      <c r="G9" s="6" t="n">
        <v>86872</v>
      </c>
      <c r="H9" s="9" t="n">
        <v>704</v>
      </c>
      <c r="I9" s="9" t="n">
        <v>689</v>
      </c>
      <c r="J9" s="9" t="n">
        <v>682</v>
      </c>
    </row>
    <row r="10">
      <c r="A10" s="9" t="n">
        <v>1937</v>
      </c>
      <c r="B10" s="9" t="n">
        <v>2</v>
      </c>
      <c r="C10" s="9" t="n">
        <v>6</v>
      </c>
      <c r="D10" s="6" t="n">
        <v>130200</v>
      </c>
      <c r="E10" s="6" t="n">
        <v>37589</v>
      </c>
      <c r="F10" s="9" t="n">
        <v>12</v>
      </c>
      <c r="G10" s="6" t="n">
        <v>85700</v>
      </c>
      <c r="H10" s="9" t="n">
        <v>711</v>
      </c>
      <c r="I10" s="9" t="n">
        <v>787</v>
      </c>
      <c r="J10" s="9" t="n">
        <v>745</v>
      </c>
    </row>
    <row r="11">
      <c r="A11" s="9" t="n">
        <v>1938</v>
      </c>
      <c r="B11" s="9" t="n">
        <v>2</v>
      </c>
      <c r="C11" s="9" t="n">
        <v>6</v>
      </c>
      <c r="D11" s="6" t="n">
        <v>124600</v>
      </c>
      <c r="E11" s="6" t="n">
        <v>29445</v>
      </c>
      <c r="F11" s="9" t="n">
        <v>12</v>
      </c>
      <c r="G11" s="6" t="n">
        <v>86700</v>
      </c>
      <c r="H11" t="inlineStr">
        <is>
          <t>—</t>
        </is>
      </c>
      <c r="I11" t="inlineStr">
        <is>
          <t>—</t>
        </is>
      </c>
      <c r="J11" t="inlineStr">
        <is>
          <t>—</t>
        </is>
      </c>
    </row>
    <row r="13">
      <c r="A13" s="2" t="inlineStr">
        <is>
          <t>(second block)</t>
        </is>
      </c>
    </row>
    <row r="14">
      <c r="A14" s="5" t="inlineStr">
        <is>
          <t>Year Ending Mar. 31</t>
        </is>
      </c>
      <c r="B14" s="5" t="inlineStr">
        <is>
          <t>No. of Customers</t>
        </is>
      </c>
      <c r="C14" s="5" t="inlineStr">
        <is>
          <t>No. of Nozzles</t>
        </is>
      </c>
      <c r="D14" s="5" t="inlineStr">
        <is>
          <t>Total Supply (1,000 cubic m.)</t>
        </is>
      </c>
      <c r="E14" s="5" t="inlineStr">
        <is>
          <t>Raw materials Consumed — Coal (m. tons)</t>
        </is>
      </c>
      <c r="F14" s="5" t="inlineStr">
        <is>
          <t>Raw materials Consumed — Coke (m. tons)</t>
        </is>
      </c>
      <c r="G14" s="5" t="inlineStr">
        <is>
          <t>By-Products — Coke (m. tons)</t>
        </is>
      </c>
      <c r="H14" s="5" t="inlineStr">
        <is>
          <t>By-Products — Tar (Kilo-litres)</t>
        </is>
      </c>
      <c r="I14" s="5" t="inlineStr">
        <is>
          <t>By-Products — Ammonia (m. tons)</t>
        </is>
      </c>
      <c r="J14" s="5" t="n"/>
    </row>
    <row r="15">
      <c r="A15" s="9" t="n">
        <v>1933</v>
      </c>
      <c r="B15" s="6" t="n">
        <v>42809</v>
      </c>
      <c r="C15" s="6" t="n">
        <v>113575</v>
      </c>
      <c r="D15" s="6" t="n">
        <v>15274</v>
      </c>
      <c r="E15" t="inlineStr">
        <is>
          <t>—</t>
        </is>
      </c>
      <c r="F15" t="inlineStr">
        <is>
          <t>—</t>
        </is>
      </c>
      <c r="G15" s="6" t="n">
        <v>19599</v>
      </c>
      <c r="H15" s="6" t="n">
        <v>1897</v>
      </c>
      <c r="I15" s="9" t="n">
        <v>145</v>
      </c>
    </row>
    <row r="16">
      <c r="A16" s="9" t="n">
        <v>1934</v>
      </c>
      <c r="B16" s="6" t="n">
        <v>46622</v>
      </c>
      <c r="C16" s="6" t="n">
        <v>122631</v>
      </c>
      <c r="D16" s="6" t="n">
        <v>18924</v>
      </c>
      <c r="E16" s="6" t="n">
        <v>41377</v>
      </c>
      <c r="F16" s="6" t="n">
        <v>20291</v>
      </c>
      <c r="G16" s="6" t="n">
        <v>33658</v>
      </c>
      <c r="H16" s="6" t="n">
        <v>2854</v>
      </c>
      <c r="I16" s="9" t="n">
        <v>113</v>
      </c>
    </row>
    <row r="17">
      <c r="A17" s="9" t="n">
        <v>1935</v>
      </c>
      <c r="B17" s="6" t="n">
        <v>55297</v>
      </c>
      <c r="C17" s="6" t="n">
        <v>142945</v>
      </c>
      <c r="D17" s="6" t="n">
        <v>22925</v>
      </c>
      <c r="E17" s="6" t="n">
        <v>59756</v>
      </c>
      <c r="F17" s="6" t="n">
        <v>7648</v>
      </c>
      <c r="G17" s="6" t="n">
        <v>38271</v>
      </c>
      <c r="H17" s="6" t="n">
        <v>2900</v>
      </c>
      <c r="I17" s="9" t="n">
        <v>124</v>
      </c>
    </row>
    <row r="18">
      <c r="A18" s="9" t="n">
        <v>1936</v>
      </c>
      <c r="B18" s="6" t="n">
        <v>63494</v>
      </c>
      <c r="C18" s="6" t="n">
        <v>163897</v>
      </c>
      <c r="D18" s="6" t="n">
        <v>26755</v>
      </c>
      <c r="E18" s="6" t="n">
        <v>71351</v>
      </c>
      <c r="F18" s="6" t="n">
        <v>9227</v>
      </c>
      <c r="G18" s="6" t="n">
        <v>46270</v>
      </c>
      <c r="H18" s="6" t="n">
        <v>3346</v>
      </c>
      <c r="I18" s="9" t="n">
        <v>135</v>
      </c>
    </row>
    <row r="19">
      <c r="A19" s="9" t="n">
        <v>1937</v>
      </c>
      <c r="B19" s="6" t="n">
        <v>71146</v>
      </c>
      <c r="C19" s="6" t="n">
        <v>181835</v>
      </c>
      <c r="D19" s="6" t="n">
        <v>29946</v>
      </c>
      <c r="E19" s="6" t="n">
        <v>76830</v>
      </c>
      <c r="F19" s="6" t="n">
        <v>9648</v>
      </c>
      <c r="G19" s="6" t="n">
        <v>49509</v>
      </c>
      <c r="H19" s="6" t="n">
        <v>3263</v>
      </c>
      <c r="I19" s="9" t="n">
        <v>169</v>
      </c>
    </row>
    <row r="20">
      <c r="A20" s="9" t="n">
        <v>1938</v>
      </c>
      <c r="B20" s="6" t="n">
        <v>67135</v>
      </c>
      <c r="C20" s="6" t="n">
        <v>201208</v>
      </c>
      <c r="D20" s="6" t="n">
        <v>27930</v>
      </c>
      <c r="E20" s="6" t="n">
        <v>64700</v>
      </c>
      <c r="F20" t="inlineStr">
        <is>
          <t>—</t>
        </is>
      </c>
      <c r="G20" s="6" t="n">
        <v>41743</v>
      </c>
      <c r="H20" s="6" t="n">
        <v>2056</v>
      </c>
      <c r="I20" t="inlineStr">
        <is>
          <t>—</t>
        </is>
      </c>
    </row>
    <row r="22">
      <c r="A22" s="2" t="inlineStr">
        <is>
          <t>Transcriber's notes</t>
        </is>
      </c>
    </row>
    <row r="23">
      <c r="A23" t="inlineStr">
        <is>
          <t>Printed as two stacked blocks with the same year stub; kept as two parts.</t>
        </is>
      </c>
    </row>
    <row r="24">
      <c r="A24" t="inlineStr">
        <is>
          <t>Rightmost columns (Indoor pipe, Ammonia) run into the gutter; legible.</t>
        </is>
      </c>
    </row>
    <row r="25">
      <c r="A25" t="inlineStr">
        <is>
          <t>No totals printed.</t>
        </is>
      </c>
    </row>
  </sheetData>
  <hyperlinks>
    <hyperlink xmlns:r="http://schemas.openxmlformats.org/officeDocument/2006/relationships" ref="A3" r:id="rId1"/>
  </hyperlink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Road and Bridge Construction</t>
        </is>
      </c>
    </row>
    <row r="2">
      <c r="A2" t="inlineStr">
        <is>
          <t>Transportation · printed pp. 571</t>
        </is>
      </c>
    </row>
    <row r="3">
      <c r="A3" s="3" t="inlineStr">
        <is>
          <t>← Contents</t>
        </is>
      </c>
    </row>
    <row r="5">
      <c r="A5" s="5" t="inlineStr">
        <is>
          <t>Year</t>
        </is>
      </c>
      <c r="B5" s="5" t="inlineStr">
        <is>
          <t>National Roads — Extension (Kms.)</t>
        </is>
      </c>
      <c r="C5" s="5" t="inlineStr">
        <is>
          <t>National Roads — Expenses (M¥1,000)</t>
        </is>
      </c>
      <c r="D5" s="5" t="inlineStr">
        <is>
          <t>Local Roads — Extension (Kms.)</t>
        </is>
      </c>
      <c r="E5" s="5" t="inlineStr">
        <is>
          <t>Local Roads — Expenses (M¥1,000)</t>
        </is>
      </c>
      <c r="F5" s="5" t="inlineStr">
        <is>
          <t>Bridges — Length (Meters)</t>
        </is>
      </c>
      <c r="G5" s="5" t="inlineStr">
        <is>
          <t>Bridges — Expenses (M¥1,000)</t>
        </is>
      </c>
    </row>
    <row r="6">
      <c r="A6" s="9" t="n">
        <v>1932</v>
      </c>
      <c r="B6" s="9" t="n">
        <v>707</v>
      </c>
      <c r="C6" s="9" t="n">
        <v>872</v>
      </c>
      <c r="D6" t="inlineStr">
        <is>
          <t>—</t>
        </is>
      </c>
      <c r="E6" t="inlineStr">
        <is>
          <t>—</t>
        </is>
      </c>
      <c r="F6" t="inlineStr">
        <is>
          <t>—</t>
        </is>
      </c>
      <c r="G6" t="inlineStr">
        <is>
          <t>—</t>
        </is>
      </c>
    </row>
    <row r="7">
      <c r="A7" s="9" t="n">
        <v>1933</v>
      </c>
      <c r="B7" s="6" t="n">
        <v>3000</v>
      </c>
      <c r="C7" s="6" t="n">
        <v>6931</v>
      </c>
      <c r="D7" s="6" t="n">
        <v>5219</v>
      </c>
      <c r="E7" s="9" t="n">
        <v>75</v>
      </c>
      <c r="F7" s="9" t="n">
        <v>480</v>
      </c>
      <c r="G7" s="9" t="n">
        <v>56</v>
      </c>
    </row>
    <row r="8">
      <c r="A8" s="9" t="n">
        <v>1934</v>
      </c>
      <c r="B8" s="6" t="n">
        <v>2632</v>
      </c>
      <c r="C8" s="6" t="n">
        <v>12876</v>
      </c>
      <c r="D8" s="6" t="n">
        <v>2138</v>
      </c>
      <c r="E8" s="9" t="n">
        <v>684</v>
      </c>
      <c r="F8" s="6" t="n">
        <v>1595</v>
      </c>
      <c r="G8" s="9" t="n">
        <v>146</v>
      </c>
    </row>
    <row r="9">
      <c r="A9" s="9" t="n">
        <v>1935</v>
      </c>
      <c r="B9" s="9" t="n">
        <v>580</v>
      </c>
      <c r="C9" s="6" t="n">
        <v>5699</v>
      </c>
      <c r="D9" s="6" t="n">
        <v>1469</v>
      </c>
      <c r="E9" s="9" t="n">
        <v>346</v>
      </c>
      <c r="F9" s="6" t="n">
        <v>2122</v>
      </c>
      <c r="G9" s="9" t="n">
        <v>249</v>
      </c>
    </row>
    <row r="10">
      <c r="A10" s="9" t="n">
        <v>1936</v>
      </c>
      <c r="B10" s="6" t="n">
        <v>2071</v>
      </c>
      <c r="C10" s="6" t="n">
        <v>10916</v>
      </c>
      <c r="D10" s="6" t="n">
        <v>1486</v>
      </c>
      <c r="E10" s="9" t="n">
        <v>846</v>
      </c>
      <c r="F10" s="6" t="n">
        <v>3266</v>
      </c>
      <c r="G10" s="9" t="n">
        <v>207</v>
      </c>
    </row>
    <row r="11">
      <c r="A11" s="9" t="n">
        <v>1937</v>
      </c>
      <c r="B11" s="6" t="n">
        <v>2168</v>
      </c>
      <c r="C11" s="6" t="n">
        <v>7092</v>
      </c>
      <c r="D11" s="9" t="n">
        <v>989</v>
      </c>
      <c r="E11" s="9" t="n">
        <v>717</v>
      </c>
      <c r="F11" s="6" t="n">
        <v>5700</v>
      </c>
      <c r="G11" s="9" t="n">
        <v>189</v>
      </c>
    </row>
    <row r="12">
      <c r="A12" s="9" t="n">
        <v>1938</v>
      </c>
      <c r="B12" s="6" t="n">
        <v>1920</v>
      </c>
      <c r="C12" s="6" t="n">
        <v>13461</v>
      </c>
      <c r="D12" s="6" t="n">
        <v>2598</v>
      </c>
      <c r="E12" s="9" t="n">
        <v>403</v>
      </c>
      <c r="F12" s="6" t="n">
        <v>8455</v>
      </c>
      <c r="G12" s="6" t="n">
        <v>1894</v>
      </c>
    </row>
    <row r="13">
      <c r="A13" s="9" t="n">
        <v>1939</v>
      </c>
      <c r="B13" s="6" t="n">
        <v>2373</v>
      </c>
      <c r="C13" s="6" t="n">
        <v>38424</v>
      </c>
      <c r="D13" s="6" t="n">
        <v>2551</v>
      </c>
      <c r="E13" s="6" t="n">
        <v>1008</v>
      </c>
      <c r="F13" t="inlineStr">
        <is>
          <t>—</t>
        </is>
      </c>
      <c r="G13" t="inlineStr">
        <is>
          <t>—</t>
        </is>
      </c>
    </row>
    <row r="14">
      <c r="A14" s="9" t="n">
        <v>1940</v>
      </c>
      <c r="B14" s="6" t="n">
        <v>3011</v>
      </c>
      <c r="C14" s="6" t="n">
        <v>92994</v>
      </c>
      <c r="D14" t="inlineStr">
        <is>
          <t>4,215*</t>
        </is>
      </c>
      <c r="E14" s="9" t="n">
        <v>858</v>
      </c>
      <c r="F14" t="inlineStr">
        <is>
          <t>—</t>
        </is>
      </c>
      <c r="G14" t="inlineStr">
        <is>
          <t>—</t>
        </is>
      </c>
    </row>
    <row r="15">
      <c r="A15" t="inlineStr">
        <is>
          <t>Total</t>
        </is>
      </c>
      <c r="B15" s="6" t="n">
        <v>18462</v>
      </c>
      <c r="C15" s="6" t="n">
        <v>189265</v>
      </c>
      <c r="D15" t="inlineStr">
        <is>
          <t>20,665*</t>
        </is>
      </c>
      <c r="E15" s="6" t="n">
        <v>4937</v>
      </c>
      <c r="F15" s="6" t="n">
        <v>21618</v>
      </c>
      <c r="G15" s="6" t="n">
        <v>2739</v>
      </c>
    </row>
    <row r="17">
      <c r="A17" s="2" t="inlineStr">
        <is>
          <t>Footnotes</t>
        </is>
      </c>
    </row>
    <row r="18">
      <c r="A18" t="inlineStr">
        <is>
          <t>Note: * Inclusive of bridges.</t>
        </is>
      </c>
    </row>
    <row r="20">
      <c r="A20" s="2" t="inlineStr">
        <is>
          <t>Transcriber's notes</t>
        </is>
      </c>
    </row>
    <row r="21">
      <c r="A21" t="inlineStr">
        <is>
          <t>Chapter-opening page, no printed page number; '571' inferred from p. 570.</t>
        </is>
      </c>
    </row>
    <row r="22">
      <c r="A22" t="inlineStr">
        <is>
          <t>ALIGNMENT: the Local Roads and Bridges columns are printed out of line with the year stub (set about half a row to a full row high: the Bridges total 21,618/2,739 is level with the 1940 line and the first dashes sit above the 1932 line). Each column has 10 entries (9 years + Total) and has been aligned top to bottom; the resulting Totals reconcile, which supports this alignment. If the Bridges columns are read by line level instead, 480/56 would fall on 1932 and 8,455/1.894 on 1937.</t>
        </is>
      </c>
    </row>
    <row r="23">
      <c r="A23" t="inlineStr">
        <is>
          <t>Bridges Expenses 1938 printed '1.894' (full stop for comma); kept.</t>
        </is>
      </c>
    </row>
    <row r="24">
      <c r="A24" t="inlineStr">
        <is>
          <t>Total National Extension 18,462: parts sum to 18,462 — reconciles.</t>
        </is>
      </c>
    </row>
    <row r="25">
      <c r="A25" t="inlineStr">
        <is>
          <t>Total National Expenses 189,265: parts sum to 189,265 — reconciles.</t>
        </is>
      </c>
    </row>
    <row r="26">
      <c r="A26" t="inlineStr">
        <is>
          <t>Total Local Extension 20,665*: parts sum to 20,665 — reconciles.</t>
        </is>
      </c>
    </row>
    <row r="27">
      <c r="A27" t="inlineStr">
        <is>
          <t>Total Local Expenses 4,937: parts sum to 4,937 — reconciles.</t>
        </is>
      </c>
    </row>
    <row r="28">
      <c r="A28" t="inlineStr">
        <is>
          <t>Total Bridges Length 21,618: parts sum to 21,618 — reconciles.</t>
        </is>
      </c>
    </row>
    <row r="29">
      <c r="A29" t="inlineStr">
        <is>
          <t>Total Bridges Expenses 2,739: parts sum to 2,741 — does NOT reconcile (diff 2; re-read, figures as printed).</t>
        </is>
      </c>
    </row>
  </sheetData>
  <hyperlinks>
    <hyperlink xmlns:r="http://schemas.openxmlformats.org/officeDocument/2006/relationships" ref="A3" r:id="rId1"/>
  </hyperlink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Length of Roads Classified</t>
        </is>
      </c>
    </row>
    <row r="2">
      <c r="A2" t="inlineStr">
        <is>
          <t>Transportation · printed pp. 572</t>
        </is>
      </c>
    </row>
    <row r="3">
      <c r="A3" t="inlineStr">
        <is>
          <t>(End of 1937; Unit: Kilometers)</t>
        </is>
      </c>
    </row>
    <row r="4">
      <c r="A4" s="3" t="inlineStr">
        <is>
          <t>← Contents</t>
        </is>
      </c>
    </row>
    <row r="6">
      <c r="A6" s="5" t="inlineStr">
        <is>
          <t>Province</t>
        </is>
      </c>
      <c r="B6" s="5" t="inlineStr">
        <is>
          <t>Usable year-round</t>
        </is>
      </c>
      <c r="C6" s="5" t="inlineStr">
        <is>
          <t>Unusable after rains</t>
        </is>
      </c>
      <c r="D6" s="5" t="inlineStr">
        <is>
          <t>Unusable in rainy season</t>
        </is>
      </c>
      <c r="E6" s="5" t="inlineStr">
        <is>
          <t>Usable in winter only</t>
        </is>
      </c>
      <c r="F6" s="5" t="inlineStr">
        <is>
          <t>Total Length</t>
        </is>
      </c>
    </row>
    <row r="7">
      <c r="A7" t="inlineStr">
        <is>
          <t>Kirin</t>
        </is>
      </c>
      <c r="B7" s="6" t="n">
        <v>1015</v>
      </c>
      <c r="C7" s="6" t="n">
        <v>1220</v>
      </c>
      <c r="D7" s="6" t="n">
        <v>2839</v>
      </c>
      <c r="E7" s="6" t="n">
        <v>1577</v>
      </c>
      <c r="F7" s="6" t="n">
        <v>6652</v>
      </c>
    </row>
    <row r="8">
      <c r="A8" t="inlineStr">
        <is>
          <t>Lungkiang</t>
        </is>
      </c>
      <c r="B8" s="9" t="n">
        <v>504</v>
      </c>
      <c r="C8" s="6" t="n">
        <v>3486</v>
      </c>
      <c r="D8" s="9" t="n">
        <v>637</v>
      </c>
      <c r="E8" s="6" t="n">
        <v>1230</v>
      </c>
      <c r="F8" s="6" t="n">
        <v>5857</v>
      </c>
    </row>
    <row r="9">
      <c r="A9" t="inlineStr">
        <is>
          <t>Heiho*</t>
        </is>
      </c>
      <c r="B9" t="inlineStr">
        <is>
          <t>—</t>
        </is>
      </c>
      <c r="C9" t="inlineStr">
        <is>
          <t>—</t>
        </is>
      </c>
      <c r="D9" t="inlineStr">
        <is>
          <t>—</t>
        </is>
      </c>
      <c r="E9" t="inlineStr">
        <is>
          <t>—</t>
        </is>
      </c>
      <c r="F9" t="inlineStr">
        <is>
          <t>—</t>
        </is>
      </c>
    </row>
    <row r="10">
      <c r="A10" t="inlineStr">
        <is>
          <t>Sankiang</t>
        </is>
      </c>
      <c r="B10" t="inlineStr">
        <is>
          <t>—</t>
        </is>
      </c>
      <c r="C10" s="9" t="n">
        <v>371</v>
      </c>
      <c r="D10" s="6" t="n">
        <v>2037</v>
      </c>
      <c r="E10" s="9" t="n">
        <v>755</v>
      </c>
      <c r="F10" s="6" t="n">
        <v>3163</v>
      </c>
    </row>
    <row r="11">
      <c r="A11" t="inlineStr">
        <is>
          <t>Mutankiang</t>
        </is>
      </c>
      <c r="B11" s="9" t="n">
        <v>187</v>
      </c>
      <c r="C11" s="9" t="n">
        <v>181</v>
      </c>
      <c r="D11" s="9" t="n">
        <v>625</v>
      </c>
      <c r="E11" s="9" t="n">
        <v>632</v>
      </c>
      <c r="F11" s="6" t="n">
        <v>1625</v>
      </c>
    </row>
    <row r="12">
      <c r="A12" t="inlineStr">
        <is>
          <t>Pinkiang</t>
        </is>
      </c>
      <c r="B12" s="6" t="n">
        <v>1080</v>
      </c>
      <c r="C12" s="6" t="n">
        <v>3490</v>
      </c>
      <c r="D12" s="6" t="n">
        <v>1918</v>
      </c>
      <c r="E12" s="9" t="n">
        <v>319</v>
      </c>
      <c r="F12" s="6" t="n">
        <v>6806</v>
      </c>
    </row>
    <row r="13">
      <c r="A13" t="inlineStr">
        <is>
          <t>Chientao</t>
        </is>
      </c>
      <c r="B13" s="9" t="n">
        <v>194</v>
      </c>
      <c r="C13" s="9" t="n">
        <v>512</v>
      </c>
      <c r="D13" s="9" t="n">
        <v>249</v>
      </c>
      <c r="E13" s="9" t="n">
        <v>286</v>
      </c>
      <c r="F13" s="6" t="n">
        <v>1241</v>
      </c>
    </row>
    <row r="14">
      <c r="A14" t="inlineStr">
        <is>
          <t>Tunghua</t>
        </is>
      </c>
      <c r="B14" s="9" t="n">
        <v>845</v>
      </c>
      <c r="C14" s="9" t="n">
        <v>667</v>
      </c>
      <c r="D14" s="9" t="n">
        <v>432</v>
      </c>
      <c r="E14" s="9" t="n">
        <v>112</v>
      </c>
      <c r="F14" s="6" t="n">
        <v>2056</v>
      </c>
    </row>
    <row r="15">
      <c r="A15" t="inlineStr">
        <is>
          <t>Antung</t>
        </is>
      </c>
      <c r="B15" s="9" t="n">
        <v>652</v>
      </c>
      <c r="C15" s="6" t="n">
        <v>1357</v>
      </c>
      <c r="D15" s="6" t="n">
        <v>2727</v>
      </c>
      <c r="E15" s="9" t="n">
        <v>20</v>
      </c>
      <c r="F15" s="6" t="n">
        <v>4756</v>
      </c>
    </row>
    <row r="16">
      <c r="A16" t="inlineStr">
        <is>
          <t>Fengtien</t>
        </is>
      </c>
      <c r="B16" s="6" t="n">
        <v>2990</v>
      </c>
      <c r="C16" s="6" t="n">
        <v>3205</v>
      </c>
      <c r="D16" s="6" t="n">
        <v>1518</v>
      </c>
      <c r="E16" s="9" t="n">
        <v>129</v>
      </c>
      <c r="F16" s="6" t="n">
        <v>7841</v>
      </c>
    </row>
    <row r="17">
      <c r="A17" t="inlineStr">
        <is>
          <t>Chinchow</t>
        </is>
      </c>
      <c r="B17" s="6" t="n">
        <v>1847</v>
      </c>
      <c r="C17" s="6" t="n">
        <v>1122</v>
      </c>
      <c r="D17" s="6" t="n">
        <v>1189</v>
      </c>
      <c r="E17" s="9" t="n">
        <v>237</v>
      </c>
      <c r="F17" s="6" t="n">
        <v>4395</v>
      </c>
    </row>
    <row r="18">
      <c r="A18" t="inlineStr">
        <is>
          <t>Jehol</t>
        </is>
      </c>
      <c r="B18" s="6" t="n">
        <v>1118</v>
      </c>
      <c r="C18" s="6" t="n">
        <v>1711</v>
      </c>
      <c r="D18" s="6" t="n">
        <v>1159</v>
      </c>
      <c r="E18" s="9" t="n">
        <v>166</v>
      </c>
      <c r="F18" s="6" t="n">
        <v>4153</v>
      </c>
    </row>
    <row r="19">
      <c r="A19" t="inlineStr">
        <is>
          <t>Hsingan W.*</t>
        </is>
      </c>
      <c r="B19" t="inlineStr">
        <is>
          <t>—</t>
        </is>
      </c>
      <c r="C19" t="inlineStr">
        <is>
          <t>—</t>
        </is>
      </c>
      <c r="D19" t="inlineStr">
        <is>
          <t>—</t>
        </is>
      </c>
      <c r="E19" t="inlineStr">
        <is>
          <t>—</t>
        </is>
      </c>
      <c r="F19" t="inlineStr">
        <is>
          <t>—</t>
        </is>
      </c>
    </row>
    <row r="20">
      <c r="A20" t="inlineStr">
        <is>
          <t>Hsingan S.</t>
        </is>
      </c>
      <c r="B20" s="9" t="n">
        <v>295</v>
      </c>
      <c r="C20" s="9" t="n">
        <v>761</v>
      </c>
      <c r="D20" s="9" t="n">
        <v>494</v>
      </c>
      <c r="E20" s="9" t="n">
        <v>45</v>
      </c>
      <c r="F20" s="6" t="n">
        <v>1495</v>
      </c>
    </row>
    <row r="21">
      <c r="A21" t="inlineStr">
        <is>
          <t>Hsingan E.</t>
        </is>
      </c>
      <c r="B21" s="9" t="n">
        <v>47</v>
      </c>
      <c r="C21" s="9" t="n">
        <v>185</v>
      </c>
      <c r="D21" t="inlineStr">
        <is>
          <t>—</t>
        </is>
      </c>
      <c r="E21" s="9" t="n">
        <v>199</v>
      </c>
      <c r="F21" s="9" t="n">
        <v>431</v>
      </c>
    </row>
    <row r="22">
      <c r="A22" t="inlineStr">
        <is>
          <t>Hsingan N.*</t>
        </is>
      </c>
      <c r="B22" t="inlineStr">
        <is>
          <t>—</t>
        </is>
      </c>
      <c r="C22" t="inlineStr">
        <is>
          <t>—</t>
        </is>
      </c>
      <c r="D22" t="inlineStr">
        <is>
          <t>—</t>
        </is>
      </c>
      <c r="E22" t="inlineStr">
        <is>
          <t>—</t>
        </is>
      </c>
      <c r="F22" t="inlineStr">
        <is>
          <t>—</t>
        </is>
      </c>
    </row>
    <row r="23">
      <c r="A23" t="inlineStr">
        <is>
          <t>Total (%)</t>
        </is>
      </c>
      <c r="B23" t="inlineStr">
        <is>
          <t>20%</t>
        </is>
      </c>
      <c r="C23" t="inlineStr">
        <is>
          <t>36%</t>
        </is>
      </c>
      <c r="D23" t="inlineStr">
        <is>
          <t>31%</t>
        </is>
      </c>
      <c r="E23" t="inlineStr">
        <is>
          <t>12%</t>
        </is>
      </c>
      <c r="F23" t="inlineStr">
        <is>
          <t>100%</t>
        </is>
      </c>
    </row>
    <row r="24">
      <c r="A24" t="inlineStr">
        <is>
          <t>Total</t>
        </is>
      </c>
      <c r="B24" s="6" t="n">
        <v>10773</v>
      </c>
      <c r="C24" s="6" t="n">
        <v>18267</v>
      </c>
      <c r="D24" s="6" t="n">
        <v>15723</v>
      </c>
      <c r="E24" s="6" t="n">
        <v>5706</v>
      </c>
      <c r="F24" s="6" t="n">
        <v>50468</v>
      </c>
    </row>
    <row r="26">
      <c r="A26" s="2" t="inlineStr">
        <is>
          <t>Footnotes</t>
        </is>
      </c>
    </row>
    <row r="27">
      <c r="A27" t="inlineStr">
        <is>
          <t>Note: * Investigation not yet completed.</t>
        </is>
      </c>
    </row>
    <row r="29">
      <c r="A29" s="2" t="inlineStr">
        <is>
          <t>Transcriber's notes</t>
        </is>
      </c>
    </row>
    <row r="30">
      <c r="A30" t="inlineStr">
        <is>
          <t>Column 'Usable year-round' total 10,773: parts sum to 10,774 — does NOT reconcile (diff -1)</t>
        </is>
      </c>
    </row>
    <row r="31">
      <c r="A31" t="inlineStr">
        <is>
          <t>Column 'Unusable after rains' total 18,267: parts sum to 18,268 — does NOT reconcile (diff -1)</t>
        </is>
      </c>
    </row>
    <row r="32">
      <c r="A32" t="inlineStr">
        <is>
          <t>Column 'Unusable in rainy season' total 15,723: parts sum to 15,824 — does NOT reconcile (diff -101)</t>
        </is>
      </c>
    </row>
    <row r="33">
      <c r="A33" t="inlineStr">
        <is>
          <t>Column 'Usable in winter only' total 5,706: parts sum to 5,707 — does NOT reconcile (diff -1)</t>
        </is>
      </c>
    </row>
    <row r="34">
      <c r="A34" t="inlineStr">
        <is>
          <t>Column 'Total Length' total 50,468: parts sum to 50,471 — does NOT reconcile (diff -3)</t>
        </is>
      </c>
    </row>
    <row r="35">
      <c r="A35" t="inlineStr">
        <is>
          <t>Row sums vs Total Length: all reconcile except Kirin: 6,651 vs 6,652; Pinkiang: 6,807 vs 6,806; Fengtien: 7,842 vs 7,841; Jehol: 4,154 vs 4,153; Hsingan S.: 1,595 vs 1,495; Total: 50,469 vs 50,468</t>
        </is>
      </c>
    </row>
    <row r="36">
      <c r="A36" t="inlineStr">
        <is>
          <t>Total row: 10,773+18,267+15,723+5,706 = 50,469 vs 50,468 — does NOT reconcile (diff -1)</t>
        </is>
      </c>
    </row>
    <row r="37">
      <c r="A37" t="inlineStr">
        <is>
          <t>Total Length column is printed slightly low relative to the stub (about half a line); aligned by order, confirmed by row sums.</t>
        </is>
      </c>
    </row>
    <row r="38">
      <c r="A38" t="inlineStr">
        <is>
          <t>Re-read: the 101-km column discrepancy and the 100-km Hsingan S. row discrepancy would both disappear if Hsingan S. rainy-season figure were 394 instead of the clearly printed 494; transcribed as printed. Remaining 1-km differences look like rounding.</t>
        </is>
      </c>
    </row>
    <row r="39">
      <c r="A39" t="inlineStr">
        <is>
          <t>Percentages 20+36+31+12 = 99 (printed 100%).</t>
        </is>
      </c>
    </row>
  </sheetData>
  <hyperlinks>
    <hyperlink xmlns:r="http://schemas.openxmlformats.org/officeDocument/2006/relationships" ref="A4" r:id="rId1"/>
  </hyperlink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Five-Year Plan for Improvement of Local Roads and Bridges</t>
        </is>
      </c>
    </row>
    <row r="2">
      <c r="A2" t="inlineStr">
        <is>
          <t>Transportation · printed pp. 572</t>
        </is>
      </c>
    </row>
    <row r="3">
      <c r="A3" t="inlineStr">
        <is>
          <t>(1938–1942)</t>
        </is>
      </c>
    </row>
    <row r="4">
      <c r="A4" s="3" t="inlineStr">
        <is>
          <t>← Contents</t>
        </is>
      </c>
    </row>
    <row r="6">
      <c r="A6" s="2" t="inlineStr">
        <is>
          <t>(left block)</t>
        </is>
      </c>
    </row>
    <row r="7">
      <c r="A7" s="5" t="inlineStr">
        <is>
          <t>Item</t>
        </is>
      </c>
      <c r="B7" s="5" t="inlineStr">
        <is>
          <t>Figure</t>
        </is>
      </c>
    </row>
    <row r="8">
      <c r="A8" t="inlineStr">
        <is>
          <t>Roads — Length (km.)</t>
        </is>
      </c>
      <c r="B8" s="6" t="n">
        <v>14580</v>
      </c>
    </row>
    <row r="9">
      <c r="A9" t="inlineStr">
        <is>
          <t>Roads — Subsidy (M¥)</t>
        </is>
      </c>
      <c r="B9" s="6" t="n">
        <v>10008430</v>
      </c>
    </row>
    <row r="10">
      <c r="A10" t="inlineStr">
        <is>
          <t>Bridges — Length (km.)</t>
        </is>
      </c>
      <c r="B10" s="6" t="n">
        <v>32289</v>
      </c>
    </row>
    <row r="11">
      <c r="A11" t="inlineStr">
        <is>
          <t>Bridges — Subsidy (M¥)</t>
        </is>
      </c>
      <c r="B11" s="6" t="n">
        <v>11594000</v>
      </c>
    </row>
    <row r="12">
      <c r="A12" t="inlineStr">
        <is>
          <t>Total State Subsidy</t>
        </is>
      </c>
      <c r="B12" s="6" t="n">
        <v>21602430</v>
      </c>
    </row>
    <row r="14">
      <c r="A14" s="2" t="inlineStr">
        <is>
          <t>(right block)</t>
        </is>
      </c>
    </row>
    <row r="15">
      <c r="A15" s="5" t="inlineStr">
        <is>
          <t>Allotment for</t>
        </is>
      </c>
      <c r="B15" s="5" t="inlineStr">
        <is>
          <t>Amount</t>
        </is>
      </c>
    </row>
    <row r="16">
      <c r="A16" s="9" t="n">
        <v>1938</v>
      </c>
      <c r="B16" s="6" t="n">
        <v>4333060</v>
      </c>
    </row>
    <row r="17">
      <c r="A17" s="9" t="n">
        <v>1939</v>
      </c>
      <c r="B17" s="6" t="n">
        <v>3398420</v>
      </c>
    </row>
    <row r="18">
      <c r="A18" s="9" t="n">
        <v>1940</v>
      </c>
      <c r="B18" s="6" t="n">
        <v>4231610</v>
      </c>
    </row>
    <row r="19">
      <c r="A19" s="9" t="n">
        <v>1941</v>
      </c>
      <c r="B19" s="6" t="n">
        <v>4313360</v>
      </c>
    </row>
    <row r="20">
      <c r="A20" s="9" t="n">
        <v>1942</v>
      </c>
      <c r="B20" s="6" t="n">
        <v>4321980</v>
      </c>
    </row>
    <row r="22">
      <c r="A22" s="2" t="inlineStr">
        <is>
          <t>Footnotes</t>
        </is>
      </c>
    </row>
    <row r="23">
      <c r="A23" t="inlineStr">
        <is>
          <t>Note: Standard width of road is 6–8 meters.</t>
        </is>
      </c>
    </row>
    <row r="25">
      <c r="A25" s="2" t="inlineStr">
        <is>
          <t>Transcriber's notes</t>
        </is>
      </c>
    </row>
    <row r="26">
      <c r="A26" t="inlineStr">
        <is>
          <t>Printed as two side-by-side blocks separated by a vertical rule; different content, kept as two parts. Right block rows 1939-1942 print ditto marks for 'Allotment for'.</t>
        </is>
      </c>
    </row>
    <row r="27">
      <c r="A27" t="inlineStr">
        <is>
          <t>Total State Subsidy 21,602,430: Roads + Bridges subsidy = 21,602,430 — reconciles.</t>
        </is>
      </c>
    </row>
    <row r="28">
      <c r="A28" t="inlineStr">
        <is>
          <t>Allotments 1938-1942 sum to 20,598,430 vs Total State Subsidy 21,602,430 — does NOT match (diff 1,004,000); allotments are not labelled as summing to the total.</t>
        </is>
      </c>
    </row>
  </sheetData>
  <hyperlinks>
    <hyperlink xmlns:r="http://schemas.openxmlformats.org/officeDocument/2006/relationships" ref="A4" r:id="rId1"/>
  </hyperlink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Condition of Motor Bus Transportation</t>
        </is>
      </c>
    </row>
    <row r="2">
      <c r="A2" t="inlineStr">
        <is>
          <t>Transportation · printed pp. 574</t>
        </is>
      </c>
    </row>
    <row r="3">
      <c r="A3" s="3" t="inlineStr">
        <is>
          <t>← Contents</t>
        </is>
      </c>
    </row>
    <row r="5">
      <c r="A5" s="5" t="inlineStr">
        <is>
          <t>Year</t>
        </is>
      </c>
      <c r="B5" s="5" t="inlineStr">
        <is>
          <t>No. of lines</t>
        </is>
      </c>
      <c r="C5" s="5" t="inlineStr">
        <is>
          <t>Length extension lines (Kms.)</t>
        </is>
      </c>
      <c r="D5" s="5" t="inlineStr">
        <is>
          <t>Length of operating lines (Kms.)</t>
        </is>
      </c>
      <c r="E5" s="5" t="inlineStr">
        <is>
          <t>Investment (M¥1,000)</t>
        </is>
      </c>
      <c r="F5" s="5" t="inlineStr">
        <is>
          <t>Aggregate number of passengers carried (1,000)</t>
        </is>
      </c>
      <c r="G5" s="5" t="inlineStr">
        <is>
          <t>Aggregate amount of goods hauled (1,000 m. tons)</t>
        </is>
      </c>
      <c r="H5" s="5" t="inlineStr">
        <is>
          <t>Total Receipts (M¥1,000)</t>
        </is>
      </c>
    </row>
    <row r="6">
      <c r="A6" t="inlineStr">
        <is>
          <t>Governmental:</t>
        </is>
      </c>
      <c r="B6" t="inlineStr"/>
      <c r="C6" t="inlineStr"/>
      <c r="D6" t="inlineStr"/>
      <c r="E6" t="inlineStr"/>
      <c r="F6" t="inlineStr"/>
      <c r="G6" t="inlineStr"/>
      <c r="H6" t="inlineStr"/>
    </row>
    <row r="7">
      <c r="A7" s="9" t="n">
        <v>1934</v>
      </c>
      <c r="B7" s="9" t="n">
        <v>19</v>
      </c>
      <c r="C7" s="6" t="n">
        <v>8876</v>
      </c>
      <c r="D7" s="6" t="n">
        <v>3544</v>
      </c>
      <c r="E7" s="6" t="n">
        <v>2300</v>
      </c>
      <c r="F7" s="9" t="n">
        <v>358</v>
      </c>
      <c r="G7" s="6" t="n">
        <v>6650</v>
      </c>
      <c r="H7" s="6" t="n">
        <v>1223</v>
      </c>
    </row>
    <row r="8">
      <c r="A8" s="9" t="n">
        <v>1935</v>
      </c>
      <c r="B8" s="9" t="n">
        <v>33</v>
      </c>
      <c r="C8" s="6" t="n">
        <v>9935</v>
      </c>
      <c r="D8" s="6" t="n">
        <v>4366</v>
      </c>
      <c r="E8" s="6" t="n">
        <v>2339</v>
      </c>
      <c r="F8" s="9" t="n">
        <v>515</v>
      </c>
      <c r="G8" s="6" t="n">
        <v>5103</v>
      </c>
      <c r="H8" s="6" t="n">
        <v>1580</v>
      </c>
    </row>
    <row r="9">
      <c r="A9" s="9" t="n">
        <v>1936</v>
      </c>
      <c r="B9" s="9" t="n">
        <v>65</v>
      </c>
      <c r="C9" s="6" t="n">
        <v>11272</v>
      </c>
      <c r="D9" s="6" t="n">
        <v>5644</v>
      </c>
      <c r="E9" s="6" t="n">
        <v>2422</v>
      </c>
      <c r="F9" s="9" t="n">
        <v>722</v>
      </c>
      <c r="G9" s="6" t="n">
        <v>7081</v>
      </c>
      <c r="H9" s="6" t="n">
        <v>1830</v>
      </c>
    </row>
    <row r="10">
      <c r="A10" s="9" t="n">
        <v>1937</v>
      </c>
      <c r="B10" s="9" t="n">
        <v>80</v>
      </c>
      <c r="C10" s="6" t="n">
        <v>13103</v>
      </c>
      <c r="D10" s="6" t="n">
        <v>5386</v>
      </c>
      <c r="E10" t="inlineStr">
        <is>
          <t>—</t>
        </is>
      </c>
      <c r="F10" s="6" t="n">
        <v>1132</v>
      </c>
      <c r="G10" s="6" t="n">
        <v>38066</v>
      </c>
      <c r="H10" s="6" t="n">
        <v>3508</v>
      </c>
    </row>
    <row r="11">
      <c r="A11" s="9" t="n">
        <v>1938</v>
      </c>
      <c r="B11" t="inlineStr">
        <is>
          <t>—</t>
        </is>
      </c>
      <c r="C11" t="inlineStr">
        <is>
          <t>—</t>
        </is>
      </c>
      <c r="D11" t="inlineStr">
        <is>
          <t>—</t>
        </is>
      </c>
      <c r="E11" t="inlineStr">
        <is>
          <t>—</t>
        </is>
      </c>
      <c r="F11" s="6" t="n">
        <v>6311</v>
      </c>
      <c r="G11" s="6" t="n">
        <v>38230</v>
      </c>
      <c r="H11" s="6" t="n">
        <v>7311</v>
      </c>
    </row>
    <row r="12">
      <c r="A12" s="9" t="n">
        <v>1939</v>
      </c>
      <c r="B12" s="9" t="n">
        <v>206</v>
      </c>
      <c r="C12" s="6" t="n">
        <v>20547</v>
      </c>
      <c r="D12" s="6" t="n">
        <v>16718</v>
      </c>
      <c r="E12" t="inlineStr">
        <is>
          <t>—</t>
        </is>
      </c>
      <c r="F12" t="inlineStr">
        <is>
          <t>—</t>
        </is>
      </c>
      <c r="G12" t="inlineStr">
        <is>
          <t>—</t>
        </is>
      </c>
      <c r="H12" t="inlineStr">
        <is>
          <t>—</t>
        </is>
      </c>
    </row>
    <row r="13">
      <c r="A13" t="inlineStr">
        <is>
          <t>Private:</t>
        </is>
      </c>
      <c r="B13" t="inlineStr"/>
      <c r="C13" t="inlineStr"/>
      <c r="D13" t="inlineStr"/>
      <c r="E13" t="inlineStr"/>
      <c r="F13" t="inlineStr"/>
      <c r="G13" t="inlineStr"/>
      <c r="H13" t="inlineStr"/>
    </row>
    <row r="14">
      <c r="A14" s="9" t="n">
        <v>1934</v>
      </c>
      <c r="B14" s="9" t="n">
        <v>32</v>
      </c>
      <c r="C14" s="6" t="n">
        <v>3752</v>
      </c>
      <c r="D14" s="6" t="n">
        <v>3311</v>
      </c>
      <c r="E14" s="6" t="n">
        <v>2195</v>
      </c>
      <c r="F14" t="inlineStr">
        <is>
          <t>—</t>
        </is>
      </c>
      <c r="G14" t="inlineStr">
        <is>
          <t>—</t>
        </is>
      </c>
      <c r="H14" t="inlineStr">
        <is>
          <t>—</t>
        </is>
      </c>
    </row>
    <row r="15">
      <c r="A15" s="9" t="n">
        <v>1935</v>
      </c>
      <c r="B15" s="9" t="n">
        <v>63</v>
      </c>
      <c r="C15" s="6" t="n">
        <v>4693</v>
      </c>
      <c r="D15" s="6" t="n">
        <v>4125</v>
      </c>
      <c r="E15" s="6" t="n">
        <v>3830</v>
      </c>
      <c r="F15" s="6" t="n">
        <v>34278</v>
      </c>
      <c r="G15" s="6" t="n">
        <v>16742</v>
      </c>
      <c r="H15" s="6" t="n">
        <v>3239</v>
      </c>
    </row>
    <row r="16">
      <c r="A16" s="9" t="n">
        <v>1936</v>
      </c>
      <c r="B16" s="9" t="n">
        <v>104</v>
      </c>
      <c r="C16" s="6" t="n">
        <v>5518</v>
      </c>
      <c r="D16" s="6" t="n">
        <v>4215</v>
      </c>
      <c r="E16" s="6" t="n">
        <v>4174</v>
      </c>
      <c r="F16" s="6" t="n">
        <v>43697</v>
      </c>
      <c r="G16" s="6" t="n">
        <v>41252</v>
      </c>
      <c r="H16" s="6" t="n">
        <v>4389</v>
      </c>
    </row>
    <row r="17">
      <c r="A17" s="9" t="n">
        <v>1937</v>
      </c>
      <c r="B17" s="9" t="n">
        <v>123</v>
      </c>
      <c r="C17" s="6" t="n">
        <v>6687</v>
      </c>
      <c r="D17" s="6" t="n">
        <v>6500</v>
      </c>
      <c r="E17" t="inlineStr">
        <is>
          <t>—</t>
        </is>
      </c>
      <c r="F17" s="6" t="n">
        <v>72821</v>
      </c>
      <c r="G17" t="inlineStr">
        <is>
          <t>—</t>
        </is>
      </c>
      <c r="H17" s="6" t="n">
        <v>5997</v>
      </c>
    </row>
    <row r="18">
      <c r="A18" s="9" t="n">
        <v>1938</v>
      </c>
      <c r="B18" t="inlineStr">
        <is>
          <t>—</t>
        </is>
      </c>
      <c r="C18" s="6" t="n">
        <v>6922</v>
      </c>
      <c r="D18" t="inlineStr">
        <is>
          <t>—</t>
        </is>
      </c>
      <c r="E18" t="inlineStr">
        <is>
          <t>—</t>
        </is>
      </c>
      <c r="F18" t="inlineStr">
        <is>
          <t>—</t>
        </is>
      </c>
      <c r="G18" t="inlineStr">
        <is>
          <t>—</t>
        </is>
      </c>
      <c r="H18" t="inlineStr">
        <is>
          <t>—</t>
        </is>
      </c>
    </row>
    <row r="19">
      <c r="A19" s="9" t="n">
        <v>1939</v>
      </c>
      <c r="B19" t="inlineStr">
        <is>
          <t>—</t>
        </is>
      </c>
      <c r="C19" s="6" t="n">
        <v>7144</v>
      </c>
      <c r="D19" s="6" t="n">
        <v>7144</v>
      </c>
      <c r="E19" t="inlineStr">
        <is>
          <t>—</t>
        </is>
      </c>
      <c r="F19" t="inlineStr">
        <is>
          <t>—</t>
        </is>
      </c>
      <c r="G19" t="inlineStr">
        <is>
          <t>—</t>
        </is>
      </c>
      <c r="H19" t="inlineStr">
        <is>
          <t>—</t>
        </is>
      </c>
    </row>
    <row r="21">
      <c r="A21" s="2" t="inlineStr">
        <is>
          <t>Transcriber's notes</t>
        </is>
      </c>
    </row>
    <row r="22">
      <c r="A22" t="inlineStr">
        <is>
          <t>Total Receipts column printed at the gutter; legible.</t>
        </is>
      </c>
    </row>
    <row r="23">
      <c r="A23" t="inlineStr">
        <is>
          <t>No totals printed.</t>
        </is>
      </c>
    </row>
  </sheetData>
  <hyperlinks>
    <hyperlink xmlns:r="http://schemas.openxmlformats.org/officeDocument/2006/relationships" ref="A3" r:id="rId1"/>
  </hyperlink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C2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State Bus Lines</t>
        </is>
      </c>
    </row>
    <row r="2">
      <c r="A2" t="inlineStr">
        <is>
          <t>Transportation · printed pp. 575, 576, 577, 578</t>
        </is>
      </c>
    </row>
    <row r="3">
      <c r="A3" t="inlineStr">
        <is>
          <t>(April, 1939)</t>
        </is>
      </c>
    </row>
    <row r="4">
      <c r="A4" s="3" t="inlineStr">
        <is>
          <t>← Contents</t>
        </is>
      </c>
    </row>
    <row r="6">
      <c r="A6" s="2" t="inlineStr">
        <is>
          <t>Mukden Railway Bureau (Total Length: 1,857 kms.)</t>
        </is>
      </c>
    </row>
    <row r="7">
      <c r="A7" s="5" t="inlineStr">
        <is>
          <t>Line</t>
        </is>
      </c>
      <c r="B7" s="5" t="inlineStr">
        <is>
          <t>Route</t>
        </is>
      </c>
      <c r="C7" s="5" t="inlineStr">
        <is>
          <t>Kms.</t>
        </is>
      </c>
    </row>
    <row r="8">
      <c r="A8" t="inlineStr">
        <is>
          <t>Ancheng Line</t>
        </is>
      </c>
      <c r="B8" t="inlineStr">
        <is>
          <t>Antung-Chengtzutuan</t>
        </is>
      </c>
      <c r="C8" s="9" t="n">
        <v>232</v>
      </c>
    </row>
    <row r="9">
      <c r="A9" t="inlineStr">
        <is>
          <t>Ancheng Line</t>
        </is>
      </c>
      <c r="B9" t="inlineStr">
        <is>
          <t>" -Hungchikai</t>
        </is>
      </c>
      <c r="C9" s="9" t="n">
        <v>52</v>
      </c>
    </row>
    <row r="10">
      <c r="A10" t="inlineStr">
        <is>
          <t>Ancheng Line</t>
        </is>
      </c>
      <c r="B10" t="inlineStr">
        <is>
          <t>" -Wulungpei</t>
        </is>
      </c>
      <c r="C10" s="9" t="n">
        <v>22</v>
      </c>
    </row>
    <row r="11">
      <c r="A11" t="inlineStr">
        <is>
          <t>Ancheng Line</t>
        </is>
      </c>
      <c r="B11" t="inlineStr">
        <is>
          <t>Hoshenkou-Lungwangmiao</t>
        </is>
      </c>
      <c r="C11" s="9" t="n">
        <v>45</v>
      </c>
    </row>
    <row r="12">
      <c r="A12" t="inlineStr">
        <is>
          <t>Ancheng Line</t>
        </is>
      </c>
      <c r="B12" t="inlineStr">
        <is>
          <t>Takushan-Fenghuangcheng</t>
        </is>
      </c>
      <c r="C12" s="9" t="n">
        <v>96</v>
      </c>
    </row>
    <row r="13">
      <c r="A13" t="inlineStr">
        <is>
          <t>Ancheng Line</t>
        </is>
      </c>
      <c r="B13" t="inlineStr">
        <is>
          <t>" -Tashihchiao</t>
        </is>
      </c>
      <c r="C13" s="9" t="n">
        <v>175</v>
      </c>
    </row>
    <row r="14">
      <c r="A14" t="inlineStr">
        <is>
          <t>Ancheng Line</t>
        </is>
      </c>
      <c r="B14" t="inlineStr">
        <is>
          <t>Chuangho-Paipin</t>
        </is>
      </c>
      <c r="C14" s="9" t="n">
        <v>120</v>
      </c>
    </row>
    <row r="15">
      <c r="A15" t="inlineStr">
        <is>
          <t>Ancheng Line</t>
        </is>
      </c>
      <c r="B15" t="inlineStr">
        <is>
          <t>" -Siuyen</t>
        </is>
      </c>
      <c r="C15" s="9" t="n">
        <v>72</v>
      </c>
    </row>
    <row r="16">
      <c r="A16" t="inlineStr">
        <is>
          <t>Ancheng Line</t>
        </is>
      </c>
      <c r="B16" t="inlineStr">
        <is>
          <t>Chehmucheng-Pachakou</t>
        </is>
      </c>
      <c r="C16" s="9" t="n">
        <v>12</v>
      </c>
    </row>
    <row r="17">
      <c r="A17" t="inlineStr">
        <is>
          <t>Hainiu Line</t>
        </is>
      </c>
      <c r="B17" t="inlineStr">
        <is>
          <t>Haicheng-Niuchuang</t>
        </is>
      </c>
      <c r="C17" s="9" t="n">
        <v>25</v>
      </c>
    </row>
    <row r="18">
      <c r="A18" t="inlineStr">
        <is>
          <t>Hainiu Line</t>
        </is>
      </c>
      <c r="B18" t="inlineStr">
        <is>
          <t>Yingkow-Neuchuang</t>
        </is>
      </c>
      <c r="C18" s="9" t="n">
        <v>40</v>
      </c>
    </row>
    <row r="19">
      <c r="A19" t="inlineStr">
        <is>
          <t>Hailiao Line</t>
        </is>
      </c>
      <c r="B19" t="inlineStr">
        <is>
          <t>Haicheng-Liaoyang</t>
        </is>
      </c>
      <c r="C19" s="9" t="n">
        <v>62</v>
      </c>
    </row>
    <row r="20">
      <c r="A20" t="inlineStr">
        <is>
          <t>Anren Line</t>
        </is>
      </c>
      <c r="B20" t="inlineStr">
        <is>
          <t>Lishan-Liaoyang</t>
        </is>
      </c>
      <c r="C20" s="9" t="n">
        <v>16</v>
      </c>
    </row>
    <row r="21">
      <c r="A21" t="inlineStr">
        <is>
          <t>Fenghu Line</t>
        </is>
      </c>
      <c r="B21" t="inlineStr">
        <is>
          <t>Mukden-Fushun</t>
        </is>
      </c>
      <c r="C21" s="9" t="n">
        <v>56</v>
      </c>
    </row>
    <row r="22">
      <c r="A22" t="inlineStr">
        <is>
          <t>Hutieh Line</t>
        </is>
      </c>
      <c r="B22" t="inlineStr">
        <is>
          <t>Hushun-Tiehling</t>
        </is>
      </c>
      <c r="C22" s="9" t="n">
        <v>65</v>
      </c>
    </row>
    <row r="23">
      <c r="A23" t="inlineStr">
        <is>
          <t>Liaohu Line</t>
        </is>
      </c>
      <c r="B23" t="inlineStr">
        <is>
          <t>Hushun-Waitoushan</t>
        </is>
      </c>
      <c r="C23" s="9" t="n">
        <v>60</v>
      </c>
    </row>
    <row r="24">
      <c r="A24" t="inlineStr">
        <is>
          <t>Liaohu Line</t>
        </is>
      </c>
      <c r="B24" t="inlineStr">
        <is>
          <t>Waitoushan-Liaoyang</t>
        </is>
      </c>
      <c r="C24" s="9" t="n">
        <v>65</v>
      </c>
    </row>
    <row r="25">
      <c r="A25" t="inlineStr">
        <is>
          <t>Chenghu Line</t>
        </is>
      </c>
      <c r="B25" t="inlineStr">
        <is>
          <t>Hushun-Chengchang</t>
        </is>
      </c>
      <c r="C25" s="9" t="n">
        <v>110</v>
      </c>
    </row>
    <row r="26">
      <c r="A26" t="inlineStr">
        <is>
          <t>Fengcheng Line</t>
        </is>
      </c>
      <c r="B26" t="inlineStr">
        <is>
          <t>Mukden-Kangping</t>
        </is>
      </c>
      <c r="C26" s="9" t="n">
        <v>119</v>
      </c>
    </row>
    <row r="27">
      <c r="A27" t="inlineStr">
        <is>
          <t>Fengcheng Line</t>
        </is>
      </c>
      <c r="B27" t="inlineStr">
        <is>
          <t>Faku-Changkutai</t>
        </is>
      </c>
      <c r="C27" s="9" t="n">
        <v>108</v>
      </c>
    </row>
    <row r="28">
      <c r="A28" t="inlineStr">
        <is>
          <t>Fengcheng Line</t>
        </is>
      </c>
      <c r="B28" t="inlineStr">
        <is>
          <t>Faku-Tungchiangkou</t>
        </is>
      </c>
      <c r="C28" s="9" t="n">
        <v>29</v>
      </c>
    </row>
    <row r="29">
      <c r="A29" t="inlineStr">
        <is>
          <t>Fengcheng Line</t>
        </is>
      </c>
      <c r="B29" t="inlineStr">
        <is>
          <t>Hsiaokou-Kangping</t>
        </is>
      </c>
      <c r="C29" s="9" t="n">
        <v>39</v>
      </c>
    </row>
    <row r="30">
      <c r="A30" t="inlineStr">
        <is>
          <t>Fengcheng Line</t>
        </is>
      </c>
      <c r="B30" t="inlineStr">
        <is>
          <t>Faku-Ilu</t>
        </is>
      </c>
      <c r="C30" s="9" t="n">
        <v>72</v>
      </c>
    </row>
    <row r="31">
      <c r="A31" t="inlineStr">
        <is>
          <t>Minchang Line</t>
        </is>
      </c>
      <c r="B31" t="inlineStr">
        <is>
          <t>Hsinmin-Changwu</t>
        </is>
      </c>
      <c r="C31" s="9" t="n">
        <v>62</v>
      </c>
    </row>
    <row r="33">
      <c r="A33" s="2" t="inlineStr">
        <is>
          <t>Chinchow Railway Bureau (Total Length: 3,146 kms.)</t>
        </is>
      </c>
    </row>
    <row r="34">
      <c r="A34" s="5" t="inlineStr">
        <is>
          <t>Line</t>
        </is>
      </c>
      <c r="B34" s="5" t="inlineStr">
        <is>
          <t>Route</t>
        </is>
      </c>
      <c r="C34" s="5" t="inlineStr">
        <is>
          <t>Kms.</t>
        </is>
      </c>
    </row>
    <row r="35">
      <c r="A35" t="inlineStr">
        <is>
          <t>Jehol Line</t>
        </is>
      </c>
      <c r="B35" t="inlineStr">
        <is>
          <t>Lingyuan-Suichung</t>
        </is>
      </c>
      <c r="C35" s="9" t="n">
        <v>184</v>
      </c>
    </row>
    <row r="36">
      <c r="A36" t="inlineStr">
        <is>
          <t>Jehol Line</t>
        </is>
      </c>
      <c r="B36" t="inlineStr">
        <is>
          <t>Suichung-Minshuitangpienmen</t>
        </is>
      </c>
      <c r="C36" s="9" t="n">
        <v>43</v>
      </c>
    </row>
    <row r="37">
      <c r="A37" t="inlineStr">
        <is>
          <t>Jehol Line</t>
        </is>
      </c>
      <c r="B37" t="inlineStr">
        <is>
          <t>Pingchuan-Hsifengkou</t>
        </is>
      </c>
      <c r="C37" s="9" t="n">
        <v>97</v>
      </c>
    </row>
    <row r="38">
      <c r="A38" t="inlineStr">
        <is>
          <t>Jehol Line</t>
        </is>
      </c>
      <c r="B38" t="inlineStr">
        <is>
          <t>Lamatung-Chinglung</t>
        </is>
      </c>
      <c r="C38" s="9" t="n">
        <v>103</v>
      </c>
    </row>
    <row r="39">
      <c r="A39" t="inlineStr">
        <is>
          <t>Jehol Line</t>
        </is>
      </c>
      <c r="B39" t="inlineStr">
        <is>
          <t>Chinglung-Hsiatien</t>
        </is>
      </c>
      <c r="C39" s="9" t="n">
        <v>69</v>
      </c>
    </row>
    <row r="40">
      <c r="A40" t="inlineStr">
        <is>
          <t>Jehol Line</t>
        </is>
      </c>
      <c r="B40" t="inlineStr">
        <is>
          <t>Pingchuan-Hsichiao</t>
        </is>
      </c>
      <c r="C40" s="9" t="n">
        <v>131</v>
      </c>
    </row>
    <row r="41">
      <c r="A41" t="inlineStr">
        <is>
          <t>Jehol Line</t>
        </is>
      </c>
      <c r="B41" t="inlineStr">
        <is>
          <t>Hsichiao-Nolin</t>
        </is>
      </c>
      <c r="C41" s="9" t="n">
        <v>20</v>
      </c>
    </row>
    <row r="42">
      <c r="A42" t="inlineStr">
        <is>
          <t>Jehol Line</t>
        </is>
      </c>
      <c r="B42" t="inlineStr">
        <is>
          <t>Hsichiao-Chihfeng</t>
        </is>
      </c>
      <c r="C42" t="inlineStr">
        <is>
          <t>*59</t>
        </is>
      </c>
    </row>
    <row r="43">
      <c r="A43" t="inlineStr">
        <is>
          <t>Jehol Line</t>
        </is>
      </c>
      <c r="B43" t="inlineStr">
        <is>
          <t>Chengteh-Weichang</t>
        </is>
      </c>
      <c r="C43" s="9" t="n">
        <v>135</v>
      </c>
    </row>
    <row r="44">
      <c r="A44" t="inlineStr">
        <is>
          <t>Jehol Line</t>
        </is>
      </c>
      <c r="B44" t="inlineStr">
        <is>
          <t>Sanchakou-Kupeikou</t>
        </is>
      </c>
      <c r="C44" s="9" t="n">
        <v>91</v>
      </c>
    </row>
    <row r="45">
      <c r="A45" t="inlineStr">
        <is>
          <t>Jehol Line</t>
        </is>
      </c>
      <c r="B45" t="inlineStr">
        <is>
          <t>Yingpang-Fengning</t>
        </is>
      </c>
      <c r="C45" s="9" t="n">
        <v>47</v>
      </c>
    </row>
    <row r="46">
      <c r="A46" t="inlineStr">
        <is>
          <t>Jehol Line</t>
        </is>
      </c>
      <c r="B46" t="inlineStr">
        <is>
          <t>Lingyuan-Lengkou</t>
        </is>
      </c>
      <c r="C46" s="9" t="n">
        <v>164</v>
      </c>
    </row>
    <row r="47">
      <c r="A47" t="inlineStr">
        <is>
          <t>Jehol Line</t>
        </is>
      </c>
      <c r="B47" t="inlineStr">
        <is>
          <t>Chengteh City</t>
        </is>
      </c>
      <c r="C47" s="9" t="n">
        <v>3</v>
      </c>
    </row>
    <row r="48">
      <c r="A48" t="inlineStr">
        <is>
          <t>Chinfu Line</t>
        </is>
      </c>
      <c r="B48" t="inlineStr">
        <is>
          <t>Chinchow-Sihaikuo</t>
        </is>
      </c>
      <c r="C48" s="9" t="n">
        <v>36</v>
      </c>
    </row>
    <row r="49">
      <c r="A49" t="inlineStr">
        <is>
          <t>Chinfu Line</t>
        </is>
      </c>
      <c r="B49" t="inlineStr">
        <is>
          <t>Hsingshan-Hulutao</t>
        </is>
      </c>
      <c r="C49" s="9" t="n">
        <v>45</v>
      </c>
    </row>
    <row r="50">
      <c r="A50" t="inlineStr">
        <is>
          <t>Chinfu Line</t>
        </is>
      </c>
      <c r="B50" t="inlineStr">
        <is>
          <t>Chinsi-Yangchiachangtzu</t>
        </is>
      </c>
      <c r="C50" s="9" t="n">
        <v>35</v>
      </c>
    </row>
    <row r="51">
      <c r="A51" t="inlineStr">
        <is>
          <t>Chinfu Line</t>
        </is>
      </c>
      <c r="B51" t="inlineStr">
        <is>
          <t>Chinchow City</t>
        </is>
      </c>
      <c r="C51" s="9" t="n">
        <v>11</v>
      </c>
    </row>
    <row r="52">
      <c r="A52" t="inlineStr">
        <is>
          <t>(no line heading printed)</t>
        </is>
      </c>
      <c r="B52" t="inlineStr">
        <is>
          <t>Chaoyang-Chienping</t>
        </is>
      </c>
      <c r="C52" s="9" t="n">
        <v>82</v>
      </c>
    </row>
    <row r="53">
      <c r="A53" t="inlineStr">
        <is>
          <t>(no line heading printed)</t>
        </is>
      </c>
      <c r="B53" t="inlineStr">
        <is>
          <t>Yehaishou-Hsinghui</t>
        </is>
      </c>
      <c r="C53" s="9" t="n">
        <v>115</v>
      </c>
    </row>
    <row r="54">
      <c r="A54" t="inlineStr">
        <is>
          <t>(no line heading printed)</t>
        </is>
      </c>
      <c r="B54" t="inlineStr">
        <is>
          <t>Tahushan-Hsiatientzu</t>
        </is>
      </c>
      <c r="C54" s="9" t="n">
        <v>32</v>
      </c>
    </row>
    <row r="55">
      <c r="A55" t="inlineStr">
        <is>
          <t>(no line heading printed)</t>
        </is>
      </c>
      <c r="B55" t="inlineStr">
        <is>
          <t>Weichang-Chihfeng</t>
        </is>
      </c>
      <c r="C55" t="inlineStr">
        <is>
          <t>*130</t>
        </is>
      </c>
    </row>
    <row r="56">
      <c r="A56" t="inlineStr">
        <is>
          <t>(no line heading printed)</t>
        </is>
      </c>
      <c r="B56" t="inlineStr">
        <is>
          <t>Weichang-Tolun</t>
        </is>
      </c>
      <c r="C56" t="inlineStr">
        <is>
          <t>*130</t>
        </is>
      </c>
    </row>
    <row r="57">
      <c r="A57" t="inlineStr">
        <is>
          <t>(no line heading printed)</t>
        </is>
      </c>
      <c r="B57" t="inlineStr">
        <is>
          <t>Chihfeng-Linhsi</t>
        </is>
      </c>
      <c r="C57" s="9" t="n">
        <v>210</v>
      </c>
    </row>
    <row r="58">
      <c r="A58" t="inlineStr">
        <is>
          <t>Peiha Line</t>
        </is>
      </c>
      <c r="B58" t="inlineStr">
        <is>
          <t>Fuhsin-Halaton</t>
        </is>
      </c>
      <c r="C58" s="9" t="n">
        <v>62</v>
      </c>
    </row>
    <row r="59">
      <c r="A59" t="inlineStr">
        <is>
          <t>Peiha Line</t>
        </is>
      </c>
      <c r="B59" t="inlineStr">
        <is>
          <t>Pattuchangpienmen-Peichen</t>
        </is>
      </c>
      <c r="C59" s="9" t="n">
        <v>37</v>
      </c>
    </row>
    <row r="60">
      <c r="A60" t="inlineStr">
        <is>
          <t>Peiha Line</t>
        </is>
      </c>
      <c r="B60" t="inlineStr">
        <is>
          <t>Fuhsin-Tunglumutewang</t>
        </is>
      </c>
      <c r="C60" s="9" t="n">
        <v>21</v>
      </c>
    </row>
    <row r="61">
      <c r="A61" t="inlineStr">
        <is>
          <t>Peikai Line</t>
        </is>
      </c>
      <c r="B61" t="inlineStr">
        <is>
          <t>Peipiao-Namanchi</t>
        </is>
      </c>
      <c r="C61" s="9" t="n">
        <v>152</v>
      </c>
    </row>
    <row r="62">
      <c r="A62" t="inlineStr">
        <is>
          <t>Peikai Line</t>
        </is>
      </c>
      <c r="B62" t="inlineStr">
        <is>
          <t>Kailu-Namanchi</t>
        </is>
      </c>
      <c r="C62" s="9" t="n">
        <v>115</v>
      </c>
    </row>
    <row r="63">
      <c r="A63" t="inlineStr">
        <is>
          <t>Peikai Line</t>
        </is>
      </c>
      <c r="B63" t="inlineStr">
        <is>
          <t>Tungliao-Koutsinsuchi</t>
        </is>
      </c>
      <c r="C63" s="9" t="n">
        <v>92</v>
      </c>
    </row>
    <row r="64">
      <c r="A64" t="inlineStr">
        <is>
          <t>Tungchieng Line</t>
        </is>
      </c>
      <c r="B64" t="inlineStr">
        <is>
          <t>Tungliao-Kailu</t>
        </is>
      </c>
      <c r="C64" s="9" t="n">
        <v>86</v>
      </c>
    </row>
    <row r="65">
      <c r="A65" t="inlineStr">
        <is>
          <t>Tungchieng Line</t>
        </is>
      </c>
      <c r="B65" t="inlineStr">
        <is>
          <t>Kailu-Lintung</t>
        </is>
      </c>
      <c r="C65" s="9" t="n">
        <v>180</v>
      </c>
    </row>
    <row r="67">
      <c r="A67" s="2" t="inlineStr">
        <is>
          <t>Kirin Railway Bureau (Total Length: 1,861 kms.)</t>
        </is>
      </c>
    </row>
    <row r="68">
      <c r="A68" s="5" t="inlineStr">
        <is>
          <t>Line</t>
        </is>
      </c>
      <c r="B68" s="5" t="inlineStr">
        <is>
          <t>Route</t>
        </is>
      </c>
      <c r="C68" s="5" t="inlineStr">
        <is>
          <t>Kms.</t>
        </is>
      </c>
    </row>
    <row r="69">
      <c r="A69" t="inlineStr">
        <is>
          <t>Tunghua Line</t>
        </is>
      </c>
      <c r="B69" t="inlineStr">
        <is>
          <t>Tunghua-Tsian</t>
        </is>
      </c>
      <c r="C69" t="inlineStr">
        <is>
          <t>*116</t>
        </is>
      </c>
    </row>
    <row r="70">
      <c r="A70" t="inlineStr">
        <is>
          <t>Tunghua Line</t>
        </is>
      </c>
      <c r="B70" t="inlineStr">
        <is>
          <t>Tsian-Yangyutao</t>
        </is>
      </c>
      <c r="C70" s="9" t="n">
        <v>19</v>
      </c>
    </row>
    <row r="71">
      <c r="A71" t="inlineStr">
        <is>
          <t>Tunghua Line</t>
        </is>
      </c>
      <c r="B71" t="inlineStr">
        <is>
          <t>Tsian-Huangpai</t>
        </is>
      </c>
      <c r="C71" s="9" t="n">
        <v>34</v>
      </c>
    </row>
    <row r="72">
      <c r="A72" t="inlineStr">
        <is>
          <t>Tunghua Line</t>
        </is>
      </c>
      <c r="B72" t="inlineStr">
        <is>
          <t>Tunghua-Pataohao</t>
        </is>
      </c>
      <c r="C72" s="9" t="n">
        <v>60</v>
      </c>
    </row>
    <row r="73">
      <c r="A73" t="inlineStr">
        <is>
          <t>Tunghua Line</t>
        </is>
      </c>
      <c r="B73" t="inlineStr">
        <is>
          <t>" -Haunjen</t>
        </is>
      </c>
      <c r="C73" s="9" t="n">
        <v>94</v>
      </c>
    </row>
    <row r="74">
      <c r="A74" t="inlineStr">
        <is>
          <t>Tunghua Line</t>
        </is>
      </c>
      <c r="B74" t="inlineStr">
        <is>
          <t>" -Tunghua Station</t>
        </is>
      </c>
      <c r="C74" s="9" t="n">
        <v>5</v>
      </c>
    </row>
    <row r="75">
      <c r="A75" t="inlineStr">
        <is>
          <t>Tunghua Line</t>
        </is>
      </c>
      <c r="B75" t="inlineStr">
        <is>
          <t>Shanchengchen-Liuho Station</t>
        </is>
      </c>
      <c r="C75" s="9" t="n">
        <v>37</v>
      </c>
    </row>
    <row r="76">
      <c r="A76" t="inlineStr">
        <is>
          <t>Tunghua Line</t>
        </is>
      </c>
      <c r="B76" t="inlineStr">
        <is>
          <t>Liuho-Wufenglou</t>
        </is>
      </c>
      <c r="C76" s="9" t="n">
        <v>51</v>
      </c>
    </row>
    <row r="77">
      <c r="A77" t="inlineStr">
        <is>
          <t>Chaoyangchen Line</t>
        </is>
      </c>
      <c r="B77" t="inlineStr">
        <is>
          <t>Chaoyangchen-Fushung</t>
        </is>
      </c>
      <c r="C77" s="9" t="n">
        <v>145</v>
      </c>
    </row>
    <row r="78">
      <c r="A78" t="inlineStr">
        <is>
          <t>Chaoyangchen Line</t>
        </is>
      </c>
      <c r="B78" t="inlineStr">
        <is>
          <t>Peipinanchuan-Wutaokou</t>
        </is>
      </c>
      <c r="C78" s="9" t="n">
        <v>85</v>
      </c>
    </row>
    <row r="79">
      <c r="A79" t="inlineStr">
        <is>
          <t>Chaoyangchen Line</t>
        </is>
      </c>
      <c r="B79" t="inlineStr">
        <is>
          <t>Liuho-Kushantzu</t>
        </is>
      </c>
      <c r="C79" s="9" t="n">
        <v>28</v>
      </c>
    </row>
    <row r="80">
      <c r="A80" t="inlineStr">
        <is>
          <t>Kingki Line</t>
        </is>
      </c>
      <c r="B80" t="inlineStr">
        <is>
          <t>Hsinking-Kirin</t>
        </is>
      </c>
      <c r="C80" s="9" t="n">
        <v>126</v>
      </c>
    </row>
    <row r="81">
      <c r="A81" t="inlineStr">
        <is>
          <t>Kingki Line</t>
        </is>
      </c>
      <c r="B81" t="inlineStr">
        <is>
          <t>Kirin-Hsiaofengman</t>
        </is>
      </c>
      <c r="C81" s="9" t="n">
        <v>25</v>
      </c>
    </row>
    <row r="82">
      <c r="A82" t="inlineStr">
        <is>
          <t>Itung Line</t>
        </is>
      </c>
      <c r="B82" t="inlineStr">
        <is>
          <t>Itung-Panshih Station</t>
        </is>
      </c>
      <c r="C82" s="9" t="n">
        <v>80</v>
      </c>
    </row>
    <row r="83">
      <c r="A83" t="inlineStr">
        <is>
          <t>Itung Line</t>
        </is>
      </c>
      <c r="B83" t="inlineStr">
        <is>
          <t>" -Yentungshan Station</t>
        </is>
      </c>
      <c r="C83" s="9" t="n">
        <v>90</v>
      </c>
    </row>
    <row r="84">
      <c r="A84" t="inlineStr">
        <is>
          <t>Itung Line</t>
        </is>
      </c>
      <c r="B84" t="inlineStr">
        <is>
          <t>" -Shihling Station</t>
        </is>
      </c>
      <c r="C84" s="9" t="n">
        <v>60</v>
      </c>
    </row>
    <row r="85">
      <c r="A85" t="inlineStr">
        <is>
          <t>Itung Line</t>
        </is>
      </c>
      <c r="B85" t="inlineStr">
        <is>
          <t>Chaluho-Shuangyang</t>
        </is>
      </c>
      <c r="C85" s="9" t="n">
        <v>37</v>
      </c>
    </row>
    <row r="86">
      <c r="A86" t="inlineStr">
        <is>
          <t>Nungan Line</t>
        </is>
      </c>
      <c r="B86" t="inlineStr">
        <is>
          <t>Nungan-Fulungchuan</t>
        </is>
      </c>
      <c r="C86" s="9" t="n">
        <v>50</v>
      </c>
    </row>
    <row r="87">
      <c r="A87" t="inlineStr">
        <is>
          <t>Nungan Line</t>
        </is>
      </c>
      <c r="B87" t="inlineStr">
        <is>
          <t>" -Kuochiatun</t>
        </is>
      </c>
      <c r="C87" t="inlineStr">
        <is>
          <t>*25</t>
        </is>
      </c>
    </row>
    <row r="88">
      <c r="A88" t="inlineStr">
        <is>
          <t>Nungan Line</t>
        </is>
      </c>
      <c r="B88" t="inlineStr">
        <is>
          <t>" -Kaoshantun</t>
        </is>
      </c>
      <c r="C88" s="9" t="n">
        <v>60</v>
      </c>
    </row>
    <row r="89">
      <c r="A89" t="inlineStr">
        <is>
          <t>Nungan Line</t>
        </is>
      </c>
      <c r="B89" t="inlineStr">
        <is>
          <t>Kuochiatun-Tafangshen</t>
        </is>
      </c>
      <c r="C89" s="9" t="n">
        <v>49</v>
      </c>
    </row>
    <row r="90">
      <c r="A90" t="inlineStr">
        <is>
          <t>Nungan Line</t>
        </is>
      </c>
      <c r="B90" t="inlineStr">
        <is>
          <t>Mimen-Kaoshantung</t>
        </is>
      </c>
      <c r="C90" s="9" t="n">
        <v>30</v>
      </c>
    </row>
    <row r="91">
      <c r="A91" t="inlineStr">
        <is>
          <t>Chiutai Line</t>
        </is>
      </c>
      <c r="B91" t="inlineStr">
        <is>
          <t>Hsiachiutai Sta.-Shanghowan</t>
        </is>
      </c>
      <c r="C91" s="9" t="n">
        <v>82</v>
      </c>
    </row>
    <row r="92">
      <c r="A92" t="inlineStr">
        <is>
          <t>Chiutai Line</t>
        </is>
      </c>
      <c r="B92" t="inlineStr">
        <is>
          <t>Chitamu-Pachitun</t>
        </is>
      </c>
      <c r="C92" s="9" t="n">
        <v>45</v>
      </c>
    </row>
    <row r="93">
      <c r="A93" t="inlineStr">
        <is>
          <t>Chiutai Line</t>
        </is>
      </c>
      <c r="B93" t="inlineStr">
        <is>
          <t>Hsiachiutai Sta.-Ssutsingtsuitzu</t>
        </is>
      </c>
      <c r="C93" t="inlineStr">
        <is>
          <t>*</t>
        </is>
      </c>
    </row>
    <row r="94">
      <c r="A94" t="inlineStr">
        <is>
          <t>Chiutai Line</t>
        </is>
      </c>
      <c r="B94" t="inlineStr">
        <is>
          <t>Nankuan-Hsiachiutai Station</t>
        </is>
      </c>
      <c r="C94" s="9" t="n">
        <v>30</v>
      </c>
    </row>
    <row r="95">
      <c r="A95" t="inlineStr">
        <is>
          <t>Chiaoho Line</t>
        </is>
      </c>
      <c r="B95" t="inlineStr">
        <is>
          <t>Chiaoho-Pachiatzu</t>
        </is>
      </c>
      <c r="C95" s="9" t="n">
        <v>27</v>
      </c>
    </row>
    <row r="96">
      <c r="A96" t="inlineStr">
        <is>
          <t>Tunhai Line</t>
        </is>
      </c>
      <c r="B96" t="inlineStr">
        <is>
          <t>Tunhua-Kuanti</t>
        </is>
      </c>
      <c r="C96" s="9" t="n">
        <v>32</v>
      </c>
    </row>
    <row r="97">
      <c r="A97" t="inlineStr">
        <is>
          <t>Tunhai Line</t>
        </is>
      </c>
      <c r="B97" t="inlineStr">
        <is>
          <t>Kuanti-Emu</t>
        </is>
      </c>
      <c r="C97" s="9" t="n">
        <v>30</v>
      </c>
    </row>
    <row r="98">
      <c r="A98" t="inlineStr">
        <is>
          <t>Tunhai Line</t>
        </is>
      </c>
      <c r="B98" t="inlineStr">
        <is>
          <t>Tunhua-Emu</t>
        </is>
      </c>
      <c r="C98" t="inlineStr">
        <is>
          <t>*50</t>
        </is>
      </c>
    </row>
    <row r="99">
      <c r="A99" t="inlineStr">
        <is>
          <t>Tunhai Line</t>
        </is>
      </c>
      <c r="B99" t="inlineStr">
        <is>
          <t>Tungmen-Mahao</t>
        </is>
      </c>
      <c r="C99" s="9" t="n">
        <v>28</v>
      </c>
    </row>
    <row r="100">
      <c r="A100" t="inlineStr">
        <is>
          <t>Antu Line</t>
        </is>
      </c>
      <c r="B100" t="inlineStr">
        <is>
          <t>Mingyuehkuo-Antu</t>
        </is>
      </c>
      <c r="C100" s="9" t="n">
        <v>124</v>
      </c>
    </row>
    <row r="102">
      <c r="A102" s="2" t="inlineStr">
        <is>
          <t>Mutankiang Railway Bureau (Total Length: 1,894 kms.)</t>
        </is>
      </c>
    </row>
    <row r="103">
      <c r="A103" s="5" t="inlineStr">
        <is>
          <t>Line</t>
        </is>
      </c>
      <c r="B103" s="5" t="inlineStr">
        <is>
          <t>Route</t>
        </is>
      </c>
      <c r="C103" s="5" t="inlineStr">
        <is>
          <t>Kms.</t>
        </is>
      </c>
    </row>
    <row r="104">
      <c r="A104" t="inlineStr">
        <is>
          <t>Tungman Line</t>
        </is>
      </c>
      <c r="B104" t="inlineStr">
        <is>
          <t>Tumen-Mishan</t>
        </is>
      </c>
      <c r="C104" t="inlineStr">
        <is>
          <t>*45</t>
        </is>
      </c>
    </row>
    <row r="105">
      <c r="A105" t="inlineStr">
        <is>
          <t>Tungman Line</t>
        </is>
      </c>
      <c r="B105" t="inlineStr">
        <is>
          <t>Hunchung-Tinghsingchen</t>
        </is>
      </c>
      <c r="C105" s="9" t="n">
        <v>100</v>
      </c>
    </row>
    <row r="106">
      <c r="A106" t="inlineStr">
        <is>
          <t>Tungman Line</t>
        </is>
      </c>
      <c r="B106" t="inlineStr">
        <is>
          <t>" -Chingyuchiao</t>
        </is>
      </c>
      <c r="C106" s="9" t="n">
        <v>51</v>
      </c>
    </row>
    <row r="107">
      <c r="A107" t="inlineStr">
        <is>
          <t>Tungman Line</t>
        </is>
      </c>
      <c r="B107" t="inlineStr">
        <is>
          <t>Tahungkou-Lotzukou</t>
        </is>
      </c>
      <c r="C107" s="9" t="n">
        <v>82</v>
      </c>
    </row>
    <row r="108">
      <c r="A108" t="inlineStr">
        <is>
          <t>Tungman Line</t>
        </is>
      </c>
      <c r="B108" t="inlineStr">
        <is>
          <t>Suifenho-Sanchakou</t>
        </is>
      </c>
      <c r="C108" s="9" t="n">
        <v>62</v>
      </c>
    </row>
    <row r="109">
      <c r="A109" t="inlineStr">
        <is>
          <t>Tungman Line</t>
        </is>
      </c>
      <c r="B109" t="inlineStr">
        <is>
          <t>Sanchakou-Tinghsingchen</t>
        </is>
      </c>
      <c r="C109" s="9" t="n">
        <v>120</v>
      </c>
    </row>
    <row r="110">
      <c r="A110" t="inlineStr">
        <is>
          <t>Mishan Line</t>
        </is>
      </c>
      <c r="B110" t="inlineStr">
        <is>
          <t>Mishan-Pingyuang</t>
        </is>
      </c>
      <c r="C110" s="9" t="n">
        <v>78</v>
      </c>
    </row>
    <row r="111">
      <c r="A111" t="inlineStr">
        <is>
          <t>Mishan Line</t>
        </is>
      </c>
      <c r="B111" t="inlineStr">
        <is>
          <t>Pingyuang-Lishuchen</t>
        </is>
      </c>
      <c r="C111" s="9" t="n">
        <v>52</v>
      </c>
    </row>
    <row r="112">
      <c r="A112" t="inlineStr">
        <is>
          <t>Mishan Line</t>
        </is>
      </c>
      <c r="B112" t="inlineStr">
        <is>
          <t>Lishuchen-Mishan</t>
        </is>
      </c>
      <c r="C112" s="9" t="n">
        <v>22</v>
      </c>
    </row>
    <row r="113">
      <c r="A113" t="inlineStr">
        <is>
          <t>Mishan Line</t>
        </is>
      </c>
      <c r="B113" t="inlineStr">
        <is>
          <t>Mishan-Mishan Sta.</t>
        </is>
      </c>
      <c r="C113" s="9" t="n">
        <v>12</v>
      </c>
    </row>
    <row r="114">
      <c r="A114" t="inlineStr">
        <is>
          <t>Mishan Line</t>
        </is>
      </c>
      <c r="B114" t="inlineStr">
        <is>
          <t>Pingyuang-Pingyuang Sta.</t>
        </is>
      </c>
      <c r="C114" s="9" t="n">
        <v>12</v>
      </c>
    </row>
    <row r="115">
      <c r="A115" t="inlineStr">
        <is>
          <t>Mishan Line</t>
        </is>
      </c>
      <c r="B115" t="inlineStr">
        <is>
          <t>Poli-Chitaiho</t>
        </is>
      </c>
      <c r="C115" s="9" t="n">
        <v>32</v>
      </c>
    </row>
    <row r="116">
      <c r="A116" t="inlineStr">
        <is>
          <t>Hartung Line</t>
        </is>
      </c>
      <c r="B116" t="inlineStr">
        <is>
          <t>Shanhsin-Chiamussu</t>
        </is>
      </c>
      <c r="C116" s="9" t="n">
        <v>106</v>
      </c>
    </row>
    <row r="117">
      <c r="A117" t="inlineStr">
        <is>
          <t>Hartung Line</t>
        </is>
      </c>
      <c r="B117" t="inlineStr">
        <is>
          <t>Chiamussu-Huachuan</t>
        </is>
      </c>
      <c r="C117" s="9" t="n">
        <v>39</v>
      </c>
    </row>
    <row r="118">
      <c r="A118" t="inlineStr">
        <is>
          <t>Hartung Line</t>
        </is>
      </c>
      <c r="B118" t="inlineStr">
        <is>
          <t>Huachuan-Fuchin</t>
        </is>
      </c>
      <c r="C118" t="inlineStr">
        <is>
          <t>*113</t>
        </is>
      </c>
    </row>
    <row r="119">
      <c r="A119" t="inlineStr">
        <is>
          <t>Hartung Line</t>
        </is>
      </c>
      <c r="B119" t="inlineStr">
        <is>
          <t>Fuchin-Tungkiang</t>
        </is>
      </c>
      <c r="C119" s="9" t="n">
        <v>76</v>
      </c>
    </row>
    <row r="120">
      <c r="A120" t="inlineStr">
        <is>
          <t>Hartung Line</t>
        </is>
      </c>
      <c r="B120" t="inlineStr">
        <is>
          <t>Sanhsin-Poli</t>
        </is>
      </c>
      <c r="C120" s="9" t="n">
        <v>110</v>
      </c>
    </row>
    <row r="121">
      <c r="A121" t="inlineStr">
        <is>
          <t>Hartung Line</t>
        </is>
      </c>
      <c r="B121" t="inlineStr">
        <is>
          <t>Chiamussu-Fuchin</t>
        </is>
      </c>
      <c r="C121" s="9" t="n">
        <v>166</v>
      </c>
    </row>
    <row r="122">
      <c r="A122" t="inlineStr">
        <is>
          <t>Hartung Line</t>
        </is>
      </c>
      <c r="B122" t="inlineStr">
        <is>
          <t>Fuchin-Paoching</t>
        </is>
      </c>
      <c r="C122" s="9" t="n">
        <v>120</v>
      </c>
    </row>
    <row r="123">
      <c r="A123" t="inlineStr">
        <is>
          <t>Hartung Line</t>
        </is>
      </c>
      <c r="B123" t="inlineStr">
        <is>
          <t>Shakang-Paoching</t>
        </is>
      </c>
      <c r="C123" s="9" t="n">
        <v>139</v>
      </c>
    </row>
    <row r="124">
      <c r="A124" t="inlineStr">
        <is>
          <t>Hartung Line</t>
        </is>
      </c>
      <c r="B124" t="inlineStr">
        <is>
          <t>Chiamussu-Hsingshantun</t>
        </is>
      </c>
      <c r="C124" s="9" t="n">
        <v>205</v>
      </c>
    </row>
    <row r="125">
      <c r="A125" t="inlineStr">
        <is>
          <t>Hartung Line</t>
        </is>
      </c>
      <c r="B125" t="inlineStr">
        <is>
          <t>Chienchen Sta.-Huanying</t>
        </is>
      </c>
      <c r="C125" s="9" t="n">
        <v>5</v>
      </c>
    </row>
    <row r="126">
      <c r="A126" t="inlineStr">
        <is>
          <t>Hartung Line</t>
        </is>
      </c>
      <c r="B126" t="inlineStr">
        <is>
          <t>Huanying-Sanhsinchien</t>
        </is>
      </c>
      <c r="C126" s="9" t="n">
        <v>100</v>
      </c>
    </row>
    <row r="127">
      <c r="A127" t="inlineStr">
        <is>
          <t>Hartung Line</t>
        </is>
      </c>
      <c r="B127" t="inlineStr">
        <is>
          <t>Chiamussu City</t>
        </is>
      </c>
      <c r="C127" s="9" t="n">
        <v>19</v>
      </c>
    </row>
    <row r="129">
      <c r="A129" s="2" t="inlineStr">
        <is>
          <t>Harbin Railway Bureau (Total Length: 2,225 kms.)</t>
        </is>
      </c>
    </row>
    <row r="130">
      <c r="A130" s="5" t="inlineStr">
        <is>
          <t>Line</t>
        </is>
      </c>
      <c r="B130" s="5" t="inlineStr">
        <is>
          <t>Route</t>
        </is>
      </c>
      <c r="C130" s="5" t="inlineStr">
        <is>
          <t>Kms.</t>
        </is>
      </c>
    </row>
    <row r="131">
      <c r="A131" t="inlineStr">
        <is>
          <t>Hartung Line</t>
        </is>
      </c>
      <c r="B131" t="inlineStr">
        <is>
          <t>Harbin-Hulan</t>
        </is>
      </c>
      <c r="C131" s="9" t="n">
        <v>23</v>
      </c>
    </row>
    <row r="132">
      <c r="A132" t="inlineStr">
        <is>
          <t>Hartung Line</t>
        </is>
      </c>
      <c r="B132" t="inlineStr">
        <is>
          <t>Hulan-Mulan</t>
        </is>
      </c>
      <c r="C132" s="9" t="n">
        <v>122</v>
      </c>
    </row>
    <row r="133">
      <c r="A133" t="inlineStr">
        <is>
          <t>Hartung Line</t>
        </is>
      </c>
      <c r="B133" t="inlineStr">
        <is>
          <t>Mulan-Tungho</t>
        </is>
      </c>
      <c r="C133" s="9" t="n">
        <v>75</v>
      </c>
    </row>
    <row r="134">
      <c r="A134" t="inlineStr">
        <is>
          <t>Hartung Line</t>
        </is>
      </c>
      <c r="B134" t="inlineStr">
        <is>
          <t>Tungho-Sanhsin</t>
        </is>
      </c>
      <c r="C134" s="9" t="n">
        <v>81</v>
      </c>
    </row>
    <row r="135">
      <c r="A135" t="inlineStr">
        <is>
          <t>Hartung Line</t>
        </is>
      </c>
      <c r="B135" t="inlineStr">
        <is>
          <t>Fangcheng-Talomi</t>
        </is>
      </c>
      <c r="C135" s="9" t="n">
        <v>55</v>
      </c>
    </row>
    <row r="136">
      <c r="A136" t="inlineStr">
        <is>
          <t>Hartung Line</t>
        </is>
      </c>
      <c r="B136" t="inlineStr">
        <is>
          <t>Tungho-Fengshan</t>
        </is>
      </c>
      <c r="C136" s="9" t="n">
        <v>60</v>
      </c>
    </row>
    <row r="137">
      <c r="A137" t="inlineStr">
        <is>
          <t>Pingfeng Line</t>
        </is>
      </c>
      <c r="B137" t="inlineStr">
        <is>
          <t>Harbin-Pingfeng</t>
        </is>
      </c>
      <c r="C137" s="9" t="n">
        <v>26</v>
      </c>
    </row>
    <row r="138">
      <c r="A138" t="inlineStr">
        <is>
          <t>Lalin Line</t>
        </is>
      </c>
      <c r="B138" t="inlineStr">
        <is>
          <t>Harbin-Acheng Sta.</t>
        </is>
      </c>
      <c r="C138" s="9" t="n">
        <v>45</v>
      </c>
    </row>
    <row r="139">
      <c r="A139" t="inlineStr">
        <is>
          <t>Lalin Line</t>
        </is>
      </c>
      <c r="B139" t="inlineStr">
        <is>
          <t>Hsiangfang-Acheng</t>
        </is>
      </c>
      <c r="C139" s="9" t="n">
        <v>36</v>
      </c>
    </row>
    <row r="140">
      <c r="A140" t="inlineStr">
        <is>
          <t>Lalin Line</t>
        </is>
      </c>
      <c r="B140" t="inlineStr">
        <is>
          <t>Acheng-Lalin Sta.</t>
        </is>
      </c>
      <c r="C140" s="9" t="n">
        <v>38</v>
      </c>
    </row>
    <row r="141">
      <c r="A141" t="inlineStr">
        <is>
          <t>Lalin Line</t>
        </is>
      </c>
      <c r="B141" t="inlineStr">
        <is>
          <t>Acheng Sta.-Barrack</t>
        </is>
      </c>
      <c r="C141" s="9" t="n">
        <v>3</v>
      </c>
    </row>
    <row r="142">
      <c r="A142" t="inlineStr">
        <is>
          <t>Mankou Line</t>
        </is>
      </c>
      <c r="B142" t="inlineStr">
        <is>
          <t>Mankou-Yuyuan</t>
        </is>
      </c>
      <c r="C142" s="9" t="n">
        <v>98</v>
      </c>
    </row>
    <row r="143">
      <c r="A143" t="inlineStr">
        <is>
          <t>Mankou Line</t>
        </is>
      </c>
      <c r="B143" t="inlineStr">
        <is>
          <t>Yuyuan-Fuyu</t>
        </is>
      </c>
      <c r="C143" s="9" t="n">
        <v>50</v>
      </c>
    </row>
    <row r="144">
      <c r="A144" t="inlineStr">
        <is>
          <t>Mankou Line</t>
        </is>
      </c>
      <c r="B144" t="inlineStr">
        <is>
          <t>Mankou-Hsikang</t>
        </is>
      </c>
      <c r="C144" s="9" t="n">
        <v>82</v>
      </c>
    </row>
    <row r="145">
      <c r="A145" t="inlineStr">
        <is>
          <t>Mankou Line</t>
        </is>
      </c>
      <c r="B145" t="inlineStr">
        <is>
          <t>Hsikang-Mingshui</t>
        </is>
      </c>
      <c r="C145" s="9" t="n">
        <v>60</v>
      </c>
    </row>
    <row r="146">
      <c r="A146" t="inlineStr">
        <is>
          <t>Mankou Line</t>
        </is>
      </c>
      <c r="B146" t="inlineStr">
        <is>
          <t>Hsikang-Chifeipaching</t>
        </is>
      </c>
      <c r="C146" s="9" t="n">
        <v>52</v>
      </c>
    </row>
    <row r="147">
      <c r="A147" t="inlineStr">
        <is>
          <t>Mankou Line</t>
        </is>
      </c>
      <c r="B147" t="inlineStr">
        <is>
          <t>Lanhsi-Hulan</t>
        </is>
      </c>
      <c r="C147" s="9" t="n">
        <v>50</v>
      </c>
    </row>
    <row r="148">
      <c r="A148" t="inlineStr">
        <is>
          <t>(no line heading printed)</t>
        </is>
      </c>
      <c r="B148" t="inlineStr">
        <is>
          <t>Harbin-Loanchen</t>
        </is>
      </c>
      <c r="C148" s="9" t="n">
        <v>30</v>
      </c>
    </row>
    <row r="149">
      <c r="A149" t="inlineStr">
        <is>
          <t>Sanchaho Line</t>
        </is>
      </c>
      <c r="B149" t="inlineStr">
        <is>
          <t>Sanchaho-Wuchang</t>
        </is>
      </c>
      <c r="C149" s="9" t="n">
        <v>120</v>
      </c>
    </row>
    <row r="150">
      <c r="A150" t="inlineStr">
        <is>
          <t>Sanchaho Line</t>
        </is>
      </c>
      <c r="B150" t="inlineStr">
        <is>
          <t>" -Yushu</t>
        </is>
      </c>
      <c r="C150" s="9" t="n">
        <v>60</v>
      </c>
    </row>
    <row r="151">
      <c r="A151" t="inlineStr">
        <is>
          <t>Sanchaho Line</t>
        </is>
      </c>
      <c r="B151" t="inlineStr">
        <is>
          <t>Yushu-Pachitun</t>
        </is>
      </c>
      <c r="C151" s="9" t="n">
        <v>60</v>
      </c>
    </row>
    <row r="152">
      <c r="A152" t="inlineStr">
        <is>
          <t>Sanchaho Line</t>
        </is>
      </c>
      <c r="B152" t="inlineStr">
        <is>
          <t>Wukoshu-Taolaichao</t>
        </is>
      </c>
      <c r="C152" s="9" t="n">
        <v>23</v>
      </c>
    </row>
    <row r="153">
      <c r="A153" t="inlineStr">
        <is>
          <t>Sanchaho Line</t>
        </is>
      </c>
      <c r="B153" t="inlineStr">
        <is>
          <t>Kungpengtzu-Tapahao</t>
        </is>
      </c>
      <c r="C153" s="9" t="n">
        <v>12</v>
      </c>
    </row>
    <row r="154">
      <c r="A154" t="inlineStr">
        <is>
          <t>Sanchaho Line</t>
        </is>
      </c>
      <c r="B154" t="inlineStr">
        <is>
          <t>Hsinglungtien-Ssuchiafang</t>
        </is>
      </c>
      <c r="C154" s="9" t="n">
        <v>74</v>
      </c>
    </row>
    <row r="155">
      <c r="A155" t="inlineStr">
        <is>
          <t>Sanchaho Line</t>
        </is>
      </c>
      <c r="B155" t="inlineStr">
        <is>
          <t>Sanchaho-Fuyu</t>
        </is>
      </c>
      <c r="C155" s="9" t="n">
        <v>125</v>
      </c>
    </row>
    <row r="156">
      <c r="A156" t="inlineStr">
        <is>
          <t>Sanchaho Line</t>
        </is>
      </c>
      <c r="B156" t="inlineStr">
        <is>
          <t>Suchiaputzu-Wuchiachan</t>
        </is>
      </c>
      <c r="C156" s="9" t="n">
        <v>18</v>
      </c>
    </row>
    <row r="157">
      <c r="A157" t="inlineStr">
        <is>
          <t>Sanchaho Line</t>
        </is>
      </c>
      <c r="B157" t="inlineStr">
        <is>
          <t>Hsiaokungpengtzu-Fuyu</t>
        </is>
      </c>
      <c r="C157" s="9" t="n">
        <v>72</v>
      </c>
    </row>
    <row r="158">
      <c r="A158" t="inlineStr">
        <is>
          <t>Lalin Line</t>
        </is>
      </c>
      <c r="B158" t="inlineStr">
        <is>
          <t>Yushu-Lalin</t>
        </is>
      </c>
      <c r="C158" s="9" t="n">
        <v>59</v>
      </c>
    </row>
    <row r="159">
      <c r="A159" t="inlineStr">
        <is>
          <t>Nohei Line</t>
        </is>
      </c>
      <c r="B159" t="inlineStr">
        <is>
          <t>Heiho-Aigun</t>
        </is>
      </c>
      <c r="C159" s="9" t="n">
        <v>33</v>
      </c>
    </row>
    <row r="160">
      <c r="A160" t="inlineStr">
        <is>
          <t>Nohei Line</t>
        </is>
      </c>
      <c r="B160" t="inlineStr">
        <is>
          <t>Aigun-Chiko</t>
        </is>
      </c>
      <c r="C160" s="9" t="n">
        <v>114</v>
      </c>
    </row>
    <row r="161">
      <c r="A161" t="inlineStr">
        <is>
          <t>Nohei Line</t>
        </is>
      </c>
      <c r="B161" t="inlineStr">
        <is>
          <t>Heiho-Chinshangchen</t>
        </is>
      </c>
      <c r="C161" t="inlineStr">
        <is>
          <t>*225</t>
        </is>
      </c>
    </row>
    <row r="162">
      <c r="A162" t="inlineStr">
        <is>
          <t>Nohei Line</t>
        </is>
      </c>
      <c r="B162" t="inlineStr">
        <is>
          <t>" -Kantachi</t>
        </is>
      </c>
      <c r="C162" s="9" t="n">
        <v>124</v>
      </c>
    </row>
    <row r="163">
      <c r="A163" t="inlineStr">
        <is>
          <t>Nohei Line</t>
        </is>
      </c>
      <c r="B163" t="inlineStr">
        <is>
          <t>Sunwu-Chiko</t>
        </is>
      </c>
      <c r="C163" s="9" t="n">
        <v>115</v>
      </c>
    </row>
    <row r="164">
      <c r="A164" t="inlineStr">
        <is>
          <t>Nohei Line</t>
        </is>
      </c>
      <c r="B164" t="inlineStr">
        <is>
          <t>N. Sunwu Sta.-Barrack</t>
        </is>
      </c>
      <c r="C164" s="9" t="n">
        <v>5</v>
      </c>
    </row>
    <row r="166">
      <c r="A166" s="2" t="inlineStr">
        <is>
          <t>Tsitsihar Railway Bureau (Total Length: 2,826 kms.)</t>
        </is>
      </c>
    </row>
    <row r="167">
      <c r="A167" s="5" t="inlineStr">
        <is>
          <t>Line</t>
        </is>
      </c>
      <c r="B167" s="5" t="inlineStr">
        <is>
          <t>Route</t>
        </is>
      </c>
      <c r="C167" s="5" t="inlineStr">
        <is>
          <t>Kms.</t>
        </is>
      </c>
    </row>
    <row r="168">
      <c r="A168" t="inlineStr">
        <is>
          <t>Tsicha Line</t>
        </is>
      </c>
      <c r="B168" t="inlineStr">
        <is>
          <t>Tsitsihar-Kannan</t>
        </is>
      </c>
      <c r="C168" s="9" t="n">
        <v>107</v>
      </c>
    </row>
    <row r="169">
      <c r="A169" t="inlineStr">
        <is>
          <t>Tsicha Line</t>
        </is>
      </c>
      <c r="B169" t="inlineStr">
        <is>
          <t>Meiliszu-Fulaerhchi</t>
        </is>
      </c>
      <c r="C169" s="9" t="n">
        <v>14</v>
      </c>
    </row>
    <row r="170">
      <c r="A170" t="inlineStr">
        <is>
          <t>Tsicha Line</t>
        </is>
      </c>
      <c r="B170" t="inlineStr">
        <is>
          <t>Yungankai-Anganghsi</t>
        </is>
      </c>
      <c r="C170" s="9" t="n">
        <v>20</v>
      </c>
    </row>
    <row r="171">
      <c r="A171" t="inlineStr">
        <is>
          <t>Tsita Line</t>
        </is>
      </c>
      <c r="B171" t="inlineStr">
        <is>
          <t>Anganghsi-Tuerpete</t>
        </is>
      </c>
      <c r="C171" s="9" t="n">
        <v>100</v>
      </c>
    </row>
    <row r="172">
      <c r="A172" t="inlineStr">
        <is>
          <t>Tsita Line</t>
        </is>
      </c>
      <c r="B172" t="inlineStr">
        <is>
          <t>Talahar-Taikang Sta.</t>
        </is>
      </c>
      <c r="C172" s="9" t="n">
        <v>106</v>
      </c>
    </row>
    <row r="173">
      <c r="A173" t="inlineStr">
        <is>
          <t>Tsita Line</t>
        </is>
      </c>
      <c r="B173" t="inlineStr">
        <is>
          <t>Talahar-Tatungchen</t>
        </is>
      </c>
      <c r="C173" s="9" t="n">
        <v>74</v>
      </c>
    </row>
    <row r="174">
      <c r="A174" t="inlineStr">
        <is>
          <t>Nohei Line</t>
        </is>
      </c>
      <c r="B174" t="inlineStr">
        <is>
          <t>Noho-Puhsi</t>
        </is>
      </c>
      <c r="C174" s="9" t="n">
        <v>30</v>
      </c>
    </row>
    <row r="175">
      <c r="A175" t="inlineStr">
        <is>
          <t>Nohei Line</t>
        </is>
      </c>
      <c r="B175" t="inlineStr">
        <is>
          <t>Nunkiang City</t>
        </is>
      </c>
      <c r="C175" s="9" t="n">
        <v>6</v>
      </c>
    </row>
    <row r="176">
      <c r="A176" t="inlineStr">
        <is>
          <t>Tailai Line</t>
        </is>
      </c>
      <c r="B176" t="inlineStr">
        <is>
          <t>Tailai-Chinghsing</t>
        </is>
      </c>
      <c r="C176" s="9" t="n">
        <v>107</v>
      </c>
    </row>
    <row r="177">
      <c r="A177" t="inlineStr">
        <is>
          <t>Tailai Line</t>
        </is>
      </c>
      <c r="B177" t="inlineStr">
        <is>
          <t>Tatzucheng-Chalainoerh</t>
        </is>
      </c>
      <c r="C177" s="9" t="n">
        <v>22</v>
      </c>
    </row>
    <row r="178">
      <c r="A178" t="inlineStr">
        <is>
          <t>Tailai Line</t>
        </is>
      </c>
      <c r="B178" t="inlineStr">
        <is>
          <t>Fulaerchi-Puhsi</t>
        </is>
      </c>
      <c r="C178" s="9" t="n">
        <v>54</v>
      </c>
    </row>
    <row r="179">
      <c r="A179" t="inlineStr">
        <is>
          <t>Lintieh Line</t>
        </is>
      </c>
      <c r="B179" t="inlineStr">
        <is>
          <t>Taikang Sta.-Lintieh</t>
        </is>
      </c>
      <c r="C179" s="9" t="n">
        <v>55</v>
      </c>
    </row>
    <row r="180">
      <c r="A180" t="inlineStr">
        <is>
          <t>Lintieh Line</t>
        </is>
      </c>
      <c r="B180" t="inlineStr">
        <is>
          <t>Lintieh-Ian</t>
        </is>
      </c>
      <c r="C180" s="9" t="n">
        <v>55</v>
      </c>
    </row>
    <row r="181">
      <c r="A181" t="inlineStr">
        <is>
          <t>(no line heading printed)</t>
        </is>
      </c>
      <c r="B181" t="inlineStr">
        <is>
          <t>Tsitsihar-Lintieth</t>
        </is>
      </c>
      <c r="C181" s="9" t="n">
        <v>80</v>
      </c>
    </row>
    <row r="182">
      <c r="A182" t="inlineStr">
        <is>
          <t>Paichuan Line</t>
        </is>
      </c>
      <c r="B182" t="inlineStr">
        <is>
          <t>Anta Sta.-Paichuan</t>
        </is>
      </c>
      <c r="C182" s="9" t="n">
        <v>160</v>
      </c>
    </row>
    <row r="183">
      <c r="A183" t="inlineStr">
        <is>
          <t>Paichuan Line</t>
        </is>
      </c>
      <c r="B183" t="inlineStr">
        <is>
          <t>Paichuan-Koshan Sta.</t>
        </is>
      </c>
      <c r="C183" s="9" t="n">
        <v>65</v>
      </c>
    </row>
    <row r="184">
      <c r="A184" t="inlineStr">
        <is>
          <t>Paichuan Line</t>
        </is>
      </c>
      <c r="B184" t="inlineStr">
        <is>
          <t>Anta-Hsikiang</t>
        </is>
      </c>
      <c r="C184" s="9" t="n">
        <v>42</v>
      </c>
    </row>
    <row r="185">
      <c r="A185" t="inlineStr">
        <is>
          <t>Paichuan Line</t>
        </is>
      </c>
      <c r="B185" t="inlineStr">
        <is>
          <t>Paichuan-Hailun</t>
        </is>
      </c>
      <c r="C185" s="9" t="n">
        <v>85</v>
      </c>
    </row>
    <row r="186">
      <c r="A186" t="inlineStr">
        <is>
          <t>Paichuan Line</t>
        </is>
      </c>
      <c r="B186" t="inlineStr">
        <is>
          <t>" -Ian</t>
        </is>
      </c>
      <c r="C186" s="9" t="n">
        <v>65</v>
      </c>
    </row>
    <row r="187">
      <c r="A187" t="inlineStr">
        <is>
          <t>Paichuan Line</t>
        </is>
      </c>
      <c r="B187" t="inlineStr">
        <is>
          <t>Paichuan-Kotung Sta.</t>
        </is>
      </c>
      <c r="C187" s="9" t="n">
        <v>66</v>
      </c>
    </row>
    <row r="188">
      <c r="A188" t="inlineStr">
        <is>
          <t>Paichuan Line</t>
        </is>
      </c>
      <c r="B188" t="inlineStr">
        <is>
          <t>Koshan-Peihsingchen</t>
        </is>
      </c>
      <c r="C188" s="9" t="n">
        <v>58</v>
      </c>
    </row>
    <row r="189">
      <c r="A189" t="inlineStr">
        <is>
          <t>Paichuan Line</t>
        </is>
      </c>
      <c r="B189" t="inlineStr">
        <is>
          <t>Paichuan-Taian Sta.</t>
        </is>
      </c>
      <c r="C189" s="9" t="n">
        <v>81</v>
      </c>
    </row>
    <row r="190">
      <c r="A190" t="inlineStr">
        <is>
          <t>Paichuan Line</t>
        </is>
      </c>
      <c r="B190" t="inlineStr">
        <is>
          <t>Taian Sta.-Ian</t>
        </is>
      </c>
      <c r="C190" s="9" t="n">
        <v>47</v>
      </c>
    </row>
    <row r="191">
      <c r="A191" t="inlineStr">
        <is>
          <t>Antai Line</t>
        </is>
      </c>
      <c r="B191" t="inlineStr">
        <is>
          <t>Anta Sta.-Tatungchen</t>
        </is>
      </c>
      <c r="C191" s="9" t="n">
        <v>67</v>
      </c>
    </row>
    <row r="192">
      <c r="A192" t="inlineStr">
        <is>
          <t>Antai Line</t>
        </is>
      </c>
      <c r="B192" t="inlineStr">
        <is>
          <t>Tatungchen-Yuchow</t>
        </is>
      </c>
      <c r="C192" s="9" t="n">
        <v>57</v>
      </c>
    </row>
    <row r="193">
      <c r="A193" t="inlineStr">
        <is>
          <t>Hsingan Line</t>
        </is>
      </c>
      <c r="B193" t="inlineStr">
        <is>
          <t>Wengchuan-Hailar</t>
        </is>
      </c>
      <c r="C193" t="inlineStr">
        <is>
          <t>*285</t>
        </is>
      </c>
    </row>
    <row r="194">
      <c r="A194" t="inlineStr">
        <is>
          <t>Hsingan Line</t>
        </is>
      </c>
      <c r="B194" t="inlineStr">
        <is>
          <t>Hailar-Nalemutu</t>
        </is>
      </c>
      <c r="C194" s="9" t="n">
        <v>180</v>
      </c>
    </row>
    <row r="195">
      <c r="A195" t="inlineStr">
        <is>
          <t>(continued on p. 578, no line heading)</t>
        </is>
      </c>
      <c r="B195" t="inlineStr">
        <is>
          <t>Hailar City</t>
        </is>
      </c>
      <c r="C195" s="9" t="n">
        <v>10</v>
      </c>
    </row>
    <row r="196">
      <c r="A196" t="inlineStr">
        <is>
          <t>(continued on p. 578, no line heading)</t>
        </is>
      </c>
      <c r="B196" t="inlineStr">
        <is>
          <t>Taonan-Fengchuan</t>
        </is>
      </c>
      <c r="C196" s="9" t="n">
        <v>105</v>
      </c>
    </row>
    <row r="197">
      <c r="A197" t="inlineStr">
        <is>
          <t>(continued on p. 578, no line heading)</t>
        </is>
      </c>
      <c r="B197" t="inlineStr">
        <is>
          <t>Wangyehmiao-Fengchuan</t>
        </is>
      </c>
      <c r="C197" s="9" t="n">
        <v>113</v>
      </c>
    </row>
    <row r="198">
      <c r="A198" t="inlineStr">
        <is>
          <t>(continued on p. 578, no line heading)</t>
        </is>
      </c>
      <c r="B198" t="inlineStr">
        <is>
          <t>Sanchiatzu-Wafangchen</t>
        </is>
      </c>
      <c r="C198" s="9" t="n">
        <v>44</v>
      </c>
    </row>
    <row r="199">
      <c r="A199" t="inlineStr">
        <is>
          <t>(continued on p. 578, no line heading)</t>
        </is>
      </c>
      <c r="B199" t="inlineStr">
        <is>
          <t>Wangyehmiao-Wafangchen</t>
        </is>
      </c>
      <c r="C199" s="9" t="n">
        <v>65</v>
      </c>
    </row>
    <row r="200">
      <c r="A200" t="inlineStr">
        <is>
          <t>Kingtao Line</t>
        </is>
      </c>
      <c r="B200" t="inlineStr">
        <is>
          <t>Taonan-Ankuang</t>
        </is>
      </c>
      <c r="C200" t="inlineStr">
        <is>
          <t>*86</t>
        </is>
      </c>
    </row>
    <row r="201">
      <c r="A201" t="inlineStr">
        <is>
          <t>Kingtao Line</t>
        </is>
      </c>
      <c r="B201" t="inlineStr">
        <is>
          <t>Ankuang-Lungchuantun</t>
        </is>
      </c>
      <c r="C201" s="9" t="n">
        <v>30</v>
      </c>
    </row>
    <row r="202">
      <c r="A202" t="inlineStr">
        <is>
          <t>Kanan Line</t>
        </is>
      </c>
      <c r="B202" t="inlineStr">
        <is>
          <t>Kaitung-Chienkuochi</t>
        </is>
      </c>
      <c r="C202" s="9" t="n">
        <v>155</v>
      </c>
    </row>
    <row r="203">
      <c r="A203" t="inlineStr">
        <is>
          <t>Kanan Line</t>
        </is>
      </c>
      <c r="B203" t="inlineStr">
        <is>
          <t>Taipingchuang-Tanyu</t>
        </is>
      </c>
      <c r="C203" s="9" t="n">
        <v>45</v>
      </c>
    </row>
    <row r="204">
      <c r="A204" t="inlineStr">
        <is>
          <t>Kanan Line</t>
        </is>
      </c>
      <c r="B204" t="inlineStr">
        <is>
          <t>Tanyu-Kaitung</t>
        </is>
      </c>
      <c r="C204" s="9" t="n">
        <v>50</v>
      </c>
    </row>
    <row r="205">
      <c r="A205" t="inlineStr">
        <is>
          <t>Chienkuochi Line</t>
        </is>
      </c>
      <c r="B205" t="inlineStr">
        <is>
          <t>Chienkuochi-Fuyu</t>
        </is>
      </c>
      <c r="C205" s="9" t="n">
        <v>8</v>
      </c>
    </row>
    <row r="207">
      <c r="A207" s="2" t="inlineStr">
        <is>
          <t>Footnotes</t>
        </is>
      </c>
    </row>
    <row r="208">
      <c r="A208" t="inlineStr">
        <is>
          <t>Note: * Note in operation.</t>
        </is>
      </c>
    </row>
    <row r="210">
      <c r="A210" s="2" t="inlineStr">
        <is>
          <t>Transcriber's notes</t>
        </is>
      </c>
    </row>
    <row r="211">
      <c r="A211" t="inlineStr">
        <is>
          <t>Table runs pp. 575-578 across IMG_5745, 5746, 5747; each page after the first is headed '(Continued)'. One part per Railway Bureau; columns Line / Route / Kms. Each bureau is printed in two side-by-side column blocks; merged down left then down right.</t>
        </is>
      </c>
    </row>
    <row r="212">
      <c r="A212" t="inlineStr">
        <is>
          <t>Ditto marks (”) in route names are kept as the leading '" ' (meaning repeat of the starting place of the route above).</t>
        </is>
      </c>
    </row>
    <row r="213">
      <c r="A213" t="inlineStr">
        <is>
          <t>Rows whose Line is '(no line heading printed)' / '(continued ... no line heading)' are at the top of a right-hand block or a continuation page where no line heading is printed; they probably continue the preceding line but this is not stated.</t>
        </is>
      </c>
    </row>
    <row r="214">
      <c r="A214" t="inlineStr">
        <is>
          <t>Kirin: 'Hsiachiutai Sta.-Ssutsingtsuitzu' has only an asterisk in the Kms. column (no figure).</t>
        </is>
      </c>
    </row>
    <row r="215">
      <c r="A215" t="inlineStr">
        <is>
          <t>'Tunghua-Pataohao ... " -Haunjen' spelled 'Haunjen' in print (sic).</t>
        </is>
      </c>
    </row>
    <row r="216">
      <c r="A216" t="inlineStr">
        <is>
          <t>Mukden Railway Bureau: printed total 1,857 km; all listed routes sum to 1,754; excluding *-marked (not in operation) routes 1,754 — does NOT reconcile (diff vs all 103; vs operating 103).</t>
        </is>
      </c>
    </row>
    <row r="217">
      <c r="A217" t="inlineStr">
        <is>
          <t>Chinchow Railway Bureau: printed total 3,146 km; all listed routes sum to 2,717; excluding *-marked (not in operation) routes 2,398 — does NOT reconcile (diff vs all 429; vs operating 748).</t>
        </is>
      </c>
    </row>
    <row r="218">
      <c r="A218" t="inlineStr">
        <is>
          <t>Kirin Railway Bureau: printed total 1,861 km; all listed routes sum to 1,754; excluding *-marked (not in operation) routes 1,563 — does NOT reconcile (diff vs all 107; vs operating 298).</t>
        </is>
      </c>
    </row>
    <row r="219">
      <c r="A219" t="inlineStr">
        <is>
          <t>Mutankiang Railway Bureau: printed total 1,894 km; all listed routes sum to 1,866; excluding *-marked (not in operation) routes 1,708 — does NOT reconcile (diff vs all 28; vs operating 186).</t>
        </is>
      </c>
    </row>
    <row r="220">
      <c r="A220" t="inlineStr">
        <is>
          <t>Harbin Railway Bureau: printed total 2,225 km; all listed routes sum to 2,225; excluding *-marked (not in operation) routes 2,000 — reconciles.</t>
        </is>
      </c>
    </row>
    <row r="221">
      <c r="A221" t="inlineStr">
        <is>
          <t>Tsitsihar Railway Bureau: printed total 2,826 km; all listed routes sum to 2,799; excluding *-marked (not in operation) routes 2,428 — does NOT reconcile (diff vs all 27; vs operating 398).</t>
        </is>
      </c>
    </row>
    <row r="222">
      <c r="A222" t="inlineStr">
        <is>
          <t>Row completeness re-checked against the page images for every bureau after the sums failed; no rows found missing. Harbin reconciling exactly supports the reading method.</t>
        </is>
      </c>
    </row>
    <row r="223">
      <c r="A223" t="inlineStr">
        <is>
          <t>Footnote printed 'Note in operation' (sic, i.e. 'Not in operation').</t>
        </is>
      </c>
    </row>
  </sheetData>
  <hyperlinks>
    <hyperlink xmlns:r="http://schemas.openxmlformats.org/officeDocument/2006/relationships" ref="A4" r:id="rId1"/>
  </hyperlink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Navigation Bureaus by Territories</t>
        </is>
      </c>
    </row>
    <row r="2">
      <c r="A2" t="inlineStr">
        <is>
          <t>Transportation · printed pp. 579</t>
        </is>
      </c>
    </row>
    <row r="3">
      <c r="A3" s="3" t="inlineStr">
        <is>
          <t>← Contents</t>
        </is>
      </c>
    </row>
    <row r="5">
      <c r="A5" s="5" t="inlineStr">
        <is>
          <t>Bureau</t>
        </is>
      </c>
      <c r="B5" s="5" t="inlineStr">
        <is>
          <t>Seat</t>
        </is>
      </c>
      <c r="C5" s="5" t="inlineStr">
        <is>
          <t>Territory</t>
        </is>
      </c>
    </row>
    <row r="6">
      <c r="A6" t="inlineStr">
        <is>
          <t>Harbin Navigation Administration Bureau</t>
        </is>
      </c>
      <c r="B6" t="inlineStr">
        <is>
          <t>Harbin</t>
        </is>
      </c>
      <c r="C6" t="inlineStr">
        <is>
          <t>1st Sungari, 2nd Sungari, Ussuri, Nonni, Amur, Arugun and their branches and coasts.</t>
        </is>
      </c>
    </row>
    <row r="7">
      <c r="A7" t="inlineStr">
        <is>
          <t>Yingkow Navigation Administration Bureau</t>
        </is>
      </c>
      <c r="B7" t="inlineStr">
        <is>
          <t>Yingkow</t>
        </is>
      </c>
      <c r="C7" t="inlineStr">
        <is>
          <t>Pohai and the Liaoho which empties into it and other rivers, and their branches and coasts.</t>
        </is>
      </c>
    </row>
    <row r="8">
      <c r="A8" t="inlineStr">
        <is>
          <t>Antung Navigation Administration Bureau</t>
        </is>
      </c>
      <c r="B8" t="inlineStr">
        <is>
          <t>Antung</t>
        </is>
      </c>
      <c r="C8" t="inlineStr">
        <is>
          <t>Huanghai and the Yalu emptying into it and other rivers, and their tributaries and coasts.</t>
        </is>
      </c>
    </row>
    <row r="10">
      <c r="A10" s="2" t="inlineStr">
        <is>
          <t>Transcriber's notes</t>
        </is>
      </c>
    </row>
    <row r="11">
      <c r="A11" t="inlineStr">
        <is>
          <t>No column headings printed; 'Bureau', 'Seat', 'Territory' supplied. Administrative list, no figures.</t>
        </is>
      </c>
    </row>
  </sheetData>
  <hyperlinks>
    <hyperlink xmlns:r="http://schemas.openxmlformats.org/officeDocument/2006/relationships" ref="A3" r:id="rId1"/>
  </hyperlink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Regular River Voyage Course</t>
        </is>
      </c>
    </row>
    <row r="2">
      <c r="A2" t="inlineStr">
        <is>
          <t>Transportation · printed pp. 580</t>
        </is>
      </c>
    </row>
    <row r="3">
      <c r="A3" t="inlineStr">
        <is>
          <t>(1937)</t>
        </is>
      </c>
    </row>
    <row r="4">
      <c r="A4" s="3" t="inlineStr">
        <is>
          <t>← Contents</t>
        </is>
      </c>
    </row>
    <row r="6">
      <c r="A6" s="5" t="inlineStr">
        <is>
          <t>Course</t>
        </is>
      </c>
      <c r="B6" s="5" t="inlineStr">
        <is>
          <t>Kms.</t>
        </is>
      </c>
      <c r="C6" s="5" t="inlineStr">
        <is>
          <t>Vessels allotted — Steamers</t>
        </is>
      </c>
      <c r="D6" s="5" t="inlineStr">
        <is>
          <t>Vessels allotted — Lighters &amp; Sailing Vessels</t>
        </is>
      </c>
      <c r="E6" s="5" t="inlineStr">
        <is>
          <t>Vessels allotted — Total</t>
        </is>
      </c>
    </row>
    <row r="7">
      <c r="A7" t="inlineStr">
        <is>
          <t>Harbin-Fuchin</t>
        </is>
      </c>
      <c r="B7" s="9" t="n">
        <v>623</v>
      </c>
      <c r="C7" s="9" t="n">
        <v>349</v>
      </c>
      <c r="D7" s="9" t="n">
        <v>755</v>
      </c>
      <c r="E7" s="6" t="n">
        <v>1104</v>
      </c>
    </row>
    <row r="8">
      <c r="A8" t="inlineStr">
        <is>
          <t>Fuchin-Heiho</t>
        </is>
      </c>
      <c r="B8" s="9" t="n">
        <v>759</v>
      </c>
      <c r="C8" s="9" t="n">
        <v>26</v>
      </c>
      <c r="D8" s="9" t="n">
        <v>20</v>
      </c>
      <c r="E8" s="9" t="n">
        <v>46</v>
      </c>
    </row>
    <row r="9">
      <c r="A9" t="inlineStr">
        <is>
          <t>Heiho-Moho</t>
        </is>
      </c>
      <c r="B9" s="9" t="n">
        <v>827</v>
      </c>
      <c r="C9" s="9" t="n">
        <v>62</v>
      </c>
      <c r="D9" s="9" t="n">
        <v>35</v>
      </c>
      <c r="E9" s="9" t="n">
        <v>97</v>
      </c>
    </row>
    <row r="10">
      <c r="A10" t="inlineStr">
        <is>
          <t>Moho-Kokan</t>
        </is>
      </c>
      <c r="B10" s="9" t="n">
        <v>344</v>
      </c>
      <c r="C10" s="9" t="n">
        <v>17</v>
      </c>
      <c r="D10" s="9" t="n">
        <v>18</v>
      </c>
      <c r="E10" s="9" t="n">
        <v>35</v>
      </c>
    </row>
    <row r="11">
      <c r="A11" t="inlineStr">
        <is>
          <t>Fuchin-Hulin</t>
        </is>
      </c>
      <c r="B11" s="9" t="n">
        <v>663</v>
      </c>
      <c r="C11" s="9" t="n">
        <v>25</v>
      </c>
      <c r="D11" s="9" t="n">
        <v>15</v>
      </c>
      <c r="E11" s="9" t="n">
        <v>40</v>
      </c>
    </row>
    <row r="12">
      <c r="A12" t="inlineStr">
        <is>
          <t>Hulin-Huangkang</t>
        </is>
      </c>
      <c r="B12" s="9" t="n">
        <v>241</v>
      </c>
      <c r="C12" s="9" t="n">
        <v>26</v>
      </c>
      <c r="D12" s="9" t="n">
        <v>16</v>
      </c>
      <c r="E12" s="9" t="n">
        <v>52</v>
      </c>
    </row>
    <row r="13">
      <c r="A13" t="inlineStr">
        <is>
          <t>Hulin-Antungchen</t>
        </is>
      </c>
      <c r="B13" s="9" t="n">
        <v>190</v>
      </c>
      <c r="C13" s="9" t="n">
        <v>2</v>
      </c>
      <c r="D13" t="inlineStr">
        <is>
          <t>—</t>
        </is>
      </c>
      <c r="E13" s="9" t="n">
        <v>2</v>
      </c>
    </row>
    <row r="14">
      <c r="A14" t="inlineStr">
        <is>
          <t>Harbin-Fuyu-Talai</t>
        </is>
      </c>
      <c r="B14" s="9" t="n">
        <v>332</v>
      </c>
      <c r="C14" s="9" t="n">
        <v>42</v>
      </c>
      <c r="D14" s="9" t="n">
        <v>68</v>
      </c>
      <c r="E14" s="9" t="n">
        <v>110</v>
      </c>
    </row>
    <row r="15">
      <c r="A15" t="inlineStr">
        <is>
          <t>Harbin-Heiho</t>
        </is>
      </c>
      <c r="B15" s="6" t="n">
        <v>1418</v>
      </c>
      <c r="C15" s="9" t="n">
        <v>35</v>
      </c>
      <c r="D15" s="9" t="n">
        <v>35</v>
      </c>
      <c r="E15" s="9" t="n">
        <v>70</v>
      </c>
    </row>
    <row r="16">
      <c r="A16" t="inlineStr">
        <is>
          <t>Harbin-Hulin</t>
        </is>
      </c>
      <c r="B16" s="6" t="n">
        <v>1286</v>
      </c>
      <c r="C16" s="9" t="n">
        <v>37</v>
      </c>
      <c r="D16" s="9" t="n">
        <v>31</v>
      </c>
      <c r="E16" s="9" t="n">
        <v>68</v>
      </c>
    </row>
    <row r="17">
      <c r="A17" t="inlineStr">
        <is>
          <t>Harbin-Sansheng</t>
        </is>
      </c>
      <c r="B17" s="9" t="n">
        <v>341</v>
      </c>
      <c r="C17" s="9" t="n">
        <v>394</v>
      </c>
      <c r="D17" s="6" t="n">
        <v>1057</v>
      </c>
      <c r="E17" s="6" t="n">
        <v>1451</v>
      </c>
    </row>
    <row r="18">
      <c r="A18" t="inlineStr">
        <is>
          <t>Harbin-Chiamussu</t>
        </is>
      </c>
      <c r="B18" s="9" t="n">
        <v>451</v>
      </c>
      <c r="C18" s="9" t="n">
        <v>149</v>
      </c>
      <c r="D18" t="inlineStr">
        <is>
          <t>—</t>
        </is>
      </c>
      <c r="E18" s="9" t="n">
        <v>149</v>
      </c>
    </row>
    <row r="19">
      <c r="A19" t="inlineStr">
        <is>
          <t>Harbin-Chikote</t>
        </is>
      </c>
      <c r="B19" s="9" t="n">
        <v>154</v>
      </c>
      <c r="C19" s="9" t="n">
        <v>48</v>
      </c>
      <c r="D19" t="inlineStr">
        <is>
          <t>—</t>
        </is>
      </c>
      <c r="E19" s="9" t="n">
        <v>48</v>
      </c>
    </row>
    <row r="20">
      <c r="A20" t="inlineStr">
        <is>
          <t>Heiho-Wuyun</t>
        </is>
      </c>
      <c r="B20" s="9" t="n">
        <v>299</v>
      </c>
      <c r="C20" s="9" t="n">
        <v>8</v>
      </c>
      <c r="D20" t="inlineStr">
        <is>
          <t>—</t>
        </is>
      </c>
      <c r="E20" s="9" t="n">
        <v>8</v>
      </c>
    </row>
    <row r="21">
      <c r="A21" t="inlineStr">
        <is>
          <t>Chiamussu-Lienkiangkow</t>
        </is>
      </c>
      <c r="B21" s="9" t="n">
        <v>5</v>
      </c>
      <c r="C21" s="9" t="n">
        <v>718</v>
      </c>
      <c r="D21" t="inlineStr">
        <is>
          <t>—</t>
        </is>
      </c>
      <c r="E21" s="9" t="n">
        <v>718</v>
      </c>
    </row>
    <row r="23">
      <c r="A23" s="2" t="inlineStr">
        <is>
          <t>Transcriber's notes</t>
        </is>
      </c>
    </row>
    <row r="24">
      <c r="A24" t="inlineStr">
        <is>
          <t>Total column printed about half a line low; aligned in order (confirmed by row sums).</t>
        </is>
      </c>
    </row>
    <row r="25">
      <c r="A25" t="inlineStr">
        <is>
          <t>Row totals Steamers + Lighters = Total: all reconcile except Hulin-Huangkang: 42 vs 52 (re-read; as printed).</t>
        </is>
      </c>
    </row>
  </sheetData>
  <hyperlinks>
    <hyperlink xmlns:r="http://schemas.openxmlformats.org/officeDocument/2006/relationships" ref="A4" r:id="rId1"/>
  </hyperlink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8. Results of River Voyage</t>
        </is>
      </c>
    </row>
    <row r="2">
      <c r="A2" t="inlineStr">
        <is>
          <t>Transportation · printed pp. 580</t>
        </is>
      </c>
    </row>
    <row r="3">
      <c r="A3" s="3" t="inlineStr">
        <is>
          <t>← Contents</t>
        </is>
      </c>
    </row>
    <row r="5">
      <c r="A5" s="5" t="inlineStr">
        <is>
          <t>Year</t>
        </is>
      </c>
      <c r="B5" s="5" t="inlineStr">
        <is>
          <t>No. of days opened</t>
        </is>
      </c>
      <c r="C5" s="5" t="inlineStr">
        <is>
          <t>Operating kilometers</t>
        </is>
      </c>
      <c r="D5" s="5" t="inlineStr">
        <is>
          <t>Vessels — No.</t>
        </is>
      </c>
      <c r="E5" s="5" t="inlineStr">
        <is>
          <t>Vessels — Tonnage (1,000)</t>
        </is>
      </c>
      <c r="F5" s="5" t="inlineStr">
        <is>
          <t>No. of Passengers carried (1,000)</t>
        </is>
      </c>
      <c r="G5" s="5" t="inlineStr">
        <is>
          <t>Goods carried (1,000 tons)</t>
        </is>
      </c>
      <c r="H5" s="5" t="inlineStr">
        <is>
          <t>Total revenue (M¥1,000)</t>
        </is>
      </c>
    </row>
    <row r="6">
      <c r="A6" s="9" t="n">
        <v>1933</v>
      </c>
      <c r="B6" s="9" t="n">
        <v>201</v>
      </c>
      <c r="C6" s="6" t="n">
        <v>3866</v>
      </c>
      <c r="D6" s="9" t="n">
        <v>312</v>
      </c>
      <c r="E6" s="9" t="n">
        <v>124</v>
      </c>
      <c r="F6" s="9" t="n">
        <v>327</v>
      </c>
      <c r="G6" s="9" t="n">
        <v>663</v>
      </c>
      <c r="H6" s="6" t="n">
        <v>4938</v>
      </c>
    </row>
    <row r="7">
      <c r="A7" s="9" t="n">
        <v>1934</v>
      </c>
      <c r="B7" s="9" t="n">
        <v>200</v>
      </c>
      <c r="C7" s="6" t="n">
        <v>4820</v>
      </c>
      <c r="D7" s="9" t="n">
        <v>319</v>
      </c>
      <c r="E7" s="9" t="n">
        <v>120</v>
      </c>
      <c r="F7" s="9" t="n">
        <v>393</v>
      </c>
      <c r="G7" s="9" t="n">
        <v>821</v>
      </c>
      <c r="H7" s="6" t="n">
        <v>6484</v>
      </c>
    </row>
    <row r="8">
      <c r="A8" s="9" t="n">
        <v>1935</v>
      </c>
      <c r="B8" s="9" t="n">
        <v>208</v>
      </c>
      <c r="C8" s="6" t="n">
        <v>4478</v>
      </c>
      <c r="D8" s="9" t="n">
        <v>317</v>
      </c>
      <c r="E8" s="9" t="n">
        <v>120</v>
      </c>
      <c r="F8" s="9" t="n">
        <v>500</v>
      </c>
      <c r="G8" s="9" t="n">
        <v>755</v>
      </c>
      <c r="H8" s="6" t="n">
        <v>6146</v>
      </c>
    </row>
    <row r="9">
      <c r="A9" s="9" t="n">
        <v>1936</v>
      </c>
      <c r="B9" s="9" t="n">
        <v>202</v>
      </c>
      <c r="C9" s="6" t="n">
        <v>4478</v>
      </c>
      <c r="D9" s="9" t="n">
        <v>310</v>
      </c>
      <c r="E9" s="9" t="n">
        <v>119</v>
      </c>
      <c r="F9" s="9" t="n">
        <v>640</v>
      </c>
      <c r="G9" s="9" t="n">
        <v>846</v>
      </c>
      <c r="H9" s="6" t="n">
        <v>6439</v>
      </c>
    </row>
    <row r="10">
      <c r="A10" s="9" t="n">
        <v>1937</v>
      </c>
      <c r="B10" s="9" t="n">
        <v>207</v>
      </c>
      <c r="C10" s="6" t="n">
        <v>3753</v>
      </c>
      <c r="D10" s="9" t="n">
        <v>312</v>
      </c>
      <c r="E10" s="9" t="n">
        <v>118</v>
      </c>
      <c r="F10" s="9" t="n">
        <v>713</v>
      </c>
      <c r="G10" s="9" t="n">
        <v>803</v>
      </c>
      <c r="H10" s="6" t="n">
        <v>6422</v>
      </c>
    </row>
    <row r="11">
      <c r="A11" s="9" t="n">
        <v>1938</v>
      </c>
      <c r="B11" s="9" t="n">
        <v>219</v>
      </c>
      <c r="C11" s="6" t="n">
        <v>3753</v>
      </c>
      <c r="D11" s="9" t="n">
        <v>310</v>
      </c>
      <c r="E11" s="9" t="n">
        <v>118</v>
      </c>
      <c r="F11" s="9" t="n">
        <v>709</v>
      </c>
      <c r="G11" s="9" t="n">
        <v>885</v>
      </c>
      <c r="H11" s="6" t="n">
        <v>6223</v>
      </c>
    </row>
    <row r="13">
      <c r="A13" s="2" t="inlineStr">
        <is>
          <t>Transcriber's notes</t>
        </is>
      </c>
    </row>
    <row r="14">
      <c r="A14" t="inlineStr">
        <is>
          <t>No totals printed.</t>
        </is>
      </c>
    </row>
  </sheetData>
  <hyperlinks>
    <hyperlink xmlns:r="http://schemas.openxmlformats.org/officeDocument/2006/relationships" ref="A3" r:id="rId1"/>
  </hyperlink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9. Number of Registered Vessels</t>
        </is>
      </c>
    </row>
    <row r="2">
      <c r="A2" t="inlineStr">
        <is>
          <t>Transportation · printed pp. 580</t>
        </is>
      </c>
    </row>
    <row r="3">
      <c r="A3" t="inlineStr">
        <is>
          <t>(End of July 1939; Excluding vessels less than 20 tons)</t>
        </is>
      </c>
    </row>
    <row r="4">
      <c r="A4" s="3" t="inlineStr">
        <is>
          <t>← Contents</t>
        </is>
      </c>
    </row>
    <row r="6">
      <c r="A6" s="5" t="inlineStr">
        <is>
          <t>Navigation Administration Bureau</t>
        </is>
      </c>
      <c r="B6" s="5" t="inlineStr">
        <is>
          <t>Steamers — No.</t>
        </is>
      </c>
      <c r="C6" s="5" t="inlineStr">
        <is>
          <t>Steamers — Tonnage</t>
        </is>
      </c>
      <c r="D6" s="5" t="inlineStr">
        <is>
          <t>Lighters — No.</t>
        </is>
      </c>
      <c r="E6" s="5" t="inlineStr">
        <is>
          <t>Lighters — Tonnage</t>
        </is>
      </c>
      <c r="F6" s="5" t="inlineStr">
        <is>
          <t>Sailing Vessels — No.</t>
        </is>
      </c>
      <c r="G6" s="5" t="inlineStr">
        <is>
          <t>Sailing Vessels — Tonnage</t>
        </is>
      </c>
    </row>
    <row r="7">
      <c r="A7" t="inlineStr">
        <is>
          <t>Manchoukuo:</t>
        </is>
      </c>
      <c r="B7" t="inlineStr"/>
      <c r="C7" t="inlineStr"/>
      <c r="D7" t="inlineStr"/>
      <c r="E7" t="inlineStr"/>
      <c r="F7" t="inlineStr"/>
      <c r="G7" t="inlineStr"/>
    </row>
    <row r="8">
      <c r="A8" t="inlineStr">
        <is>
          <t>Harbin</t>
        </is>
      </c>
      <c r="B8" s="9" t="n">
        <v>124</v>
      </c>
      <c r="C8" s="6" t="n">
        <v>51170</v>
      </c>
      <c r="D8" s="9" t="n">
        <v>256</v>
      </c>
      <c r="E8" s="6" t="n">
        <v>73334</v>
      </c>
      <c r="F8" s="9" t="n">
        <v>111</v>
      </c>
      <c r="G8" s="6" t="n">
        <v>3606</v>
      </c>
    </row>
    <row r="9">
      <c r="A9" t="inlineStr">
        <is>
          <t>Yingkow</t>
        </is>
      </c>
      <c r="B9" s="9" t="n">
        <v>77</v>
      </c>
      <c r="C9" s="6" t="n">
        <v>26265</v>
      </c>
      <c r="D9" s="9" t="n">
        <v>18</v>
      </c>
      <c r="E9" s="6" t="n">
        <v>1896</v>
      </c>
      <c r="F9" s="9" t="n">
        <v>353</v>
      </c>
      <c r="G9" s="6" t="n">
        <v>11819</v>
      </c>
    </row>
    <row r="10">
      <c r="A10" t="inlineStr">
        <is>
          <t>Antung</t>
        </is>
      </c>
      <c r="B10" s="9" t="n">
        <v>13</v>
      </c>
      <c r="C10" s="9" t="n">
        <v>547</v>
      </c>
      <c r="D10" s="9" t="n">
        <v>6</v>
      </c>
      <c r="E10" s="9" t="n">
        <v>374</v>
      </c>
      <c r="F10" s="9" t="n">
        <v>317</v>
      </c>
      <c r="G10" s="6" t="n">
        <v>10978</v>
      </c>
    </row>
    <row r="11">
      <c r="A11" t="inlineStr">
        <is>
          <t>Hulutao Branch</t>
        </is>
      </c>
      <c r="B11" s="9" t="n">
        <v>1</v>
      </c>
      <c r="C11" s="9" t="n">
        <v>34</v>
      </c>
      <c r="D11" t="inlineStr">
        <is>
          <t>—</t>
        </is>
      </c>
      <c r="E11" t="inlineStr">
        <is>
          <t>—</t>
        </is>
      </c>
      <c r="F11" s="9" t="n">
        <v>115</v>
      </c>
      <c r="G11" s="6" t="n">
        <v>7584</v>
      </c>
    </row>
    <row r="12">
      <c r="A12" t="inlineStr">
        <is>
          <t>Heiho Branch</t>
        </is>
      </c>
      <c r="B12" t="inlineStr">
        <is>
          <t>—</t>
        </is>
      </c>
      <c r="C12" t="inlineStr">
        <is>
          <t>—</t>
        </is>
      </c>
      <c r="D12" t="inlineStr">
        <is>
          <t>—</t>
        </is>
      </c>
      <c r="E12" t="inlineStr">
        <is>
          <t>—</t>
        </is>
      </c>
      <c r="F12" s="9" t="n">
        <v>10</v>
      </c>
      <c r="G12" s="9" t="n">
        <v>322</v>
      </c>
    </row>
    <row r="13">
      <c r="A13" t="inlineStr">
        <is>
          <t>Total</t>
        </is>
      </c>
      <c r="B13" s="9" t="n">
        <v>215</v>
      </c>
      <c r="C13" s="6" t="n">
        <v>78016</v>
      </c>
      <c r="D13" s="9" t="n">
        <v>280</v>
      </c>
      <c r="E13" s="6" t="n">
        <v>75604</v>
      </c>
      <c r="F13" s="9" t="n">
        <v>905</v>
      </c>
      <c r="G13" s="6" t="n">
        <v>34309</v>
      </c>
    </row>
    <row r="14">
      <c r="A14" t="inlineStr">
        <is>
          <t>Kwantung</t>
        </is>
      </c>
      <c r="B14" s="9" t="n">
        <v>160</v>
      </c>
      <c r="C14" s="6" t="n">
        <v>275019</v>
      </c>
      <c r="D14" s="9" t="n">
        <v>101</v>
      </c>
      <c r="E14" s="6" t="n">
        <v>271945</v>
      </c>
      <c r="F14" s="9" t="n">
        <v>294</v>
      </c>
      <c r="G14" s="6" t="n">
        <v>14435</v>
      </c>
    </row>
    <row r="15">
      <c r="A15" t="inlineStr">
        <is>
          <t>Combined Total</t>
        </is>
      </c>
      <c r="B15" s="9" t="n">
        <v>375</v>
      </c>
      <c r="C15" s="6" t="n">
        <v>353035</v>
      </c>
      <c r="D15" s="9" t="n">
        <v>381</v>
      </c>
      <c r="E15" s="6" t="n">
        <v>347549</v>
      </c>
      <c r="F15" s="6" t="n">
        <v>1199</v>
      </c>
      <c r="G15" s="6" t="n">
        <v>48744</v>
      </c>
    </row>
    <row r="17">
      <c r="A17" s="2" t="inlineStr">
        <is>
          <t>Transcriber's notes</t>
        </is>
      </c>
    </row>
    <row r="18">
      <c r="A18" t="inlineStr">
        <is>
          <t>Manchoukuo Total reconciles with the five bureaus in every column except Sailing Vessels No.: parts sum to 906 vs printed 905 — does NOT reconcile (diff 1; re-read).</t>
        </is>
      </c>
    </row>
    <row r="19">
      <c r="A19" t="inlineStr">
        <is>
          <t>Combined Total = Manchoukuo Total + Kwantung: reconciles in all six columns.</t>
        </is>
      </c>
    </row>
  </sheetData>
  <hyperlinks>
    <hyperlink xmlns:r="http://schemas.openxmlformats.org/officeDocument/2006/relationships" ref="A4" r:id="rId1"/>
  </hyperlink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General Statistics of Railways in Manchuria</t>
        </is>
      </c>
    </row>
    <row r="2">
      <c r="A2" t="inlineStr">
        <is>
          <t>Railways · printed pp. 585, 587</t>
        </is>
      </c>
    </row>
    <row r="3">
      <c r="A3" s="3" t="inlineStr">
        <is>
          <t>← Contents</t>
        </is>
      </c>
    </row>
    <row r="5">
      <c r="A5" s="2" t="inlineStr">
        <is>
          <t>(A) State Line</t>
        </is>
      </c>
    </row>
    <row r="6">
      <c r="A6" s="5" t="inlineStr">
        <is>
          <t>Year Ending Mar. 31</t>
        </is>
      </c>
      <c r="B6" s="5" t="inlineStr">
        <is>
          <t>Length (Km.)</t>
        </is>
      </c>
      <c r="C6" s="5" t="inlineStr">
        <is>
          <t>Passenger carried — No. (1,000)</t>
        </is>
      </c>
      <c r="D6" s="5" t="inlineStr">
        <is>
          <t>Passenger carried — Receipts (M¥1,000)</t>
        </is>
      </c>
      <c r="E6" s="5" t="inlineStr">
        <is>
          <t>Goods Carried — Quantity (1,000 m. tons)</t>
        </is>
      </c>
      <c r="F6" s="5" t="inlineStr">
        <is>
          <t>Goods Carried — Receipts (M¥1,000)</t>
        </is>
      </c>
      <c r="G6" s="5" t="inlineStr">
        <is>
          <t>Total Receipts (M¥1,000)</t>
        </is>
      </c>
    </row>
    <row r="7">
      <c r="A7" s="9" t="n">
        <v>1934</v>
      </c>
      <c r="B7" s="7" t="n">
        <v>3403</v>
      </c>
      <c r="C7" s="6" t="n">
        <v>7869</v>
      </c>
      <c r="D7" s="6" t="n">
        <v>14711</v>
      </c>
      <c r="E7" s="6" t="n">
        <v>8918</v>
      </c>
      <c r="F7" s="6" t="n">
        <v>36080</v>
      </c>
      <c r="G7" s="6" t="n">
        <v>50791</v>
      </c>
    </row>
    <row r="8">
      <c r="A8" s="9" t="n">
        <v>1935</v>
      </c>
      <c r="B8" s="7" t="n">
        <v>4173.3</v>
      </c>
      <c r="C8" s="6" t="n">
        <v>8815</v>
      </c>
      <c r="D8" s="6" t="n">
        <v>17852</v>
      </c>
      <c r="E8" s="6" t="n">
        <v>11872</v>
      </c>
      <c r="F8" s="6" t="n">
        <v>50513</v>
      </c>
      <c r="G8" s="6" t="n">
        <v>68365</v>
      </c>
    </row>
    <row r="9">
      <c r="A9" s="9" t="n">
        <v>1936</v>
      </c>
      <c r="B9" s="7" t="n">
        <v>7207</v>
      </c>
      <c r="C9" s="6" t="n">
        <v>13280</v>
      </c>
      <c r="D9" s="6" t="n">
        <v>28678</v>
      </c>
      <c r="E9" s="6" t="n">
        <v>14956</v>
      </c>
      <c r="F9" s="6" t="n">
        <v>69104</v>
      </c>
      <c r="G9" s="6" t="n">
        <v>97782</v>
      </c>
    </row>
    <row r="10">
      <c r="A10" s="9" t="n">
        <v>1937</v>
      </c>
      <c r="B10" s="7" t="n">
        <v>7744.7</v>
      </c>
      <c r="C10" s="6" t="n">
        <v>17107</v>
      </c>
      <c r="D10" s="6" t="n">
        <v>33540</v>
      </c>
      <c r="E10" s="6" t="n">
        <v>18658</v>
      </c>
      <c r="F10" s="6" t="n">
        <v>85475</v>
      </c>
      <c r="G10" s="6" t="n">
        <v>119015</v>
      </c>
    </row>
    <row r="11">
      <c r="A11" s="9" t="n">
        <v>1938</v>
      </c>
      <c r="B11" s="7" t="n">
        <v>8182.9</v>
      </c>
      <c r="C11" s="6" t="n">
        <v>19818</v>
      </c>
      <c r="D11" s="6" t="n">
        <v>41561</v>
      </c>
      <c r="E11" s="6" t="n">
        <v>21050</v>
      </c>
      <c r="F11" s="6" t="n">
        <v>101805</v>
      </c>
      <c r="G11" s="6" t="n">
        <v>143366</v>
      </c>
    </row>
    <row r="12">
      <c r="A12" s="9" t="n">
        <v>1939</v>
      </c>
      <c r="B12" s="7" t="n">
        <v>8365</v>
      </c>
      <c r="C12" s="6" t="n">
        <v>28876</v>
      </c>
      <c r="D12" s="6" t="n">
        <v>59218</v>
      </c>
      <c r="E12" s="6" t="n">
        <v>24314</v>
      </c>
      <c r="F12" s="6" t="n">
        <v>131000</v>
      </c>
      <c r="G12" s="6" t="n">
        <v>188118</v>
      </c>
    </row>
    <row r="14">
      <c r="A14" s="2" t="inlineStr">
        <is>
          <t>(B) S.M.R. Line</t>
        </is>
      </c>
    </row>
    <row r="15">
      <c r="A15" s="5" t="inlineStr">
        <is>
          <t>Year Ending Mar. 31</t>
        </is>
      </c>
      <c r="B15" s="5" t="inlineStr">
        <is>
          <t>Length (Km.)</t>
        </is>
      </c>
      <c r="C15" s="5" t="inlineStr">
        <is>
          <t>Passenger carried — No. (1,000)</t>
        </is>
      </c>
      <c r="D15" s="5" t="inlineStr">
        <is>
          <t>Passenger carried — Receipts (M¥1,000)</t>
        </is>
      </c>
      <c r="E15" s="5" t="inlineStr">
        <is>
          <t>Goods Carried — Quantity (1,000 m. tons)</t>
        </is>
      </c>
      <c r="F15" s="5" t="inlineStr">
        <is>
          <t>Goods Carried — Receipts (M¥1,000)</t>
        </is>
      </c>
      <c r="G15" s="5" t="inlineStr">
        <is>
          <t>Total Receipts (M¥1,000)</t>
        </is>
      </c>
    </row>
    <row r="16">
      <c r="A16" s="9" t="n">
        <v>1934</v>
      </c>
      <c r="B16" s="7" t="n">
        <v>1291.1</v>
      </c>
      <c r="C16" s="6" t="n">
        <v>11634</v>
      </c>
      <c r="D16" s="6" t="n">
        <v>18757</v>
      </c>
      <c r="E16" s="6" t="n">
        <v>18851</v>
      </c>
      <c r="F16" s="6" t="n">
        <v>94263</v>
      </c>
      <c r="G16" s="6" t="n">
        <v>113020</v>
      </c>
    </row>
    <row r="17">
      <c r="A17" s="9" t="n">
        <v>1935</v>
      </c>
      <c r="B17" s="7" t="n">
        <v>1291.1</v>
      </c>
      <c r="C17" s="6" t="n">
        <v>13786</v>
      </c>
      <c r="D17" s="6" t="n">
        <v>20333</v>
      </c>
      <c r="E17" s="6" t="n">
        <v>21671</v>
      </c>
      <c r="F17" s="6" t="n">
        <v>101489</v>
      </c>
      <c r="G17" s="6" t="n">
        <v>121822</v>
      </c>
    </row>
    <row r="18">
      <c r="A18" s="9" t="n">
        <v>1936</v>
      </c>
      <c r="B18" s="7" t="n">
        <v>1291.1</v>
      </c>
      <c r="C18" s="6" t="n">
        <v>15123</v>
      </c>
      <c r="D18" s="6" t="n">
        <v>22412</v>
      </c>
      <c r="E18" s="6" t="n">
        <v>20981</v>
      </c>
      <c r="F18" s="6" t="n">
        <v>103362</v>
      </c>
      <c r="G18" s="6" t="n">
        <v>125774</v>
      </c>
    </row>
    <row r="19">
      <c r="A19" s="9" t="n">
        <v>1937</v>
      </c>
      <c r="B19" s="7" t="n">
        <v>1291.1</v>
      </c>
      <c r="C19" s="6" t="n">
        <v>15750</v>
      </c>
      <c r="D19" s="6" t="n">
        <v>22302</v>
      </c>
      <c r="E19" s="6" t="n">
        <v>21366</v>
      </c>
      <c r="F19" s="6" t="n">
        <v>103165</v>
      </c>
      <c r="G19" s="6" t="n">
        <v>125467</v>
      </c>
    </row>
    <row r="20">
      <c r="A20" s="9" t="n">
        <v>1938</v>
      </c>
      <c r="B20" s="7" t="n">
        <v>1291.1</v>
      </c>
      <c r="C20" s="6" t="n">
        <v>17515</v>
      </c>
      <c r="D20" s="6" t="n">
        <v>24878</v>
      </c>
      <c r="E20" s="6" t="n">
        <v>24331</v>
      </c>
      <c r="F20" s="6" t="n">
        <v>115558</v>
      </c>
      <c r="G20" s="6" t="n">
        <v>140436</v>
      </c>
    </row>
    <row r="21">
      <c r="A21" s="9" t="n">
        <v>1939</v>
      </c>
      <c r="B21" s="7" t="n">
        <v>1291.1</v>
      </c>
      <c r="C21" s="6" t="n">
        <v>21030</v>
      </c>
      <c r="D21" s="6" t="n">
        <v>33940</v>
      </c>
      <c r="E21" s="6" t="n">
        <v>26420</v>
      </c>
      <c r="F21" s="6" t="n">
        <v>135089</v>
      </c>
      <c r="G21" s="6" t="n">
        <v>168039</v>
      </c>
    </row>
    <row r="23">
      <c r="A23" s="2" t="inlineStr">
        <is>
          <t>(C) North Chosen Line†</t>
        </is>
      </c>
    </row>
    <row r="24">
      <c r="A24" s="5" t="inlineStr">
        <is>
          <t>Year Ending Mar. 31</t>
        </is>
      </c>
      <c r="B24" s="5" t="inlineStr">
        <is>
          <t>Length (Km.)</t>
        </is>
      </c>
      <c r="C24" s="5" t="inlineStr">
        <is>
          <t>Passenger carried — No. (1,000)</t>
        </is>
      </c>
      <c r="D24" s="5" t="inlineStr">
        <is>
          <t>Passenger carried — Receipts (M¥1,000)</t>
        </is>
      </c>
      <c r="E24" s="5" t="inlineStr">
        <is>
          <t>Goods Carried — Quantity (1,000 m. tons)</t>
        </is>
      </c>
      <c r="F24" s="5" t="inlineStr">
        <is>
          <t>Goods Carried — Receipts (M¥1,000)</t>
        </is>
      </c>
      <c r="G24" s="5" t="inlineStr">
        <is>
          <t>Total Receipts (M¥1,000)</t>
        </is>
      </c>
    </row>
    <row r="25">
      <c r="A25" s="9" t="n">
        <v>1934</v>
      </c>
      <c r="B25" s="8" t="n">
        <v>344.4</v>
      </c>
      <c r="C25" s="9" t="n">
        <v>747</v>
      </c>
      <c r="D25" s="9" t="n">
        <v>507</v>
      </c>
      <c r="E25" s="9" t="n">
        <v>519</v>
      </c>
      <c r="F25" s="6" t="n">
        <v>1134</v>
      </c>
      <c r="G25" s="6" t="n">
        <v>1641</v>
      </c>
    </row>
    <row r="26">
      <c r="A26" s="9" t="n">
        <v>1935</v>
      </c>
      <c r="B26" s="8" t="n">
        <v>344.4</v>
      </c>
      <c r="C26" s="6" t="n">
        <v>1611</v>
      </c>
      <c r="D26" s="6" t="n">
        <v>1127</v>
      </c>
      <c r="E26" s="6" t="n">
        <v>1123</v>
      </c>
      <c r="F26" s="6" t="n">
        <v>2501</v>
      </c>
      <c r="G26" s="6" t="n">
        <v>3628</v>
      </c>
    </row>
    <row r="27">
      <c r="A27" s="9" t="n">
        <v>1936</v>
      </c>
      <c r="B27" s="8" t="n">
        <v>344.4</v>
      </c>
      <c r="C27" s="6" t="n">
        <v>1718</v>
      </c>
      <c r="D27" s="6" t="n">
        <v>1175</v>
      </c>
      <c r="E27" s="6" t="n">
        <v>1474</v>
      </c>
      <c r="F27" s="6" t="n">
        <v>3351</v>
      </c>
      <c r="G27" s="6" t="n">
        <v>4526</v>
      </c>
    </row>
    <row r="28">
      <c r="A28" s="9" t="n">
        <v>1937</v>
      </c>
      <c r="B28" s="8" t="n">
        <v>344.4</v>
      </c>
      <c r="C28" s="6" t="n">
        <v>2149</v>
      </c>
      <c r="D28" s="6" t="n">
        <v>1517</v>
      </c>
      <c r="E28" s="6" t="n">
        <v>2089</v>
      </c>
      <c r="F28" s="6" t="n">
        <v>4787</v>
      </c>
      <c r="G28" s="6" t="n">
        <v>6304</v>
      </c>
    </row>
    <row r="29">
      <c r="A29" s="9" t="n">
        <v>1938</v>
      </c>
      <c r="B29" s="8" t="n">
        <v>344.4</v>
      </c>
      <c r="C29" s="6" t="n">
        <v>2441</v>
      </c>
      <c r="D29" s="6" t="n">
        <v>1770</v>
      </c>
      <c r="E29" s="6" t="n">
        <v>2433</v>
      </c>
      <c r="F29" s="6" t="n">
        <v>5842</v>
      </c>
      <c r="G29" s="6" t="n">
        <v>7612</v>
      </c>
    </row>
    <row r="30">
      <c r="A30" t="inlineStr">
        <is>
          <t>1939*</t>
        </is>
      </c>
      <c r="B30" s="8" t="n">
        <v>344.4</v>
      </c>
      <c r="C30" s="6" t="n">
        <v>3060</v>
      </c>
      <c r="D30" s="6" t="n">
        <v>2370</v>
      </c>
      <c r="E30" t="inlineStr">
        <is>
          <t>—</t>
        </is>
      </c>
      <c r="F30" s="6" t="n">
        <v>8080</v>
      </c>
      <c r="G30" s="6" t="n">
        <v>10450</v>
      </c>
    </row>
    <row r="32">
      <c r="A32" s="2" t="inlineStr">
        <is>
          <t>Footnotes</t>
        </is>
      </c>
    </row>
    <row r="33">
      <c r="A33" t="inlineStr">
        <is>
          <t>Note: * Estimates.</t>
        </is>
      </c>
    </row>
    <row r="34">
      <c r="A34" t="inlineStr">
        <is>
          <t>† The management of this line was entrusted in November, 1936 to the S.M.R. Co. in view of heavy expansions in through traffic between north Chosen and Manchuria.</t>
        </is>
      </c>
    </row>
    <row r="36">
      <c r="A36" s="2" t="inlineStr">
        <is>
          <t>Transcriber's notes</t>
        </is>
      </c>
    </row>
    <row r="37">
      <c r="A37" t="inlineStr">
        <is>
          <t>Chapter-opening page (Chapter XXIII), no printed page number; '585' inferred from p. 584.</t>
        </is>
      </c>
    </row>
    <row r="38">
      <c r="A38" t="inlineStr">
        <is>
          <t>Total Receipts exceeds Passenger + Goods receipts in every year (other receipts not listed), so no reconciliation possible: 1934 50,791 vs pass.+goods 50,791 (others 0); 1935 68,365 vs pass.+goods 68,365 (others 0); 1936 97,782 vs pass.+goods 97,782 (others 0); 1937 119,015 vs pass.+goods 119,015 (others 0); 1938 143,366 vs pass.+goods 143,366 (others 0); 1939 188,118 vs pass.+goods 190,218 (others -2,100).</t>
        </is>
      </c>
    </row>
    <row r="39">
      <c r="A39" t="inlineStr">
        <is>
          <t>Parts (A) State Line on p. 585 (IMG_5750); parts (B) S.M.R. Line and (C) North Chosen Line on p. 587 (IMG_5751, right page), merged here by batch B12. The intervening page (IMG_5751 left, presumably p. 586) is a full-page map 'Railways in Manchoukuo' with no page number — excluded.</t>
        </is>
      </c>
    </row>
    <row r="40">
      <c r="A40" t="inlineStr">
        <is>
          <t>The footnotes '* Estimates' and '† ...' are printed under part (C) on p. 587; in the parts on p. 587 the * marks the (C) 1939 row.</t>
        </is>
      </c>
    </row>
    <row r="41">
      <c r="A41" t="inlineStr">
        <is>
          <t>(B) Total receipts = passenger receipts + goods receipts: checked every row; do NOT reconcile for 1939 (1939: 33,940 + 135,089 = 169,029 vs printed 168,039, diff 990; figures re-read)</t>
        </is>
      </c>
    </row>
    <row r="42">
      <c r="A42" t="inlineStr">
        <is>
          <t>(C) Total receipts = passenger receipts + goods receipts: checked every row; all reconcile</t>
        </is>
      </c>
    </row>
  </sheetData>
  <hyperlinks>
    <hyperlink xmlns:r="http://schemas.openxmlformats.org/officeDocument/2006/relationships" ref="A3" r:id="rId1"/>
  </hyperlink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Railways Built Prior to Founding of Manchoukuo in 1932</t>
        </is>
      </c>
    </row>
    <row r="2">
      <c r="A2" t="inlineStr">
        <is>
          <t>Railways · printed pp. 587, 588</t>
        </is>
      </c>
    </row>
    <row r="3">
      <c r="A3" s="3" t="inlineStr">
        <is>
          <t>← Contents</t>
        </is>
      </c>
    </row>
    <row r="5">
      <c r="A5" s="5" t="inlineStr">
        <is>
          <t>Line</t>
        </is>
      </c>
      <c r="B5" s="5" t="inlineStr">
        <is>
          <t>Length (Kms.)</t>
        </is>
      </c>
      <c r="C5" s="5" t="inlineStr">
        <is>
          <t>Opened to traffic</t>
        </is>
      </c>
    </row>
    <row r="6">
      <c r="A6" t="inlineStr">
        <is>
          <t>Koupangtzu-Hopei</t>
        </is>
      </c>
      <c r="B6" s="8" t="n">
        <v>91.09999999999999</v>
      </c>
      <c r="C6" s="9" t="n">
        <v>1900</v>
      </c>
    </row>
    <row r="7">
      <c r="A7" t="inlineStr">
        <is>
          <t>Mukden-Shanhaikwan</t>
        </is>
      </c>
      <c r="B7" s="8" t="n">
        <v>419.6</v>
      </c>
      <c r="C7" s="9" t="n">
        <v>1908</v>
      </c>
    </row>
    <row r="8">
      <c r="A8" t="inlineStr">
        <is>
          <t>Lienshan-Hulutao</t>
        </is>
      </c>
      <c r="B8" s="8" t="n">
        <v>11.9</v>
      </c>
      <c r="C8" s="9" t="n">
        <v>1920</v>
      </c>
    </row>
    <row r="9">
      <c r="A9" t="inlineStr">
        <is>
          <t>Chinlingshih-Peipiao</t>
        </is>
      </c>
      <c r="B9" s="8" t="n">
        <v>17.9</v>
      </c>
      <c r="C9" s="9" t="n">
        <v>1924</v>
      </c>
    </row>
    <row r="10">
      <c r="A10" t="inlineStr">
        <is>
          <t>Chinhsien-Chinlingshih</t>
        </is>
      </c>
      <c r="B10" s="8" t="n">
        <v>94.7</v>
      </c>
      <c r="C10" s="9" t="n">
        <v>1924</v>
      </c>
    </row>
    <row r="11">
      <c r="A11" t="inlineStr">
        <is>
          <t>Tahushan-Tungliao</t>
        </is>
      </c>
      <c r="B11" s="8" t="n">
        <v>367.1</v>
      </c>
      <c r="C11" s="9" t="n">
        <v>1927</v>
      </c>
    </row>
    <row r="12">
      <c r="A12" t="inlineStr">
        <is>
          <t>Mukden-Kirin</t>
        </is>
      </c>
      <c r="B12" s="8" t="n">
        <v>447.6</v>
      </c>
      <c r="C12" s="9" t="n">
        <v>1929</v>
      </c>
    </row>
    <row r="13">
      <c r="A13" t="inlineStr">
        <is>
          <t>Hsinking-Tunhua</t>
        </is>
      </c>
      <c r="B13" s="8" t="n">
        <v>338.2</v>
      </c>
      <c r="C13" s="9" t="n">
        <v>1928</v>
      </c>
    </row>
    <row r="14">
      <c r="A14" t="inlineStr">
        <is>
          <t>Suchia-Hailun</t>
        </is>
      </c>
      <c r="B14" s="8" t="n">
        <v>15.4</v>
      </c>
      <c r="C14" s="9" t="n">
        <v>1928</v>
      </c>
    </row>
    <row r="15">
      <c r="A15" t="inlineStr">
        <is>
          <t>Tsitsihar-Taian</t>
        </is>
      </c>
      <c r="B15" s="8" t="n">
        <v>127.8</v>
      </c>
      <c r="C15" s="9" t="n">
        <v>1930</v>
      </c>
    </row>
    <row r="16">
      <c r="A16" t="inlineStr">
        <is>
          <t>Ningnien-Laha</t>
        </is>
      </c>
      <c r="B16" s="8" t="n">
        <v>48</v>
      </c>
      <c r="C16" s="9" t="n">
        <v>1930</v>
      </c>
    </row>
    <row r="17">
      <c r="A17" t="inlineStr">
        <is>
          <t>Ssupingkai-Tsitsihar</t>
        </is>
      </c>
      <c r="B17" s="8" t="n">
        <v>571.4</v>
      </c>
      <c r="C17" s="9" t="n">
        <v>1920</v>
      </c>
    </row>
    <row r="18">
      <c r="A18" t="inlineStr">
        <is>
          <t>Sungpu-Machuankou</t>
        </is>
      </c>
      <c r="B18" s="8" t="n">
        <v>7.4</v>
      </c>
      <c r="C18" s="9" t="n">
        <v>1928</v>
      </c>
    </row>
    <row r="19">
      <c r="A19" t="inlineStr">
        <is>
          <t>Yushutun-East Angangki</t>
        </is>
      </c>
      <c r="B19" s="8" t="n">
        <v>5</v>
      </c>
      <c r="C19" s="9" t="n">
        <v>1929</v>
      </c>
    </row>
    <row r="20">
      <c r="A20" t="inlineStr">
        <is>
          <t>Hsian-Shaho</t>
        </is>
      </c>
      <c r="B20" s="8" t="n">
        <v>67.3</v>
      </c>
      <c r="C20" s="9" t="n">
        <v>1928</v>
      </c>
    </row>
    <row r="21">
      <c r="A21" t="inlineStr">
        <is>
          <t>Paichengtzu-Wangyehmiao</t>
        </is>
      </c>
      <c r="B21" s="8" t="n">
        <v>82.90000000000001</v>
      </c>
      <c r="C21" s="9" t="n">
        <v>1931</v>
      </c>
    </row>
    <row r="22">
      <c r="A22" t="inlineStr">
        <is>
          <t>Hsinking-Harbin</t>
        </is>
      </c>
      <c r="B22" s="8" t="n">
        <v>242</v>
      </c>
      <c r="C22" s="9" t="n">
        <v>1903</v>
      </c>
    </row>
    <row r="23">
      <c r="A23" t="inlineStr">
        <is>
          <t>Harbin-Manchouli</t>
        </is>
      </c>
      <c r="B23" s="8" t="n">
        <v>934.8</v>
      </c>
      <c r="C23" s="9" t="n">
        <v>1903</v>
      </c>
    </row>
    <row r="24">
      <c r="A24" t="inlineStr">
        <is>
          <t>Harbin-Suifenho</t>
        </is>
      </c>
      <c r="B24" s="8" t="n">
        <v>546.4</v>
      </c>
      <c r="C24" s="9" t="n">
        <v>1903</v>
      </c>
    </row>
    <row r="25">
      <c r="A25" t="inlineStr">
        <is>
          <t>Harbin-Pachu Bund</t>
        </is>
      </c>
      <c r="B25" s="8" t="n">
        <v>3</v>
      </c>
      <c r="C25" s="9" t="n">
        <v>1903</v>
      </c>
    </row>
    <row r="26">
      <c r="A26" t="inlineStr">
        <is>
          <t>Harbin-Taoli Bund</t>
        </is>
      </c>
      <c r="B26" s="8" t="n">
        <v>4</v>
      </c>
      <c r="C26" s="9" t="n">
        <v>1903</v>
      </c>
    </row>
    <row r="27">
      <c r="A27" t="inlineStr">
        <is>
          <t>S.M.R. Lines</t>
        </is>
      </c>
      <c r="B27" s="7" t="n">
        <v>1129.1</v>
      </c>
      <c r="C27" t="inlineStr">
        <is>
          <t>—</t>
        </is>
      </c>
    </row>
    <row r="28">
      <c r="A28" t="inlineStr">
        <is>
          <t>Total</t>
        </is>
      </c>
      <c r="B28" s="7" t="n">
        <v>5572.6</v>
      </c>
      <c r="C28" t="inlineStr"/>
    </row>
    <row r="30">
      <c r="A30" s="2" t="inlineStr">
        <is>
          <t>Transcriber's notes</t>
        </is>
      </c>
    </row>
    <row r="31">
      <c r="A31" t="inlineStr">
        <is>
          <t>Total 5,572.6: parts sum to 5,572.6 — reconciles</t>
        </is>
      </c>
    </row>
    <row r="32">
      <c r="A32" t="inlineStr">
        <is>
          <t>Koupangtzu-Hopei length first digit slightly damaged; read as 91.1.</t>
        </is>
      </c>
    </row>
    <row r="33">
      <c r="A33" t="inlineStr">
        <is>
          <t>S.M.R. Lines 'Opened to traffic' printed as a rule (—).</t>
        </is>
      </c>
    </row>
    <row r="34">
      <c r="A34" t="inlineStr">
        <is>
          <t>Text before table says railways built prior to Manchoukuo amounted to 5,572 km.</t>
        </is>
      </c>
    </row>
  </sheetData>
  <hyperlinks>
    <hyperlink xmlns:r="http://schemas.openxmlformats.org/officeDocument/2006/relationships" ref="A3" r:id="rId1"/>
  </hyperlink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C5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State Railways Built from 1933 to 1940</t>
        </is>
      </c>
    </row>
    <row r="2">
      <c r="A2" t="inlineStr">
        <is>
          <t>Railways · printed pp. 588, 589</t>
        </is>
      </c>
    </row>
    <row r="3">
      <c r="A3" s="3" t="inlineStr">
        <is>
          <t>← Contents</t>
        </is>
      </c>
    </row>
    <row r="5">
      <c r="A5" s="5" t="inlineStr">
        <is>
          <t>Section</t>
        </is>
      </c>
      <c r="B5" s="5" t="inlineStr">
        <is>
          <t>Length (Kms.)</t>
        </is>
      </c>
      <c r="C5" s="5" t="inlineStr">
        <is>
          <t>Opened to traffic</t>
        </is>
      </c>
    </row>
    <row r="6">
      <c r="A6" t="inlineStr">
        <is>
          <t>Tunhua-Tumen</t>
        </is>
      </c>
      <c r="B6" s="8" t="n">
        <v>191.9</v>
      </c>
      <c r="C6" s="9" t="n">
        <v>1933</v>
      </c>
    </row>
    <row r="7">
      <c r="A7" t="inlineStr">
        <is>
          <t>Taian-Peian</t>
        </is>
      </c>
      <c r="B7" s="8" t="n">
        <v>102.6</v>
      </c>
      <c r="C7" t="inlineStr">
        <is>
          <t>"</t>
        </is>
      </c>
    </row>
    <row r="8">
      <c r="A8" t="inlineStr">
        <is>
          <t>Laha-Noho</t>
        </is>
      </c>
      <c r="B8" s="8" t="n">
        <v>38.8</v>
      </c>
      <c r="C8" t="inlineStr">
        <is>
          <t>"</t>
        </is>
      </c>
    </row>
    <row r="9">
      <c r="A9" t="inlineStr">
        <is>
          <t>Chaoyangchuan-Kaishantun</t>
        </is>
      </c>
      <c r="B9" s="8" t="n">
        <v>59.5</v>
      </c>
      <c r="C9" s="9" t="n">
        <v>1934</v>
      </c>
    </row>
    <row r="10">
      <c r="A10" t="inlineStr">
        <is>
          <t>Sankuoshu-Suchia</t>
        </is>
      </c>
      <c r="B10" s="8" t="n">
        <v>15.4</v>
      </c>
      <c r="C10" t="inlineStr">
        <is>
          <t>"</t>
        </is>
      </c>
    </row>
    <row r="11">
      <c r="A11" t="inlineStr">
        <is>
          <t>Hailun-Peian</t>
        </is>
      </c>
      <c r="B11" s="8" t="n">
        <v>106</v>
      </c>
      <c r="C11" t="inlineStr">
        <is>
          <t>"</t>
        </is>
      </c>
    </row>
    <row r="12">
      <c r="A12" t="inlineStr">
        <is>
          <t>Hsingsungpu-Sungpu</t>
        </is>
      </c>
      <c r="B12" s="8" t="n">
        <v>4.2</v>
      </c>
      <c r="C12" t="inlineStr">
        <is>
          <t>"</t>
        </is>
      </c>
    </row>
    <row r="13">
      <c r="A13" t="inlineStr">
        <is>
          <t>Lafa-Pinkiang</t>
        </is>
      </c>
      <c r="B13" s="8" t="n">
        <v>271.7</v>
      </c>
      <c r="C13" t="inlineStr">
        <is>
          <t>"</t>
        </is>
      </c>
    </row>
    <row r="14">
      <c r="A14" t="inlineStr">
        <is>
          <t>Pehan-Heiho</t>
        </is>
      </c>
      <c r="B14" s="8" t="n">
        <v>302.9</v>
      </c>
      <c r="C14" s="9" t="n">
        <v>1935</v>
      </c>
    </row>
    <row r="15">
      <c r="A15" t="inlineStr">
        <is>
          <t>Yehpaishou-Chihfeng</t>
        </is>
      </c>
      <c r="B15" s="8" t="n">
        <v>146.8</v>
      </c>
      <c r="C15" t="inlineStr">
        <is>
          <t>"</t>
        </is>
      </c>
    </row>
    <row r="16">
      <c r="A16" t="inlineStr">
        <is>
          <t>Hsinking-Paichengtzu</t>
        </is>
      </c>
      <c r="B16" s="8" t="n">
        <v>332.6</v>
      </c>
      <c r="C16" t="inlineStr">
        <is>
          <t>"</t>
        </is>
      </c>
    </row>
    <row r="17">
      <c r="A17" t="inlineStr">
        <is>
          <t>Tumen-Linkou</t>
        </is>
      </c>
      <c r="B17" s="8" t="n">
        <v>359.7</v>
      </c>
      <c r="C17" t="inlineStr">
        <is>
          <t>"</t>
        </is>
      </c>
    </row>
    <row r="18">
      <c r="A18" t="inlineStr">
        <is>
          <t>Linkou-Mishan</t>
        </is>
      </c>
      <c r="B18" s="8" t="n">
        <v>170.9</v>
      </c>
      <c r="C18" t="inlineStr">
        <is>
          <t>"</t>
        </is>
      </c>
    </row>
    <row r="19">
      <c r="A19" t="inlineStr">
        <is>
          <t>Chinlingshih-Chengteh</t>
        </is>
      </c>
      <c r="B19" s="8" t="n">
        <v>341.4</v>
      </c>
      <c r="C19" s="9" t="n">
        <v>1936</v>
      </c>
    </row>
    <row r="20">
      <c r="A20" t="inlineStr">
        <is>
          <t>Wangyehmiao-North Hsingan</t>
        </is>
      </c>
      <c r="B20" s="8" t="n">
        <v>238.7</v>
      </c>
      <c r="C20" t="inlineStr">
        <is>
          <t>"</t>
        </is>
      </c>
    </row>
    <row r="21">
      <c r="A21" t="inlineStr">
        <is>
          <t>Ssupingkai-Hsian</t>
        </is>
      </c>
      <c r="B21" s="8" t="n">
        <v>82.5</v>
      </c>
      <c r="C21" t="inlineStr">
        <is>
          <t>"</t>
        </is>
      </c>
    </row>
    <row r="22">
      <c r="A22" t="inlineStr">
        <is>
          <t>Mishan-Hulin</t>
        </is>
      </c>
      <c r="B22" s="8" t="n">
        <v>165.5</v>
      </c>
      <c r="C22" t="inlineStr">
        <is>
          <t>"</t>
        </is>
      </c>
    </row>
    <row r="23">
      <c r="A23" t="inlineStr">
        <is>
          <t>Hsinliutun-Ihsien</t>
        </is>
      </c>
      <c r="B23" s="8" t="n">
        <v>63</v>
      </c>
      <c r="C23" t="inlineStr">
        <is>
          <t>"</t>
        </is>
      </c>
    </row>
    <row r="24">
      <c r="A24" t="inlineStr">
        <is>
          <t>Chiamussu-Chiamussu Bund</t>
        </is>
      </c>
      <c r="B24" s="8" t="n">
        <v>3</v>
      </c>
      <c r="C24" s="9" t="n">
        <v>1937</v>
      </c>
    </row>
    <row r="25">
      <c r="A25" t="inlineStr">
        <is>
          <t>Tunghua-Meihokuo</t>
        </is>
      </c>
      <c r="B25" s="8" t="n">
        <v>130.1</v>
      </c>
      <c r="C25" t="inlineStr">
        <is>
          <t>"</t>
        </is>
      </c>
    </row>
    <row r="26">
      <c r="A26" t="inlineStr">
        <is>
          <t>Noho-Meikenr</t>
        </is>
      </c>
      <c r="B26" s="8" t="n">
        <v>93.5</v>
      </c>
      <c r="C26" t="inlineStr">
        <is>
          <t>"</t>
        </is>
      </c>
    </row>
    <row r="27">
      <c r="A27" t="inlineStr">
        <is>
          <t>Poli-Chiamussu</t>
        </is>
      </c>
      <c r="B27" s="8" t="n">
        <v>135.3</v>
      </c>
      <c r="C27" t="inlineStr">
        <is>
          <t>"</t>
        </is>
      </c>
    </row>
    <row r="28">
      <c r="A28" t="inlineStr">
        <is>
          <t>Linkou-Poli</t>
        </is>
      </c>
      <c r="B28" s="8" t="n">
        <v>86.2</v>
      </c>
      <c r="C28" t="inlineStr">
        <is>
          <t>"</t>
        </is>
      </c>
    </row>
    <row r="29">
      <c r="A29" t="inlineStr">
        <is>
          <t>Tunghwa-Laoyeh</t>
        </is>
      </c>
      <c r="B29" s="8" t="n">
        <v>79</v>
      </c>
      <c r="C29" t="inlineStr">
        <is>
          <t>"</t>
        </is>
      </c>
    </row>
    <row r="30">
      <c r="A30" t="inlineStr">
        <is>
          <t>Suihwa-Tiehshanpao</t>
        </is>
      </c>
      <c r="B30" s="8" t="n">
        <v>54.2</v>
      </c>
      <c r="C30" s="9" t="n">
        <v>1938</v>
      </c>
    </row>
    <row r="31">
      <c r="A31" t="inlineStr">
        <is>
          <t>Wangching-Suehling</t>
        </is>
      </c>
      <c r="B31" s="8" t="n">
        <v>75</v>
      </c>
      <c r="C31" t="inlineStr">
        <is>
          <t>"</t>
        </is>
      </c>
    </row>
    <row r="32">
      <c r="A32" t="inlineStr">
        <is>
          <t>Jehol-Kupehkow</t>
        </is>
      </c>
      <c r="B32" s="8" t="n">
        <v>106.3</v>
      </c>
      <c r="C32" t="inlineStr">
        <is>
          <t>"</t>
        </is>
      </c>
    </row>
    <row r="33">
      <c r="A33" t="inlineStr">
        <is>
          <t>Lungtanshan-Tafengman</t>
        </is>
      </c>
      <c r="B33" s="8" t="n">
        <v>22.7</v>
      </c>
      <c r="C33" s="9" t="n">
        <v>1938</v>
      </c>
    </row>
    <row r="34">
      <c r="A34" t="inlineStr">
        <is>
          <t>Mingshan-Newshintai</t>
        </is>
      </c>
      <c r="B34" s="8" t="n">
        <v>13.3</v>
      </c>
      <c r="C34" t="inlineStr">
        <is>
          <t>"</t>
        </is>
      </c>
    </row>
    <row r="35">
      <c r="A35" t="inlineStr">
        <is>
          <t>Kingcheng-Tiehli</t>
        </is>
      </c>
      <c r="B35" s="8" t="n">
        <v>101.9</v>
      </c>
      <c r="C35" t="inlineStr">
        <is>
          <t>"</t>
        </is>
      </c>
    </row>
    <row r="36">
      <c r="A36" t="inlineStr">
        <is>
          <t>Yangfeng-Tsian</t>
        </is>
      </c>
      <c r="B36" s="8" t="n">
        <v>13.8</v>
      </c>
      <c r="C36" s="9" t="n">
        <v>1939</v>
      </c>
    </row>
    <row r="37">
      <c r="A37" t="inlineStr">
        <is>
          <t>Tunghua-Manhu</t>
        </is>
      </c>
      <c r="B37" s="8" t="n">
        <v>125.3</v>
      </c>
      <c r="C37" t="inlineStr">
        <is>
          <t>"</t>
        </is>
      </c>
    </row>
    <row r="38">
      <c r="A38" t="inlineStr">
        <is>
          <t>Tungman-Tunghsiangfang</t>
        </is>
      </c>
      <c r="B38" s="8" t="n">
        <v>3.3</v>
      </c>
      <c r="C38" t="inlineStr">
        <is>
          <t>"</t>
        </is>
      </c>
    </row>
    <row r="39">
      <c r="A39" t="inlineStr">
        <is>
          <t>Suihua-Shenshu</t>
        </is>
      </c>
      <c r="B39" s="8" t="n">
        <v>135.8</v>
      </c>
      <c r="C39" t="inlineStr">
        <is>
          <t>"</t>
        </is>
      </c>
    </row>
    <row r="40">
      <c r="A40" t="inlineStr">
        <is>
          <t>Suiyang-Tungning</t>
        </is>
      </c>
      <c r="B40" s="8" t="n">
        <v>96.2</v>
      </c>
      <c r="C40" t="inlineStr">
        <is>
          <t>"</t>
        </is>
      </c>
    </row>
    <row r="41">
      <c r="A41" t="inlineStr">
        <is>
          <t>Chiamussu-Lienkiangkow</t>
        </is>
      </c>
      <c r="B41" s="8" t="n">
        <v>12.7</v>
      </c>
      <c r="C41" t="inlineStr">
        <is>
          <t>"</t>
        </is>
      </c>
    </row>
    <row r="42">
      <c r="A42" t="inlineStr">
        <is>
          <t>Kungyuang-Tienshifu</t>
        </is>
      </c>
      <c r="B42" s="8" t="n">
        <v>82.7</v>
      </c>
      <c r="C42" t="inlineStr">
        <is>
          <t>"</t>
        </is>
      </c>
    </row>
    <row r="43">
      <c r="A43" t="inlineStr">
        <is>
          <t>Lungtsing-Tsingtao</t>
        </is>
      </c>
      <c r="B43" t="inlineStr">
        <is>
          <t>52.6*</t>
        </is>
      </c>
      <c r="C43" t="inlineStr">
        <is>
          <t>"</t>
        </is>
      </c>
    </row>
    <row r="44">
      <c r="A44" t="inlineStr">
        <is>
          <t>Lienkiangkow-Hsingshanchen</t>
        </is>
      </c>
      <c r="B44" t="inlineStr">
        <is>
          <t>56.0*</t>
        </is>
      </c>
      <c r="C44" t="inlineStr">
        <is>
          <t>"</t>
        </is>
      </c>
    </row>
    <row r="45">
      <c r="A45" t="inlineStr">
        <is>
          <t>Harbin-Pakou</t>
        </is>
      </c>
      <c r="B45" t="inlineStr">
        <is>
          <t>0.7*</t>
        </is>
      </c>
      <c r="C45" t="inlineStr">
        <is>
          <t>"</t>
        </is>
      </c>
    </row>
    <row r="46">
      <c r="A46" t="inlineStr">
        <is>
          <t>Yayuan-Talitzukou</t>
        </is>
      </c>
      <c r="B46" s="8" t="n">
        <v>113</v>
      </c>
      <c r="C46" s="9" t="n">
        <v>1940</v>
      </c>
    </row>
    <row r="47">
      <c r="A47" t="inlineStr">
        <is>
          <t>Hsinhsing-Chengtzu</t>
        </is>
      </c>
      <c r="B47" s="8" t="n">
        <v>216.1</v>
      </c>
      <c r="C47" t="inlineStr">
        <is>
          <t>"</t>
        </is>
      </c>
    </row>
    <row r="48">
      <c r="A48" t="inlineStr">
        <is>
          <t>Moerhken-Holungmen</t>
        </is>
      </c>
      <c r="B48" s="8" t="n">
        <v>203.6</v>
      </c>
      <c r="C48" t="inlineStr">
        <is>
          <t>"</t>
        </is>
      </c>
    </row>
    <row r="49">
      <c r="A49" t="inlineStr">
        <is>
          <t>Total</t>
        </is>
      </c>
      <c r="B49" s="7" t="n">
        <v>5000.4</v>
      </c>
      <c r="C49" t="inlineStr"/>
    </row>
    <row r="51">
      <c r="A51" s="2" t="inlineStr">
        <is>
          <t>Footnotes</t>
        </is>
      </c>
    </row>
    <row r="52">
      <c r="A52" t="inlineStr">
        <is>
          <t>Note: * Private Railways purchased.</t>
        </is>
      </c>
    </row>
    <row r="54">
      <c r="A54" s="2" t="inlineStr">
        <is>
          <t>Transcriber's notes</t>
        </is>
      </c>
    </row>
    <row r="55">
      <c r="A55" t="inlineStr">
        <is>
          <t>Total 5,000.4: parts sum to 5,006.4 — does NOT reconcile (diff -6.0)</t>
        </is>
      </c>
    </row>
    <row r="56">
      <c r="A56" t="inlineStr">
        <is>
          <t>Lengths re-read after the mismatch; readings confirmed.</t>
        </is>
      </c>
    </row>
    <row r="57">
      <c r="A57" t="inlineStr">
        <is>
          <t>Ditto marks (") in 'Opened to traffic' transcribed as printed (").</t>
        </is>
      </c>
    </row>
    <row r="58">
      <c r="A58" t="inlineStr">
        <is>
          <t>Continued from p. 588 to p. 589 (headed '(Continued)'). 'Yehpaishoū' printed with macron on the u; 'Tunghua-Meihokuo' printed with a damaged k.</t>
        </is>
      </c>
    </row>
  </sheetData>
  <hyperlinks>
    <hyperlink xmlns:r="http://schemas.openxmlformats.org/officeDocument/2006/relationships" ref="A3" r:id="rId1"/>
  </hyperlink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K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Goods Hauled by Kinds</t>
        </is>
      </c>
    </row>
    <row r="2">
      <c r="A2" t="inlineStr">
        <is>
          <t>Railways · printed pp. 589</t>
        </is>
      </c>
    </row>
    <row r="3">
      <c r="A3" t="inlineStr">
        <is>
          <t>(%)</t>
        </is>
      </c>
    </row>
    <row r="4">
      <c r="A4" s="3" t="inlineStr">
        <is>
          <t>← Contents</t>
        </is>
      </c>
    </row>
    <row r="6">
      <c r="A6" s="5" t="inlineStr">
        <is>
          <t>Year ending March 31</t>
        </is>
      </c>
      <c r="B6" s="5" t="inlineStr">
        <is>
          <t>Agricultural products</t>
        </is>
      </c>
      <c r="C6" s="5" t="inlineStr">
        <is>
          <t>Live-stocks</t>
        </is>
      </c>
      <c r="D6" s="5" t="inlineStr">
        <is>
          <t>Forestry products</t>
        </is>
      </c>
      <c r="E6" s="5" t="inlineStr">
        <is>
          <t>Aquatic products</t>
        </is>
      </c>
      <c r="F6" s="5" t="inlineStr">
        <is>
          <t>Mineral products</t>
        </is>
      </c>
      <c r="G6" s="5" t="inlineStr">
        <is>
          <t>Industrial products</t>
        </is>
      </c>
      <c r="H6" s="5" t="inlineStr">
        <is>
          <t>Other goods</t>
        </is>
      </c>
      <c r="I6" s="5" t="inlineStr">
        <is>
          <t>Total</t>
        </is>
      </c>
      <c r="J6" s="5" t="inlineStr">
        <is>
          <t>Business goods</t>
        </is>
      </c>
      <c r="K6" s="5" t="inlineStr">
        <is>
          <t>Office goods</t>
        </is>
      </c>
    </row>
    <row r="7">
      <c r="A7" s="9" t="n">
        <v>1931</v>
      </c>
      <c r="B7" s="8" t="n">
        <v>31</v>
      </c>
      <c r="C7" s="8" t="n">
        <v>0.4</v>
      </c>
      <c r="D7" s="8" t="n">
        <v>5.5</v>
      </c>
      <c r="E7" s="8" t="n">
        <v>0.9</v>
      </c>
      <c r="F7" s="8" t="n">
        <v>40.6</v>
      </c>
      <c r="G7" s="8" t="n">
        <v>7.9</v>
      </c>
      <c r="H7" s="8" t="n">
        <v>13.5</v>
      </c>
      <c r="I7" s="8" t="n">
        <v>100</v>
      </c>
      <c r="J7" s="8" t="n">
        <v>83.09999999999999</v>
      </c>
      <c r="K7" s="8" t="n">
        <v>16.9</v>
      </c>
    </row>
    <row r="8">
      <c r="A8" s="9" t="n">
        <v>1932</v>
      </c>
      <c r="B8" s="8" t="n">
        <v>40</v>
      </c>
      <c r="C8" s="8" t="n">
        <v>0.3</v>
      </c>
      <c r="D8" s="8" t="n">
        <v>3.7</v>
      </c>
      <c r="E8" s="8" t="n">
        <v>0.7</v>
      </c>
      <c r="F8" s="8" t="n">
        <v>36.6</v>
      </c>
      <c r="G8" s="8" t="n">
        <v>7.8</v>
      </c>
      <c r="H8" s="8" t="n">
        <v>13.6</v>
      </c>
      <c r="I8" s="8" t="n">
        <v>100</v>
      </c>
      <c r="J8" s="8" t="n">
        <v>85.5</v>
      </c>
      <c r="K8" s="8" t="n">
        <v>14.5</v>
      </c>
    </row>
    <row r="9">
      <c r="A9" s="9" t="n">
        <v>1933</v>
      </c>
      <c r="B9" s="8" t="n">
        <v>36.4</v>
      </c>
      <c r="C9" s="8" t="n">
        <v>0.4</v>
      </c>
      <c r="D9" s="8" t="n">
        <v>3.2</v>
      </c>
      <c r="E9" s="8" t="n">
        <v>1.1</v>
      </c>
      <c r="F9" s="8" t="n">
        <v>33</v>
      </c>
      <c r="G9" s="8" t="n">
        <v>13.1</v>
      </c>
      <c r="H9" s="8" t="n">
        <v>12.8</v>
      </c>
      <c r="I9" s="8" t="n">
        <v>100</v>
      </c>
      <c r="J9" s="8" t="n">
        <v>91.90000000000001</v>
      </c>
      <c r="K9" s="8" t="n">
        <v>8.1</v>
      </c>
    </row>
    <row r="10">
      <c r="A10" s="9" t="n">
        <v>1934</v>
      </c>
      <c r="B10" s="8" t="n">
        <v>24.5</v>
      </c>
      <c r="C10" s="8" t="n">
        <v>0.3</v>
      </c>
      <c r="D10" s="8" t="n">
        <v>8.1</v>
      </c>
      <c r="E10" s="8" t="n">
        <v>1</v>
      </c>
      <c r="F10" s="8" t="n">
        <v>38.2</v>
      </c>
      <c r="G10" s="8" t="n">
        <v>15.2</v>
      </c>
      <c r="H10" s="8" t="n">
        <v>11.3</v>
      </c>
      <c r="I10" s="8" t="n">
        <v>100</v>
      </c>
      <c r="J10" s="8" t="n">
        <v>88</v>
      </c>
      <c r="K10" s="8" t="n">
        <v>12</v>
      </c>
    </row>
    <row r="11">
      <c r="A11" s="9" t="n">
        <v>1935</v>
      </c>
      <c r="B11" s="8" t="n">
        <v>16.7</v>
      </c>
      <c r="C11" s="8" t="n">
        <v>0.3</v>
      </c>
      <c r="D11" s="8" t="n">
        <v>6.2</v>
      </c>
      <c r="E11" s="8" t="n">
        <v>1.2</v>
      </c>
      <c r="F11" s="8" t="n">
        <v>55.3</v>
      </c>
      <c r="G11" s="8" t="n">
        <v>16.5</v>
      </c>
      <c r="H11" s="8" t="n">
        <v>3.4</v>
      </c>
      <c r="I11" s="8" t="n">
        <v>100</v>
      </c>
      <c r="J11" s="8" t="n">
        <v>80</v>
      </c>
      <c r="K11" s="8" t="n">
        <v>20</v>
      </c>
    </row>
    <row r="12">
      <c r="A12" s="9" t="n">
        <v>1936</v>
      </c>
      <c r="B12" s="8" t="n">
        <v>16.2</v>
      </c>
      <c r="C12" s="8" t="n">
        <v>0.3</v>
      </c>
      <c r="D12" s="8" t="n">
        <v>6.5</v>
      </c>
      <c r="E12" s="8" t="n">
        <v>1</v>
      </c>
      <c r="F12" s="8" t="n">
        <v>54</v>
      </c>
      <c r="G12" s="8" t="n">
        <v>13</v>
      </c>
      <c r="H12" s="8" t="n">
        <v>8.4</v>
      </c>
      <c r="I12" s="8" t="n">
        <v>100</v>
      </c>
      <c r="J12" s="8" t="n">
        <v>80.5</v>
      </c>
      <c r="K12" s="8" t="n">
        <v>19.5</v>
      </c>
    </row>
    <row r="13">
      <c r="A13" s="9" t="n">
        <v>1937</v>
      </c>
      <c r="B13" s="8" t="n">
        <v>16.9</v>
      </c>
      <c r="C13" s="8" t="n">
        <v>0.4</v>
      </c>
      <c r="D13" s="8" t="n">
        <v>7.1</v>
      </c>
      <c r="E13" s="8" t="n">
        <v>1.8</v>
      </c>
      <c r="F13" s="8" t="n">
        <v>54</v>
      </c>
      <c r="G13" s="8" t="n">
        <v>12.2</v>
      </c>
      <c r="H13" s="8" t="n">
        <v>8.300000000000001</v>
      </c>
      <c r="I13" s="8" t="n">
        <v>100</v>
      </c>
      <c r="J13" s="8" t="n">
        <v>78.7</v>
      </c>
      <c r="K13" s="8" t="n">
        <v>21.3</v>
      </c>
    </row>
    <row r="14">
      <c r="A14" s="9" t="n">
        <v>1938</v>
      </c>
      <c r="B14" s="8" t="n">
        <v>16.2</v>
      </c>
      <c r="C14" s="8" t="n">
        <v>0.4</v>
      </c>
      <c r="D14" s="8" t="n">
        <v>7.4</v>
      </c>
      <c r="E14" s="8" t="n">
        <v>1.5</v>
      </c>
      <c r="F14" s="8" t="n">
        <v>45.8</v>
      </c>
      <c r="G14" s="8" t="n">
        <v>14.6</v>
      </c>
      <c r="H14" s="8" t="n">
        <v>14.1</v>
      </c>
      <c r="I14" s="8" t="n">
        <v>100</v>
      </c>
      <c r="J14" s="8" t="n">
        <v>87.2</v>
      </c>
      <c r="K14" s="8" t="n">
        <v>12.8</v>
      </c>
    </row>
    <row r="16">
      <c r="A16" s="2" t="inlineStr">
        <is>
          <t>Transcriber's notes</t>
        </is>
      </c>
    </row>
    <row r="17">
      <c r="A17" t="inlineStr">
        <is>
          <t>1931: seven kinds sum to 99.8 (does NOT reconcile with 100.0, diff 0.2); business+office = 100.0</t>
        </is>
      </c>
    </row>
    <row r="18">
      <c r="A18" t="inlineStr">
        <is>
          <t>1932: seven kinds sum to 102.7 (does NOT reconcile with 100.0, diff -2.7); business+office = 100.0</t>
        </is>
      </c>
    </row>
    <row r="19">
      <c r="A19" t="inlineStr">
        <is>
          <t>1933: seven kinds sum to 100.0 (reconciles); business+office = 100.0</t>
        </is>
      </c>
    </row>
    <row r="20">
      <c r="A20" t="inlineStr">
        <is>
          <t>1934: seven kinds sum to 98.6 (does NOT reconcile with 100.0, diff 1.4); business+office = 100.0</t>
        </is>
      </c>
    </row>
    <row r="21">
      <c r="A21" t="inlineStr">
        <is>
          <t>1935: seven kinds sum to 99.6 (does NOT reconcile with 100.0, diff 0.4); business+office = 100.0</t>
        </is>
      </c>
    </row>
    <row r="22">
      <c r="A22" t="inlineStr">
        <is>
          <t>1936: seven kinds sum to 99.4 (does NOT reconcile with 100.0, diff 0.6); business+office = 100.0</t>
        </is>
      </c>
    </row>
    <row r="23">
      <c r="A23" t="inlineStr">
        <is>
          <t>1937: seven kinds sum to 100.7 (does NOT reconcile with 100.0, diff -0.7); business+office = 100.0</t>
        </is>
      </c>
    </row>
    <row r="24">
      <c r="A24" t="inlineStr">
        <is>
          <t>1938: seven kinds sum to 100.0 (reconciles); business+office = 100.0</t>
        </is>
      </c>
    </row>
  </sheetData>
  <hyperlinks>
    <hyperlink xmlns:r="http://schemas.openxmlformats.org/officeDocument/2006/relationships" ref="A4" r:id="rId1"/>
  </hyperlink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Principal Commodities Hauled</t>
        </is>
      </c>
    </row>
    <row r="2">
      <c r="A2" t="inlineStr">
        <is>
          <t>Railways · printed pp. 589, 590</t>
        </is>
      </c>
    </row>
    <row r="3">
      <c r="A3" t="inlineStr">
        <is>
          <t>(Unit: 1,000 metric tons)</t>
        </is>
      </c>
    </row>
    <row r="4">
      <c r="A4" s="3" t="inlineStr">
        <is>
          <t>← Contents</t>
        </is>
      </c>
    </row>
    <row r="6">
      <c r="A6" s="2" t="inlineStr">
        <is>
          <t>Agricultural commodities</t>
        </is>
      </c>
    </row>
    <row r="7">
      <c r="A7" s="5" t="inlineStr">
        <is>
          <t>Year ending Mar. 31</t>
        </is>
      </c>
      <c r="B7" s="5" t="inlineStr">
        <is>
          <t>Soya beans</t>
        </is>
      </c>
      <c r="C7" s="5" t="inlineStr">
        <is>
          <t>Kaoliang</t>
        </is>
      </c>
      <c r="D7" s="5" t="inlineStr">
        <is>
          <t>Maize</t>
        </is>
      </c>
      <c r="E7" s="5" t="inlineStr">
        <is>
          <t>Millet</t>
        </is>
      </c>
      <c r="F7" s="5" t="inlineStr">
        <is>
          <t>Wheat</t>
        </is>
      </c>
      <c r="G7" s="5" t="inlineStr">
        <is>
          <t>Other seeds</t>
        </is>
      </c>
      <c r="H7" s="5" t="inlineStr">
        <is>
          <t>Bean oil</t>
        </is>
      </c>
      <c r="I7" s="5" t="inlineStr">
        <is>
          <t>Bean cake</t>
        </is>
      </c>
      <c r="J7" s="5" t="inlineStr">
        <is>
          <t>Total</t>
        </is>
      </c>
    </row>
    <row r="8">
      <c r="A8" s="9" t="n">
        <v>1937</v>
      </c>
      <c r="B8" s="6" t="n">
        <v>2667</v>
      </c>
      <c r="C8" s="9" t="n">
        <v>513</v>
      </c>
      <c r="D8" s="9" t="n">
        <v>286</v>
      </c>
      <c r="E8" s="9" t="n">
        <v>356</v>
      </c>
      <c r="F8" t="inlineStr">
        <is>
          <t>—</t>
        </is>
      </c>
      <c r="G8" t="inlineStr">
        <is>
          <t>—</t>
        </is>
      </c>
      <c r="H8" s="9" t="n">
        <v>21</v>
      </c>
      <c r="I8" s="9" t="n">
        <v>239</v>
      </c>
      <c r="J8" s="6" t="n">
        <v>5481</v>
      </c>
    </row>
    <row r="9">
      <c r="A9" s="9" t="n">
        <v>1938</v>
      </c>
      <c r="B9" s="6" t="n">
        <v>2643</v>
      </c>
      <c r="C9" s="9" t="n">
        <v>573</v>
      </c>
      <c r="D9" s="9" t="n">
        <v>393</v>
      </c>
      <c r="E9" s="9" t="n">
        <v>293</v>
      </c>
      <c r="F9" s="9" t="n">
        <v>563</v>
      </c>
      <c r="G9" s="6" t="n">
        <v>1116</v>
      </c>
      <c r="H9" s="9" t="n">
        <v>24</v>
      </c>
      <c r="I9" s="9" t="n">
        <v>322</v>
      </c>
      <c r="J9" s="6" t="n">
        <v>5926</v>
      </c>
    </row>
    <row r="10">
      <c r="A10" t="inlineStr">
        <is>
          <t>1938:</t>
        </is>
      </c>
      <c r="B10" t="inlineStr"/>
      <c r="C10" t="inlineStr"/>
      <c r="D10" t="inlineStr"/>
      <c r="E10" t="inlineStr"/>
      <c r="F10" t="inlineStr"/>
      <c r="G10" t="inlineStr"/>
      <c r="H10" t="inlineStr"/>
      <c r="I10" t="inlineStr"/>
      <c r="J10" t="inlineStr"/>
    </row>
    <row r="11">
      <c r="A11" t="inlineStr">
        <is>
          <t>S.M.R.</t>
        </is>
      </c>
      <c r="B11" s="9" t="n">
        <v>586</v>
      </c>
      <c r="C11" s="9" t="n">
        <v>172</v>
      </c>
      <c r="D11" s="9" t="n">
        <v>77</v>
      </c>
      <c r="E11" s="9" t="n">
        <v>126</v>
      </c>
      <c r="F11" s="9" t="n">
        <v>1</v>
      </c>
      <c r="G11" s="9" t="n">
        <v>451</v>
      </c>
      <c r="H11" s="9" t="n">
        <v>10</v>
      </c>
      <c r="I11" s="9" t="n">
        <v>139</v>
      </c>
      <c r="J11" s="6" t="n">
        <v>1562</v>
      </c>
    </row>
    <row r="12">
      <c r="A12" t="inlineStr">
        <is>
          <t>Chinchow Ry. Bureau</t>
        </is>
      </c>
      <c r="B12" s="9" t="n">
        <v>46</v>
      </c>
      <c r="C12" s="9" t="n">
        <v>181</v>
      </c>
      <c r="D12" s="9" t="n">
        <v>70</v>
      </c>
      <c r="E12" s="9" t="n">
        <v>51</v>
      </c>
      <c r="F12" s="9" t="n">
        <v>0</v>
      </c>
      <c r="G12" s="9" t="n">
        <v>174</v>
      </c>
      <c r="H12" s="9" t="n">
        <v>1</v>
      </c>
      <c r="I12" s="9" t="n">
        <v>17</v>
      </c>
      <c r="J12" s="9" t="n">
        <v>539</v>
      </c>
    </row>
    <row r="13">
      <c r="A13" t="inlineStr">
        <is>
          <t>Kirin Ry. Bureau</t>
        </is>
      </c>
      <c r="B13" s="9" t="n">
        <v>487</v>
      </c>
      <c r="C13" s="9" t="n">
        <v>46</v>
      </c>
      <c r="D13" s="9" t="n">
        <v>41</v>
      </c>
      <c r="E13" s="9" t="n">
        <v>10</v>
      </c>
      <c r="F13" s="9" t="n">
        <v>0</v>
      </c>
      <c r="G13" s="9" t="n">
        <v>133</v>
      </c>
      <c r="H13" s="9" t="n">
        <v>1</v>
      </c>
      <c r="I13" s="9" t="n">
        <v>19</v>
      </c>
      <c r="J13" s="9" t="n">
        <v>737</v>
      </c>
    </row>
    <row r="14">
      <c r="A14" t="inlineStr">
        <is>
          <t>Mutankiang Ry. Bureau</t>
        </is>
      </c>
      <c r="B14" s="9" t="n">
        <v>213</v>
      </c>
      <c r="C14" s="9" t="n">
        <v>10</v>
      </c>
      <c r="D14" s="9" t="n">
        <v>5</v>
      </c>
      <c r="E14" s="9" t="n">
        <v>2</v>
      </c>
      <c r="F14" s="9" t="n">
        <v>26</v>
      </c>
      <c r="G14" s="9" t="n">
        <v>36</v>
      </c>
      <c r="H14" s="9" t="n">
        <v>1</v>
      </c>
      <c r="I14" s="9" t="n">
        <v>7</v>
      </c>
      <c r="J14" s="9" t="n">
        <v>301</v>
      </c>
    </row>
    <row r="15">
      <c r="A15" t="inlineStr">
        <is>
          <t>Harbin Ry. Bureau</t>
        </is>
      </c>
      <c r="B15" s="9" t="n">
        <v>948</v>
      </c>
      <c r="C15" s="9" t="n">
        <v>41</v>
      </c>
      <c r="D15" s="9" t="n">
        <v>75</v>
      </c>
      <c r="E15" s="9" t="n">
        <v>35</v>
      </c>
      <c r="F15" s="9" t="n">
        <v>369</v>
      </c>
      <c r="G15" s="9" t="n">
        <v>125</v>
      </c>
      <c r="H15" s="9" t="n">
        <v>9</v>
      </c>
      <c r="I15" s="9" t="n">
        <v>125</v>
      </c>
      <c r="J15" s="6" t="n">
        <v>1726</v>
      </c>
    </row>
    <row r="16">
      <c r="A16" t="inlineStr">
        <is>
          <t>Tsitsihar Ry. Bureau</t>
        </is>
      </c>
      <c r="B16" s="9" t="n">
        <v>337</v>
      </c>
      <c r="C16" s="9" t="n">
        <v>123</v>
      </c>
      <c r="D16" s="9" t="n">
        <v>125</v>
      </c>
      <c r="E16" s="9" t="n">
        <v>61</v>
      </c>
      <c r="F16" s="9" t="n">
        <v>165</v>
      </c>
      <c r="G16" s="9" t="n">
        <v>158</v>
      </c>
      <c r="H16" s="9" t="n">
        <v>1</v>
      </c>
      <c r="I16" s="9" t="n">
        <v>14</v>
      </c>
      <c r="J16" s="9" t="n">
        <v>984</v>
      </c>
    </row>
    <row r="17">
      <c r="A17" t="inlineStr">
        <is>
          <t>N. Chosen Office</t>
        </is>
      </c>
      <c r="B17" s="9" t="n">
        <v>26</v>
      </c>
      <c r="C17" s="9" t="n">
        <v>0</v>
      </c>
      <c r="D17" s="9" t="n">
        <v>1</v>
      </c>
      <c r="E17" s="9" t="n">
        <v>8</v>
      </c>
      <c r="F17" s="9" t="n">
        <v>0</v>
      </c>
      <c r="G17" s="9" t="n">
        <v>39</v>
      </c>
      <c r="H17" s="9" t="n">
        <v>0</v>
      </c>
      <c r="I17" s="9" t="n">
        <v>1</v>
      </c>
      <c r="J17" s="9" t="n">
        <v>76</v>
      </c>
    </row>
    <row r="19">
      <c r="A19" s="2" t="inlineStr">
        <is>
          <t>(Continued) Other commodities</t>
        </is>
      </c>
    </row>
    <row r="20">
      <c r="A20" s="5" t="inlineStr">
        <is>
          <t>Year ending Mar. 31</t>
        </is>
      </c>
      <c r="B20" s="5" t="inlineStr">
        <is>
          <t>Timber</t>
        </is>
      </c>
      <c r="C20" s="5" t="inlineStr">
        <is>
          <t>Coal</t>
        </is>
      </c>
      <c r="D20" s="5" t="inlineStr">
        <is>
          <t>Minerals</t>
        </is>
      </c>
      <c r="E20" s="5" t="inlineStr">
        <is>
          <t>Cement</t>
        </is>
      </c>
      <c r="F20" s="5" t="inlineStr">
        <is>
          <t>Wheat flour</t>
        </is>
      </c>
      <c r="G20" s="5" t="inlineStr">
        <is>
          <t>Cotton yarns &amp; tissues</t>
        </is>
      </c>
      <c r="H20" s="5" t="inlineStr">
        <is>
          <t>Iron, Steel &amp; Mfrs.</t>
        </is>
      </c>
      <c r="I20" s="5" t="inlineStr">
        <is>
          <t>Gunny bags</t>
        </is>
      </c>
      <c r="J20" s="5" t="inlineStr">
        <is>
          <t>Grand total incl. others</t>
        </is>
      </c>
    </row>
    <row r="21">
      <c r="A21" s="9" t="n">
        <v>1937</v>
      </c>
      <c r="B21" s="6" t="n">
        <v>1560</v>
      </c>
      <c r="C21" s="6" t="n">
        <v>11169</v>
      </c>
      <c r="D21" t="inlineStr">
        <is>
          <t>—</t>
        </is>
      </c>
      <c r="E21" s="9" t="n">
        <v>568</v>
      </c>
      <c r="F21" s="9" t="n">
        <v>486</v>
      </c>
      <c r="G21" s="9" t="n">
        <v>129</v>
      </c>
      <c r="H21" s="6" t="n">
        <v>1119</v>
      </c>
      <c r="I21" s="9" t="n">
        <v>129</v>
      </c>
      <c r="J21" s="6" t="n">
        <v>36408</v>
      </c>
    </row>
    <row r="22">
      <c r="A22" s="9" t="n">
        <v>1938</v>
      </c>
      <c r="B22" s="6" t="n">
        <v>1520</v>
      </c>
      <c r="C22" s="6" t="n">
        <v>11050</v>
      </c>
      <c r="D22" s="6" t="n">
        <v>1346</v>
      </c>
      <c r="E22" s="9" t="n">
        <v>562</v>
      </c>
      <c r="F22" s="9" t="n">
        <v>505</v>
      </c>
      <c r="G22" s="9" t="n">
        <v>142</v>
      </c>
      <c r="H22" s="6" t="n">
        <v>1323</v>
      </c>
      <c r="I22" s="9" t="n">
        <v>151</v>
      </c>
      <c r="J22" s="6" t="n">
        <v>40122</v>
      </c>
    </row>
    <row r="23">
      <c r="A23" t="inlineStr">
        <is>
          <t>1938:</t>
        </is>
      </c>
      <c r="B23" t="inlineStr"/>
      <c r="C23" t="inlineStr"/>
      <c r="D23" t="inlineStr"/>
      <c r="E23" t="inlineStr"/>
      <c r="F23" t="inlineStr"/>
      <c r="G23" t="inlineStr"/>
      <c r="H23" t="inlineStr"/>
      <c r="I23" t="inlineStr"/>
      <c r="J23" t="inlineStr"/>
    </row>
    <row r="24">
      <c r="A24" t="inlineStr">
        <is>
          <t>S.M.R.</t>
        </is>
      </c>
      <c r="B24" s="9" t="n">
        <v>326</v>
      </c>
      <c r="C24" s="6" t="n">
        <v>9231</v>
      </c>
      <c r="D24" s="6" t="n">
        <v>1054</v>
      </c>
      <c r="E24" s="9" t="n">
        <v>379</v>
      </c>
      <c r="F24" s="9" t="n">
        <v>124</v>
      </c>
      <c r="G24" s="9" t="n">
        <v>97</v>
      </c>
      <c r="H24" s="6" t="n">
        <v>1092</v>
      </c>
      <c r="I24" s="9" t="n">
        <v>90</v>
      </c>
      <c r="J24" s="6" t="n">
        <v>20767</v>
      </c>
    </row>
    <row r="25">
      <c r="A25" t="inlineStr">
        <is>
          <t>Chinchow Ry. Bureau</t>
        </is>
      </c>
      <c r="B25" s="9" t="n">
        <v>48</v>
      </c>
      <c r="C25" s="9" t="n">
        <v>293</v>
      </c>
      <c r="D25" s="9" t="n">
        <v>11</v>
      </c>
      <c r="E25" s="9" t="n">
        <v>3</v>
      </c>
      <c r="F25" t="inlineStr"/>
      <c r="G25" s="9" t="n">
        <v>18</v>
      </c>
      <c r="H25" s="9" t="n">
        <v>46</v>
      </c>
      <c r="I25" s="9" t="n">
        <v>9</v>
      </c>
      <c r="J25" s="6" t="n">
        <v>2848</v>
      </c>
    </row>
    <row r="26">
      <c r="A26" t="inlineStr">
        <is>
          <t>Kirin Ry. Bureau</t>
        </is>
      </c>
      <c r="B26" s="9" t="n">
        <v>309</v>
      </c>
      <c r="C26" s="9" t="n">
        <v>694</v>
      </c>
      <c r="D26" s="9" t="n">
        <v>162</v>
      </c>
      <c r="E26" s="9" t="n">
        <v>58</v>
      </c>
      <c r="F26" s="9" t="n">
        <v>15</v>
      </c>
      <c r="G26" s="9" t="n">
        <v>6</v>
      </c>
      <c r="H26" s="9" t="n">
        <v>29</v>
      </c>
      <c r="I26" s="9" t="n">
        <v>8</v>
      </c>
      <c r="J26" s="6" t="n">
        <v>3915</v>
      </c>
    </row>
    <row r="27">
      <c r="A27" t="inlineStr">
        <is>
          <t>Mutankiang Ry. Bureau</t>
        </is>
      </c>
      <c r="B27" s="9" t="n">
        <v>325</v>
      </c>
      <c r="C27" s="9" t="n">
        <v>139</v>
      </c>
      <c r="D27" s="9" t="n">
        <v>0</v>
      </c>
      <c r="E27" s="9" t="n">
        <v>2</v>
      </c>
      <c r="F27" s="9" t="n">
        <v>18</v>
      </c>
      <c r="G27" s="9" t="n">
        <v>1</v>
      </c>
      <c r="H27" s="9" t="n">
        <v>18</v>
      </c>
      <c r="I27" s="9" t="n">
        <v>4</v>
      </c>
      <c r="J27" s="6" t="n">
        <v>2624</v>
      </c>
    </row>
    <row r="28">
      <c r="A28" t="inlineStr">
        <is>
          <t>Harbin Ry. Bureau</t>
        </is>
      </c>
      <c r="B28" s="9" t="n">
        <v>219</v>
      </c>
      <c r="C28" s="9" t="n">
        <v>38</v>
      </c>
      <c r="D28" s="9" t="n">
        <v>109</v>
      </c>
      <c r="E28" s="9" t="n">
        <v>35</v>
      </c>
      <c r="F28" s="9" t="n">
        <v>295</v>
      </c>
      <c r="G28" s="9" t="n">
        <v>11</v>
      </c>
      <c r="H28" s="9" t="n">
        <v>55</v>
      </c>
      <c r="I28" s="9" t="n">
        <v>28</v>
      </c>
      <c r="J28" s="6" t="n">
        <v>5318</v>
      </c>
    </row>
    <row r="29">
      <c r="A29" t="inlineStr">
        <is>
          <t>Tsitsihar Ry. Bureau</t>
        </is>
      </c>
      <c r="B29" s="9" t="n">
        <v>114</v>
      </c>
      <c r="C29" s="9" t="n">
        <v>57</v>
      </c>
      <c r="D29" s="9" t="n">
        <v>1</v>
      </c>
      <c r="E29" s="9" t="n">
        <v>2</v>
      </c>
      <c r="F29" s="9" t="n">
        <v>34</v>
      </c>
      <c r="G29" s="9" t="n">
        <v>3</v>
      </c>
      <c r="H29" s="9" t="n">
        <v>17</v>
      </c>
      <c r="I29" s="9" t="n">
        <v>11</v>
      </c>
      <c r="J29" s="6" t="n">
        <v>2929</v>
      </c>
    </row>
    <row r="30">
      <c r="A30" t="inlineStr">
        <is>
          <t>N. Chosen Office</t>
        </is>
      </c>
      <c r="B30" s="9" t="n">
        <v>189</v>
      </c>
      <c r="C30" s="9" t="n">
        <v>599</v>
      </c>
      <c r="D30" s="9" t="n">
        <v>8</v>
      </c>
      <c r="E30" s="9" t="n">
        <v>83</v>
      </c>
      <c r="F30" s="9" t="n">
        <v>5</v>
      </c>
      <c r="G30" s="9" t="n">
        <v>6</v>
      </c>
      <c r="H30" s="9" t="n">
        <v>67</v>
      </c>
      <c r="I30" s="9" t="n">
        <v>1</v>
      </c>
      <c r="J30" s="6" t="n">
        <v>1721</v>
      </c>
    </row>
    <row r="32">
      <c r="A32" s="2" t="inlineStr">
        <is>
          <t>Transcriber's notes</t>
        </is>
      </c>
    </row>
    <row r="33">
      <c r="A33" t="inlineStr">
        <is>
          <t>Row labels 'Kirin', 'Mutankiang', 'Harbin', 'Tsitsihar' printed with ditto marks (") under 'Ry. Bureau'; expanded here to '... Ry. Bureau'.</t>
        </is>
      </c>
    </row>
    <row r="34">
      <c r="A34" t="inlineStr">
        <is>
          <t>Part A row '1937': Total 5,481, the 8 listed commodities sum to 4,082 — does NOT reconcile (diff +1,399)</t>
        </is>
      </c>
    </row>
    <row r="35">
      <c r="A35" t="inlineStr">
        <is>
          <t>Part A row '1938': Total 5,926, the 8 listed commodities sum to 5,927 — does NOT reconcile (diff -1)</t>
        </is>
      </c>
    </row>
    <row r="36">
      <c r="A36" t="inlineStr">
        <is>
          <t>Part A row 'S.M.R.': Total 1,562, the 8 listed commodities sum to 1,562 — reconciles</t>
        </is>
      </c>
    </row>
    <row r="37">
      <c r="A37" t="inlineStr">
        <is>
          <t>Part A row 'Chinchow Ry. Bureau': Total 539, the 8 listed commodities sum to 540 — does NOT reconcile (diff -1)</t>
        </is>
      </c>
    </row>
    <row r="38">
      <c r="A38" t="inlineStr">
        <is>
          <t>Part A row 'Kirin Ry. Bureau': Total 737, the 8 listed commodities sum to 737 — reconciles</t>
        </is>
      </c>
    </row>
    <row r="39">
      <c r="A39" t="inlineStr">
        <is>
          <t>Part A row 'Mutankiang Ry. Bureau': Total 301, the 8 listed commodities sum to 300 — does NOT reconcile (diff +1)</t>
        </is>
      </c>
    </row>
    <row r="40">
      <c r="A40" t="inlineStr">
        <is>
          <t>Part A row 'Harbin Ry. Bureau': Total 1,726, the 8 listed commodities sum to 1,727 — does NOT reconcile (diff -1)</t>
        </is>
      </c>
    </row>
    <row r="41">
      <c r="A41" t="inlineStr">
        <is>
          <t>Part A row 'Tsitsihar Ry. Bureau': Total 984, the 8 listed commodities sum to 984 — reconciles</t>
        </is>
      </c>
    </row>
    <row r="42">
      <c r="A42" t="inlineStr">
        <is>
          <t>Part A row 'N. Chosen Office': Total 76, the 8 listed commodities sum to 75 — does NOT reconcile (diff +1)</t>
        </is>
      </c>
    </row>
    <row r="43">
      <c r="A43" t="inlineStr">
        <is>
          <t>Part A column 'Soya beans': 1938 divisions sum to 2,643 vs 1938 figure 2,643 — reconciles</t>
        </is>
      </c>
    </row>
    <row r="44">
      <c r="A44" t="inlineStr">
        <is>
          <t>Part A column 'Kaoliang': 1938 divisions sum to 573 vs 1938 figure 573 — reconciles</t>
        </is>
      </c>
    </row>
    <row r="45">
      <c r="A45" t="inlineStr">
        <is>
          <t>Part A column 'Maize': 1938 divisions sum to 394 vs 1938 figure 393 — diff -1</t>
        </is>
      </c>
    </row>
    <row r="46">
      <c r="A46" t="inlineStr">
        <is>
          <t>Part A column 'Millet': 1938 divisions sum to 293 vs 1938 figure 293 — reconciles</t>
        </is>
      </c>
    </row>
    <row r="47">
      <c r="A47" t="inlineStr">
        <is>
          <t>Part A column 'Wheat': 1938 divisions sum to 561 vs 1938 figure 563 — diff +2</t>
        </is>
      </c>
    </row>
    <row r="48">
      <c r="A48" t="inlineStr">
        <is>
          <t>Part A column 'Other seeds': 1938 divisions sum to 1,116 vs 1938 figure 1,116 — reconciles</t>
        </is>
      </c>
    </row>
    <row r="49">
      <c r="A49" t="inlineStr">
        <is>
          <t>Part A column 'Bean oil': 1938 divisions sum to 23 vs 1938 figure 24 — diff +1</t>
        </is>
      </c>
    </row>
    <row r="50">
      <c r="A50" t="inlineStr">
        <is>
          <t>Part A column 'Bean cake': 1938 divisions sum to 322 vs 1938 figure 322 — reconciles</t>
        </is>
      </c>
    </row>
    <row r="51">
      <c r="A51" t="inlineStr">
        <is>
          <t>Part A Total: 1938 divisions sum to 5,925 vs 5,926 — diff +1</t>
        </is>
      </c>
    </row>
    <row r="52">
      <c r="A52" t="inlineStr">
        <is>
          <t>Part B column 'Timber': 1938 divisions sum to 1,530 vs 1938 figure 1,520 — diff -10</t>
        </is>
      </c>
    </row>
    <row r="53">
      <c r="A53" t="inlineStr">
        <is>
          <t>Part B column 'Coal': 1938 divisions sum to 11,051 vs 1938 figure 11,050 — diff -1</t>
        </is>
      </c>
    </row>
    <row r="54">
      <c r="A54" t="inlineStr">
        <is>
          <t>Part B column 'Minerals': 1938 divisions sum to 1,345 vs 1938 figure 1,346 — diff +1</t>
        </is>
      </c>
    </row>
    <row r="55">
      <c r="A55" t="inlineStr">
        <is>
          <t>Part B column 'Cement': 1938 divisions sum to 562 vs 1938 figure 562 — reconciles</t>
        </is>
      </c>
    </row>
    <row r="56">
      <c r="A56" t="inlineStr">
        <is>
          <t>Part B column 'Wheat flour': 1938 divisions sum to 491 vs 1938 figure 505 — diff +14</t>
        </is>
      </c>
    </row>
    <row r="57">
      <c r="A57" t="inlineStr">
        <is>
          <t>Part B column 'Cotton yarns &amp; tissues': 1938 divisions sum to 142 vs 1938 figure 142 — reconciles</t>
        </is>
      </c>
    </row>
    <row r="58">
      <c r="A58" t="inlineStr">
        <is>
          <t>Part B column 'Iron, Steel &amp; Mfrs.': 1938 divisions sum to 1,324 vs 1938 figure 1,323 — diff -1</t>
        </is>
      </c>
    </row>
    <row r="59">
      <c r="A59" t="inlineStr">
        <is>
          <t>Part B column 'Gunny bags': 1938 divisions sum to 151 vs 1938 figure 151 — reconciles</t>
        </is>
      </c>
    </row>
    <row r="60">
      <c r="A60" t="inlineStr">
        <is>
          <t>Part B column 'Grand total incl. others': 1938 divisions sum to 40,122 vs 1938 figure 40,122 — reconciles</t>
        </is>
      </c>
    </row>
    <row r="61">
      <c r="A61" t="inlineStr">
        <is>
          <t>Part B, Chinchow Ry. Bureau, Wheat flour: final digit could be 3 or 5 (damaged type) — left blank; the column total (505) would imply 14, so neither reading reconciles exactly.</t>
        </is>
      </c>
    </row>
    <row r="62">
      <c r="A62" t="inlineStr">
        <is>
          <t>Part B, S.M.R., Minerals: a stray mark before '1,054' (looks like a minus sign) — treated as a speck; transcribed 1,054.</t>
        </is>
      </c>
    </row>
    <row r="63">
      <c r="A63" t="inlineStr">
        <is>
          <t>Part A 'Total' and Part B 'Grand total' columns are printed on the curve into the gutter but are legible.</t>
        </is>
      </c>
    </row>
    <row r="64">
      <c r="A64" t="inlineStr">
        <is>
          <t>1937 row: Wheat and Other seeds printed as '—'; the 1937 Total 5,481 exceeds the sum of listed items (4,082), presumably because it includes items not shown.</t>
        </is>
      </c>
    </row>
  </sheetData>
  <hyperlinks>
    <hyperlink xmlns:r="http://schemas.openxmlformats.org/officeDocument/2006/relationships" ref="A4" r:id="rId1"/>
  </hyperlink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[Tonnage freighted by the Chinese Eastern Railway, 1903-1932]</t>
        </is>
      </c>
    </row>
    <row r="2">
      <c r="A2" t="inlineStr">
        <is>
          <t>Railways · printed pp. 594</t>
        </is>
      </c>
    </row>
    <row r="3">
      <c r="A3" s="3" t="inlineStr">
        <is>
          <t>← Contents</t>
        </is>
      </c>
    </row>
    <row r="5">
      <c r="A5" s="5" t="inlineStr">
        <is>
          <t>Period</t>
        </is>
      </c>
      <c r="B5" s="5" t="inlineStr">
        <is>
          <t>Metric tons</t>
        </is>
      </c>
    </row>
    <row r="6">
      <c r="A6" t="inlineStr">
        <is>
          <t>1903-1907</t>
        </is>
      </c>
      <c r="B6" s="6" t="n">
        <v>1430000</v>
      </c>
    </row>
    <row r="7">
      <c r="A7" t="inlineStr">
        <is>
          <t>1908-1913</t>
        </is>
      </c>
      <c r="B7" s="6" t="n">
        <v>5894500</v>
      </c>
    </row>
    <row r="8">
      <c r="A8" t="inlineStr">
        <is>
          <t>1914-1920</t>
        </is>
      </c>
      <c r="B8" s="6" t="n">
        <v>11858400</v>
      </c>
    </row>
    <row r="9">
      <c r="A9" t="inlineStr">
        <is>
          <t>1921-1932</t>
        </is>
      </c>
      <c r="B9" s="6" t="n">
        <v>46065000</v>
      </c>
    </row>
    <row r="10">
      <c r="A10" t="inlineStr">
        <is>
          <t>Total</t>
        </is>
      </c>
      <c r="B10" s="6" t="n">
        <v>65247900</v>
      </c>
    </row>
    <row r="12">
      <c r="A12" s="2" t="inlineStr">
        <is>
          <t>Footnotes</t>
        </is>
      </c>
    </row>
    <row r="13">
      <c r="A13" t="inlineStr">
        <is>
          <t>Note: The first period covers the Russo-Japanese War; the second period is from the Russo-Japanese War to the outbreak of the World War; the third period includes the World War, the Russian Revolution and the Russian partisan wars; and the fourth period comprises the years following to the establishment of the State of Manchoukuo.</t>
        </is>
      </c>
    </row>
    <row r="15">
      <c r="A15" s="2" t="inlineStr">
        <is>
          <t>Transcriber's notes</t>
        </is>
      </c>
    </row>
    <row r="16">
      <c r="A16" t="inlineStr">
        <is>
          <t>Total 65,247,900: parts sum to 65,247,900 — reconciles</t>
        </is>
      </c>
    </row>
  </sheetData>
  <hyperlinks>
    <hyperlink xmlns:r="http://schemas.openxmlformats.org/officeDocument/2006/relationships" ref="A3" r:id="rId1"/>
  </hyperlink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South Manchuria Railway Lines</t>
        </is>
      </c>
    </row>
    <row r="2">
      <c r="A2" t="inlineStr">
        <is>
          <t>Railways · printed pp. 601</t>
        </is>
      </c>
    </row>
    <row r="3">
      <c r="A3" t="inlineStr">
        <is>
          <t>(At end of Aug., 1939)</t>
        </is>
      </c>
    </row>
    <row r="4">
      <c r="A4" s="3" t="inlineStr">
        <is>
          <t>← Contents</t>
        </is>
      </c>
    </row>
    <row r="6">
      <c r="A6" s="5" t="inlineStr">
        <is>
          <t>Lines</t>
        </is>
      </c>
      <c r="B6" s="5" t="inlineStr">
        <is>
          <t>Distance</t>
        </is>
      </c>
      <c r="C6" s="5" t="inlineStr">
        <is>
          <t>Working mileage (kilometers)</t>
        </is>
      </c>
      <c r="D6" s="5" t="inlineStr">
        <is>
          <t>Gauge (Feet)</t>
        </is>
      </c>
      <c r="E6" s="5" t="inlineStr">
        <is>
          <t>No. of stations</t>
        </is>
      </c>
    </row>
    <row r="7">
      <c r="A7" t="inlineStr">
        <is>
          <t>Dairen Line</t>
        </is>
      </c>
      <c r="B7" t="inlineStr">
        <is>
          <t>Dairen-Hsinking</t>
        </is>
      </c>
      <c r="C7" s="8" t="n">
        <v>704.3</v>
      </c>
      <c r="D7" s="11" t="n">
        <v>4.85</v>
      </c>
      <c r="E7" s="9" t="n">
        <v>74</v>
      </c>
    </row>
    <row r="8">
      <c r="A8" t="inlineStr">
        <is>
          <t>Antung Line</t>
        </is>
      </c>
      <c r="B8" t="inlineStr">
        <is>
          <t>Antung-Suchiatun</t>
        </is>
      </c>
      <c r="C8" s="8" t="n">
        <v>260.2</v>
      </c>
      <c r="D8" s="11" t="n">
        <v>4.85</v>
      </c>
      <c r="E8" s="9" t="n">
        <v>27</v>
      </c>
    </row>
    <row r="9">
      <c r="A9" t="inlineStr">
        <is>
          <t>Port Arthur Line</t>
        </is>
      </c>
      <c r="B9" t="inlineStr">
        <is>
          <t>Choushuitzu-Port Arthur</t>
        </is>
      </c>
      <c r="C9" s="8" t="n">
        <v>50.8</v>
      </c>
      <c r="D9" s="11" t="n">
        <v>4.85</v>
      </c>
      <c r="E9" s="9" t="n">
        <v>5</v>
      </c>
    </row>
    <row r="10">
      <c r="A10" t="inlineStr">
        <is>
          <t>Fushun Line</t>
        </is>
      </c>
      <c r="B10" t="inlineStr">
        <is>
          <t>Suchiatun-Fushun</t>
        </is>
      </c>
      <c r="C10" s="8" t="n">
        <v>52.9</v>
      </c>
      <c r="D10" s="11" t="n">
        <v>4.85</v>
      </c>
      <c r="E10" s="9" t="n">
        <v>6</v>
      </c>
    </row>
    <row r="11">
      <c r="A11" t="inlineStr">
        <is>
          <t>Yentai Colliery branch line</t>
        </is>
      </c>
      <c r="B11" t="inlineStr">
        <is>
          <t>Yentai-coal mines</t>
        </is>
      </c>
      <c r="C11" s="8" t="n">
        <v>15.6</v>
      </c>
      <c r="D11" s="11" t="n">
        <v>4.85</v>
      </c>
      <c r="E11" t="inlineStr">
        <is>
          <t>—</t>
        </is>
      </c>
    </row>
    <row r="12">
      <c r="A12" t="inlineStr">
        <is>
          <t>Other branch lines</t>
        </is>
      </c>
      <c r="B12" t="inlineStr"/>
      <c r="C12" s="8" t="n">
        <v>22.9</v>
      </c>
      <c r="D12" s="11" t="n">
        <v>4.85</v>
      </c>
      <c r="E12" s="9" t="n">
        <v>2</v>
      </c>
    </row>
    <row r="13">
      <c r="A13" t="inlineStr">
        <is>
          <t>Total</t>
        </is>
      </c>
      <c r="B13" t="inlineStr"/>
      <c r="C13" s="7" t="n">
        <v>1129.1</v>
      </c>
      <c r="D13" t="inlineStr">
        <is>
          <t>—</t>
        </is>
      </c>
      <c r="E13" s="9" t="n">
        <v>115</v>
      </c>
    </row>
    <row r="15">
      <c r="A15" s="2" t="inlineStr">
        <is>
          <t>Transcriber's notes</t>
        </is>
      </c>
    </row>
    <row r="16">
      <c r="A16" t="inlineStr">
        <is>
          <t>Total working mileage 1,129.1: parts sum to 1,106.7 — does NOT reconcile (diff 22.4); figures re-read.</t>
        </is>
      </c>
    </row>
    <row r="17">
      <c r="A17" t="inlineStr">
        <is>
          <t>Total stations 115: parts sum to 114 — does NOT reconcile (diff 1)</t>
        </is>
      </c>
    </row>
    <row r="18">
      <c r="A18" t="inlineStr">
        <is>
          <t>'Suchiatun-Fushun' printed with a damaged final n.</t>
        </is>
      </c>
    </row>
  </sheetData>
  <hyperlinks>
    <hyperlink xmlns:r="http://schemas.openxmlformats.org/officeDocument/2006/relationships" ref="A4" r:id="rId1"/>
  </hyperlink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Tables of Distances</t>
        </is>
      </c>
    </row>
    <row r="2">
      <c r="A2" t="inlineStr">
        <is>
          <t>Railways · printed pp. 612</t>
        </is>
      </c>
    </row>
    <row r="3">
      <c r="A3" s="3" t="inlineStr">
        <is>
          <t>← Contents</t>
        </is>
      </c>
    </row>
    <row r="5">
      <c r="A5" s="2" t="inlineStr">
        <is>
          <t>(a) Distance in kilometres to the three important seaboard outlets for the Manchurian Railways</t>
        </is>
      </c>
    </row>
    <row r="6">
      <c r="A6" s="5" t="inlineStr">
        <is>
          <t>From</t>
        </is>
      </c>
      <c r="B6" s="5" t="inlineStr">
        <is>
          <t>To Dairen</t>
        </is>
      </c>
      <c r="C6" s="5" t="inlineStr">
        <is>
          <t>To Rashin</t>
        </is>
      </c>
      <c r="D6" s="5" t="inlineStr">
        <is>
          <t>To Vladivostok</t>
        </is>
      </c>
    </row>
    <row r="7">
      <c r="A7" t="inlineStr">
        <is>
          <t>Harbin</t>
        </is>
      </c>
      <c r="B7" s="9" t="n">
        <v>945</v>
      </c>
      <c r="C7" s="9" t="n">
        <v>738</v>
      </c>
      <c r="D7" s="9" t="n">
        <v>785</v>
      </c>
    </row>
    <row r="8">
      <c r="A8" t="inlineStr">
        <is>
          <t>Hailun</t>
        </is>
      </c>
      <c r="B8" s="6" t="n">
        <v>1173</v>
      </c>
      <c r="C8" s="9" t="n">
        <v>964</v>
      </c>
      <c r="D8" s="6" t="n">
        <v>1013</v>
      </c>
    </row>
    <row r="9">
      <c r="A9" t="inlineStr">
        <is>
          <t>Tungpei</t>
        </is>
      </c>
      <c r="B9" s="6" t="n">
        <v>1419</v>
      </c>
      <c r="C9" s="6" t="n">
        <v>1045</v>
      </c>
      <c r="D9" s="6" t="n">
        <v>1098</v>
      </c>
    </row>
    <row r="11">
      <c r="A11" s="2" t="inlineStr">
        <is>
          <t>(b) Distance in kilometres to the three important and nearest seaports of Japan, from Manchurian railway towns</t>
        </is>
      </c>
    </row>
    <row r="12">
      <c r="A12" s="5" t="inlineStr">
        <is>
          <t>Route</t>
        </is>
      </c>
      <c r="B12" s="5" t="inlineStr">
        <is>
          <t>Kilometres</t>
        </is>
      </c>
      <c r="C12" s="5" t="n"/>
      <c r="D12" s="5" t="n"/>
    </row>
    <row r="13">
      <c r="A13" t="inlineStr">
        <is>
          <t>Rashin to Tsuruga</t>
        </is>
      </c>
      <c r="B13" s="8" t="n">
        <v>906.7</v>
      </c>
    </row>
    <row r="14">
      <c r="A14" t="inlineStr">
        <is>
          <t>Rashin to Maizuru</t>
        </is>
      </c>
      <c r="B14" s="8" t="n">
        <v>874</v>
      </c>
    </row>
    <row r="15">
      <c r="A15" t="inlineStr">
        <is>
          <t>Dairen to Moji</t>
        </is>
      </c>
      <c r="B15" s="7" t="n">
        <v>1160.7</v>
      </c>
    </row>
    <row r="16">
      <c r="A16" t="inlineStr">
        <is>
          <t>Vladivostok to Tsuruga</t>
        </is>
      </c>
      <c r="B16" s="8" t="n">
        <v>925.6</v>
      </c>
    </row>
    <row r="18">
      <c r="A18" s="2" t="inlineStr">
        <is>
          <t>(c) Distance from Harbin to different ports in Japan</t>
        </is>
      </c>
    </row>
    <row r="19">
      <c r="A19" s="5" t="inlineStr">
        <is>
          <t>Route</t>
        </is>
      </c>
      <c r="B19" s="5" t="inlineStr">
        <is>
          <t>Kilometers</t>
        </is>
      </c>
      <c r="C19" s="5" t="n"/>
      <c r="D19" s="5" t="n"/>
    </row>
    <row r="20">
      <c r="A20" t="inlineStr">
        <is>
          <t>To Tsuruga, via Lafa-Harbin and Hsinking-Tumen lines</t>
        </is>
      </c>
      <c r="B20" s="7" t="n">
        <v>1644.7</v>
      </c>
    </row>
    <row r="21">
      <c r="A21" t="inlineStr">
        <is>
          <t>To Maizuru, via the same route</t>
        </is>
      </c>
      <c r="B21" s="7" t="n">
        <v>1512</v>
      </c>
    </row>
    <row r="22">
      <c r="A22" t="inlineStr">
        <is>
          <t>To Moji, via Dairen</t>
        </is>
      </c>
      <c r="B22" s="7" t="n">
        <v>2105.7</v>
      </c>
    </row>
    <row r="23">
      <c r="A23" t="inlineStr">
        <is>
          <t>To Tsuruga, via Vladivostok</t>
        </is>
      </c>
      <c r="B23" s="7" t="n">
        <v>1710.6</v>
      </c>
    </row>
    <row r="24">
      <c r="A24" t="inlineStr">
        <is>
          <t>To Moji, via Fusan, Korea</t>
        </is>
      </c>
      <c r="B24" s="7" t="n">
        <v>2009.9</v>
      </c>
    </row>
    <row r="26">
      <c r="A26" s="2" t="inlineStr">
        <is>
          <t>Transcriber's notes</t>
        </is>
      </c>
    </row>
    <row r="27">
      <c r="A27" t="inlineStr">
        <is>
          <t>Parts (b) and (c) are printed in two side-by-side blocks; merged in reading order (left block, then right block).</t>
        </is>
      </c>
    </row>
    <row r="28">
      <c r="A28" t="inlineStr">
        <is>
          <t>No totals printed.</t>
        </is>
      </c>
    </row>
  </sheetData>
  <hyperlinks>
    <hyperlink xmlns:r="http://schemas.openxmlformats.org/officeDocument/2006/relationships" ref="A3" r:id="rId1"/>
  </hyperlink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Number of Post Offices by Jurisdictions</t>
        </is>
      </c>
    </row>
    <row r="2">
      <c r="A2" t="inlineStr">
        <is>
          <t>Communications · printed pp. 615</t>
        </is>
      </c>
    </row>
    <row r="3">
      <c r="A3" t="inlineStr">
        <is>
          <t>(Sept 1940)</t>
        </is>
      </c>
    </row>
    <row r="4">
      <c r="A4" s="3" t="inlineStr">
        <is>
          <t>← Contents</t>
        </is>
      </c>
    </row>
    <row r="6">
      <c r="A6" s="5" t="inlineStr">
        <is>
          <t>Superintendent Office</t>
        </is>
      </c>
      <c r="B6" s="5" t="inlineStr">
        <is>
          <t>No. of Post-Office</t>
        </is>
      </c>
      <c r="C6" s="5" t="inlineStr">
        <is>
          <t>No. of Sub-Office</t>
        </is>
      </c>
      <c r="D6" s="5" t="inlineStr">
        <is>
          <t>Total</t>
        </is>
      </c>
    </row>
    <row r="7">
      <c r="A7" t="inlineStr">
        <is>
          <t>Hsinking</t>
        </is>
      </c>
      <c r="B7" s="9" t="n">
        <v>131</v>
      </c>
      <c r="C7" s="9" t="n">
        <v>317</v>
      </c>
      <c r="D7" s="9" t="n">
        <v>448</v>
      </c>
    </row>
    <row r="8">
      <c r="A8" t="inlineStr">
        <is>
          <t>Mukden</t>
        </is>
      </c>
      <c r="B8" s="9" t="n">
        <v>160</v>
      </c>
      <c r="C8" s="9" t="n">
        <v>574</v>
      </c>
      <c r="D8" s="9" t="n">
        <v>734</v>
      </c>
    </row>
    <row r="9">
      <c r="A9" t="inlineStr">
        <is>
          <t>Harbin</t>
        </is>
      </c>
      <c r="B9" s="9" t="n">
        <v>111</v>
      </c>
      <c r="C9" s="9" t="n">
        <v>262</v>
      </c>
      <c r="D9" s="9" t="n">
        <v>373</v>
      </c>
    </row>
    <row r="10">
      <c r="A10" t="inlineStr">
        <is>
          <t>Chinchow</t>
        </is>
      </c>
      <c r="B10" s="9" t="n">
        <v>76</v>
      </c>
      <c r="C10" s="9" t="n">
        <v>277</v>
      </c>
      <c r="D10" s="9" t="n">
        <v>353</v>
      </c>
    </row>
    <row r="11">
      <c r="A11" t="inlineStr">
        <is>
          <t>Mutankiang</t>
        </is>
      </c>
      <c r="B11" s="9" t="n">
        <v>84</v>
      </c>
      <c r="C11" s="9" t="n">
        <v>171</v>
      </c>
      <c r="D11" s="9" t="n">
        <v>355</v>
      </c>
    </row>
    <row r="12">
      <c r="A12" t="inlineStr">
        <is>
          <t>Total</t>
        </is>
      </c>
      <c r="B12" s="9" t="n">
        <v>562</v>
      </c>
      <c r="C12" s="6" t="n">
        <v>1601</v>
      </c>
      <c r="D12" s="6" t="n">
        <v>2163</v>
      </c>
    </row>
    <row r="14">
      <c r="A14" s="2" t="inlineStr">
        <is>
          <t>Transcriber's notes</t>
        </is>
      </c>
    </row>
    <row r="15">
      <c r="A15" t="inlineStr">
        <is>
          <t>Printed in two side-by-side blocks; merged in reading order.</t>
        </is>
      </c>
    </row>
    <row r="16">
      <c r="A16" t="inlineStr">
        <is>
          <t>Row Hsinking: 131 + 317 = 448 vs printed 448 — reconciles</t>
        </is>
      </c>
    </row>
    <row r="17">
      <c r="A17" t="inlineStr">
        <is>
          <t>Row Mukden: 160 + 574 = 734 vs printed 734 — reconciles</t>
        </is>
      </c>
    </row>
    <row r="18">
      <c r="A18" t="inlineStr">
        <is>
          <t>Row Harbin: 111 + 262 = 373 vs printed 373 — reconciles</t>
        </is>
      </c>
    </row>
    <row r="19">
      <c r="A19" t="inlineStr">
        <is>
          <t>Row Chinchow: 76 + 277 = 353 vs printed 353 — reconciles</t>
        </is>
      </c>
    </row>
    <row r="20">
      <c r="A20" t="inlineStr">
        <is>
          <t>Row Mutankiang: 84 + 171 = 255 vs printed 355 — does NOT reconcile (diff +100)</t>
        </is>
      </c>
    </row>
    <row r="21">
      <c r="A21" t="inlineStr">
        <is>
          <t>Row Total: 562 + 1,601 = 2,163 vs printed 2,163 — reconciles</t>
        </is>
      </c>
    </row>
    <row r="22">
      <c r="A22" t="inlineStr">
        <is>
          <t>Column 1: parts sum to 562 vs Total 562 — reconciles</t>
        </is>
      </c>
    </row>
    <row r="23">
      <c r="A23" t="inlineStr">
        <is>
          <t>Column 2: parts sum to 1,601 vs Total 1,601 — reconciles</t>
        </is>
      </c>
    </row>
    <row r="24">
      <c r="A24" t="inlineStr">
        <is>
          <t>Column 3: parts sum to 2,263 vs Total 2,163 — does NOT reconcile (diff -100)</t>
        </is>
      </c>
    </row>
  </sheetData>
  <hyperlinks>
    <hyperlink xmlns:r="http://schemas.openxmlformats.org/officeDocument/2006/relationships" ref="A4" r:id="rId1"/>
  </hyperlink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Number of Inland Mails Handled</t>
        </is>
      </c>
    </row>
    <row r="2">
      <c r="A2" t="inlineStr">
        <is>
          <t>Communications · printed pp. 616</t>
        </is>
      </c>
    </row>
    <row r="3">
      <c r="A3" t="inlineStr">
        <is>
          <t>(unit: 1,000)</t>
        </is>
      </c>
    </row>
    <row r="4">
      <c r="A4" s="3" t="inlineStr">
        <is>
          <t>← Contents</t>
        </is>
      </c>
    </row>
    <row r="6">
      <c r="A6" s="2" t="inlineStr">
        <is>
          <t>(A) Outwards</t>
        </is>
      </c>
    </row>
    <row r="7">
      <c r="A7" s="5" t="inlineStr">
        <is>
          <t>Year</t>
        </is>
      </c>
      <c r="B7" s="5" t="inlineStr">
        <is>
          <t>Ordinary mail — Letters</t>
        </is>
      </c>
      <c r="C7" s="5" t="inlineStr">
        <is>
          <t>Ordinary mail — Post cards</t>
        </is>
      </c>
      <c r="D7" s="5" t="inlineStr">
        <is>
          <t>Ordinary mail — Printed matters</t>
        </is>
      </c>
      <c r="E7" s="5" t="inlineStr">
        <is>
          <t>Ordinary mail — Total</t>
        </is>
      </c>
      <c r="F7" s="5" t="inlineStr">
        <is>
          <t>Special mail — Registered</t>
        </is>
      </c>
      <c r="G7" s="5" t="inlineStr">
        <is>
          <t>Special mail — Total incl. others</t>
        </is>
      </c>
      <c r="H7" s="5" t="inlineStr">
        <is>
          <t>Grand total</t>
        </is>
      </c>
      <c r="I7" s="5" t="inlineStr">
        <is>
          <t>Parcel post</t>
        </is>
      </c>
    </row>
    <row r="8">
      <c r="A8" s="9" t="n">
        <v>1932</v>
      </c>
      <c r="B8" t="inlineStr">
        <is>
          <t>—</t>
        </is>
      </c>
      <c r="C8" t="inlineStr">
        <is>
          <t>—</t>
        </is>
      </c>
      <c r="D8" t="inlineStr">
        <is>
          <t>—</t>
        </is>
      </c>
      <c r="E8" s="6" t="n">
        <v>11676</v>
      </c>
      <c r="F8" s="9" t="n">
        <v>629</v>
      </c>
      <c r="G8" s="9" t="n">
        <v>691</v>
      </c>
      <c r="H8" s="6" t="n">
        <v>12367</v>
      </c>
      <c r="I8" s="9" t="n">
        <v>68</v>
      </c>
    </row>
    <row r="9">
      <c r="A9" s="9" t="n">
        <v>1933</v>
      </c>
      <c r="B9" t="inlineStr">
        <is>
          <t>—</t>
        </is>
      </c>
      <c r="C9" t="inlineStr">
        <is>
          <t>—</t>
        </is>
      </c>
      <c r="D9" t="inlineStr">
        <is>
          <t>—</t>
        </is>
      </c>
      <c r="E9" s="6" t="n">
        <v>71481</v>
      </c>
      <c r="F9" s="6" t="n">
        <v>2619</v>
      </c>
      <c r="G9" s="6" t="n">
        <v>2823</v>
      </c>
      <c r="H9" s="6" t="n">
        <v>74303</v>
      </c>
      <c r="I9" s="9" t="n">
        <v>755</v>
      </c>
    </row>
    <row r="10">
      <c r="A10" s="9" t="n">
        <v>1934</v>
      </c>
      <c r="B10" t="inlineStr">
        <is>
          <t>—</t>
        </is>
      </c>
      <c r="C10" t="inlineStr">
        <is>
          <t>—</t>
        </is>
      </c>
      <c r="D10" t="inlineStr">
        <is>
          <t>—</t>
        </is>
      </c>
      <c r="E10" s="6" t="n">
        <v>97578</v>
      </c>
      <c r="F10" s="6" t="n">
        <v>2108</v>
      </c>
      <c r="G10" s="6" t="n">
        <v>2963</v>
      </c>
      <c r="H10" s="6" t="n">
        <v>100542</v>
      </c>
      <c r="I10" s="9" t="n">
        <v>775</v>
      </c>
    </row>
    <row r="11">
      <c r="A11" s="9" t="n">
        <v>1935</v>
      </c>
      <c r="B11" t="inlineStr">
        <is>
          <t>—</t>
        </is>
      </c>
      <c r="C11" t="inlineStr">
        <is>
          <t>—</t>
        </is>
      </c>
      <c r="D11" t="inlineStr">
        <is>
          <t>—</t>
        </is>
      </c>
      <c r="E11" s="6" t="n">
        <v>96860</v>
      </c>
      <c r="F11" s="6" t="n">
        <v>3053</v>
      </c>
      <c r="G11" s="6" t="n">
        <v>4097</v>
      </c>
      <c r="H11" s="6" t="n">
        <v>100956</v>
      </c>
      <c r="I11" s="9" t="n">
        <v>695</v>
      </c>
    </row>
    <row r="12">
      <c r="A12" s="9" t="n">
        <v>1936</v>
      </c>
      <c r="B12" s="6" t="n">
        <v>77291</v>
      </c>
      <c r="C12" s="6" t="n">
        <v>14933</v>
      </c>
      <c r="D12" s="6" t="n">
        <v>10412</v>
      </c>
      <c r="E12" s="6" t="n">
        <v>102636</v>
      </c>
      <c r="F12" s="6" t="n">
        <v>3323</v>
      </c>
      <c r="G12" t="inlineStr">
        <is>
          <t>4 554</t>
        </is>
      </c>
      <c r="H12" s="6" t="n">
        <v>107189</v>
      </c>
      <c r="I12" s="9" t="n">
        <v>645</v>
      </c>
    </row>
    <row r="13">
      <c r="A13" s="9" t="n">
        <v>1937</v>
      </c>
      <c r="B13" s="6" t="n">
        <v>94833</v>
      </c>
      <c r="C13" s="6" t="n">
        <v>10516</v>
      </c>
      <c r="D13" s="6" t="n">
        <v>11677</v>
      </c>
      <c r="E13" s="6" t="n">
        <v>117026</v>
      </c>
      <c r="F13" s="6" t="n">
        <v>3505</v>
      </c>
      <c r="G13" s="6" t="n">
        <v>7268</v>
      </c>
      <c r="H13" s="6" t="n">
        <v>124294</v>
      </c>
      <c r="I13" s="6" t="n">
        <v>1443</v>
      </c>
    </row>
    <row r="14">
      <c r="A14" s="9" t="n">
        <v>1938</v>
      </c>
      <c r="B14" s="6" t="n">
        <v>103046</v>
      </c>
      <c r="C14" s="6" t="n">
        <v>20702</v>
      </c>
      <c r="D14" s="6" t="n">
        <v>23242</v>
      </c>
      <c r="E14" s="6" t="n">
        <v>146990</v>
      </c>
      <c r="F14" s="6" t="n">
        <v>4155</v>
      </c>
      <c r="G14" s="6" t="n">
        <v>10910</v>
      </c>
      <c r="H14" s="6" t="n">
        <v>157900</v>
      </c>
      <c r="I14" s="6" t="n">
        <v>1079</v>
      </c>
    </row>
    <row r="15">
      <c r="A15" s="9" t="n">
        <v>1939</v>
      </c>
      <c r="B15" s="6" t="n">
        <v>111259</v>
      </c>
      <c r="C15" s="6" t="n">
        <v>30888</v>
      </c>
      <c r="D15" s="6" t="n">
        <v>34807</v>
      </c>
      <c r="E15" s="6" t="n">
        <v>176954</v>
      </c>
      <c r="F15" s="6" t="n">
        <v>4747</v>
      </c>
      <c r="G15" s="6" t="n">
        <v>11543</v>
      </c>
      <c r="H15" s="6" t="n">
        <v>188497</v>
      </c>
      <c r="I15" s="6" t="n">
        <v>1173</v>
      </c>
    </row>
    <row r="17">
      <c r="A17" s="2" t="inlineStr">
        <is>
          <t>(B) Inwards</t>
        </is>
      </c>
    </row>
    <row r="18">
      <c r="A18" s="5" t="inlineStr">
        <is>
          <t>Year</t>
        </is>
      </c>
      <c r="B18" s="5" t="inlineStr">
        <is>
          <t>Ordinary mail — Letters</t>
        </is>
      </c>
      <c r="C18" s="5" t="inlineStr">
        <is>
          <t>Ordinary mail — Post cards</t>
        </is>
      </c>
      <c r="D18" s="5" t="inlineStr">
        <is>
          <t>Ordinary mail — Printed matters</t>
        </is>
      </c>
      <c r="E18" s="5" t="inlineStr">
        <is>
          <t>Ordinary mail — Total</t>
        </is>
      </c>
      <c r="F18" s="5" t="inlineStr">
        <is>
          <t>Special mail — Registered</t>
        </is>
      </c>
      <c r="G18" s="5" t="inlineStr">
        <is>
          <t>Special mail — Total incl. others</t>
        </is>
      </c>
      <c r="H18" s="5" t="inlineStr">
        <is>
          <t>Grand total</t>
        </is>
      </c>
      <c r="I18" s="5" t="inlineStr">
        <is>
          <t>Parcel post</t>
        </is>
      </c>
    </row>
    <row r="19">
      <c r="A19" s="9" t="n">
        <v>1932</v>
      </c>
      <c r="B19" t="inlineStr">
        <is>
          <t>—</t>
        </is>
      </c>
      <c r="C19" t="inlineStr">
        <is>
          <t>—</t>
        </is>
      </c>
      <c r="D19" t="inlineStr">
        <is>
          <t>—</t>
        </is>
      </c>
      <c r="E19" s="6" t="n">
        <v>13290</v>
      </c>
      <c r="F19" s="9" t="n">
        <v>780</v>
      </c>
      <c r="G19" s="9" t="n">
        <v>846</v>
      </c>
      <c r="H19" s="6" t="n">
        <v>14136</v>
      </c>
      <c r="I19" s="9" t="n">
        <v>69</v>
      </c>
    </row>
    <row r="20">
      <c r="A20" s="9" t="n">
        <v>1933</v>
      </c>
      <c r="B20" t="inlineStr">
        <is>
          <t>—</t>
        </is>
      </c>
      <c r="C20" t="inlineStr">
        <is>
          <t>—</t>
        </is>
      </c>
      <c r="D20" t="inlineStr">
        <is>
          <t>—</t>
        </is>
      </c>
      <c r="E20" s="6" t="n">
        <v>74399</v>
      </c>
      <c r="F20" s="6" t="n">
        <v>3133</v>
      </c>
      <c r="G20" s="6" t="n">
        <v>3310</v>
      </c>
      <c r="H20" s="6" t="n">
        <v>77709</v>
      </c>
      <c r="I20" s="9" t="n">
        <v>637</v>
      </c>
    </row>
    <row r="21">
      <c r="A21" s="9" t="n">
        <v>1934</v>
      </c>
      <c r="B21" t="inlineStr">
        <is>
          <t>—</t>
        </is>
      </c>
      <c r="C21" t="inlineStr">
        <is>
          <t>—</t>
        </is>
      </c>
      <c r="D21" t="inlineStr">
        <is>
          <t>—</t>
        </is>
      </c>
      <c r="E21" s="6" t="n">
        <v>126441</v>
      </c>
      <c r="F21" s="6" t="n">
        <v>2242</v>
      </c>
      <c r="G21" s="6" t="n">
        <v>3295</v>
      </c>
      <c r="H21" s="6" t="n">
        <v>129735</v>
      </c>
      <c r="I21" s="6" t="n">
        <v>1011</v>
      </c>
    </row>
    <row r="22">
      <c r="A22" s="9" t="n">
        <v>1935</v>
      </c>
      <c r="B22" t="inlineStr">
        <is>
          <t>—</t>
        </is>
      </c>
      <c r="C22" t="inlineStr">
        <is>
          <t>—</t>
        </is>
      </c>
      <c r="D22" t="inlineStr">
        <is>
          <t>—</t>
        </is>
      </c>
      <c r="E22" s="6" t="n">
        <v>146240</v>
      </c>
      <c r="F22" s="6" t="n">
        <v>4365</v>
      </c>
      <c r="G22" s="6" t="n">
        <v>5556</v>
      </c>
      <c r="H22" s="6" t="n">
        <v>151796</v>
      </c>
      <c r="I22" s="9" t="n">
        <v>718</v>
      </c>
    </row>
    <row r="23">
      <c r="A23" s="9" t="n">
        <v>1936</v>
      </c>
      <c r="B23" s="6" t="n">
        <v>95926</v>
      </c>
      <c r="C23" s="6" t="n">
        <v>11245</v>
      </c>
      <c r="D23" s="6" t="n">
        <v>17182</v>
      </c>
      <c r="E23" s="6" t="n">
        <v>124352</v>
      </c>
      <c r="F23" s="6" t="n">
        <v>3915</v>
      </c>
      <c r="G23" s="6" t="n">
        <v>5237</v>
      </c>
      <c r="H23" s="6" t="n">
        <v>129589</v>
      </c>
      <c r="I23" s="9" t="n">
        <v>746</v>
      </c>
    </row>
    <row r="24">
      <c r="A24" s="9" t="n">
        <v>1937</v>
      </c>
      <c r="B24" s="6" t="n">
        <v>111280</v>
      </c>
      <c r="C24" s="6" t="n">
        <v>10939</v>
      </c>
      <c r="D24" s="6" t="n">
        <v>16901</v>
      </c>
      <c r="E24" s="6" t="n">
        <v>139120</v>
      </c>
      <c r="F24" s="6" t="n">
        <v>3530</v>
      </c>
      <c r="G24" s="6" t="n">
        <v>6701</v>
      </c>
      <c r="H24" s="6" t="n">
        <v>145820</v>
      </c>
      <c r="I24" s="6" t="n">
        <v>1468</v>
      </c>
    </row>
    <row r="25">
      <c r="A25" s="9" t="n">
        <v>1938</v>
      </c>
      <c r="B25" s="6" t="n">
        <v>111579</v>
      </c>
      <c r="C25" s="6" t="n">
        <v>16093</v>
      </c>
      <c r="D25" s="6" t="n">
        <v>24616</v>
      </c>
      <c r="E25" s="6" t="n">
        <v>152288</v>
      </c>
      <c r="F25" s="6" t="n">
        <v>4073</v>
      </c>
      <c r="G25" s="6" t="n">
        <v>8458</v>
      </c>
      <c r="H25" s="6" t="n">
        <v>160745</v>
      </c>
      <c r="I25" s="6" t="n">
        <v>1200</v>
      </c>
    </row>
    <row r="26">
      <c r="A26" s="9" t="n">
        <v>1939</v>
      </c>
      <c r="B26" s="6" t="n">
        <v>111879</v>
      </c>
      <c r="C26" s="6" t="n">
        <v>21247</v>
      </c>
      <c r="D26" s="6" t="n">
        <v>32330</v>
      </c>
      <c r="E26" s="6" t="n">
        <v>165456</v>
      </c>
      <c r="F26" s="6" t="n">
        <v>5319</v>
      </c>
      <c r="G26" s="6" t="n">
        <v>11703</v>
      </c>
      <c r="H26" s="6" t="n">
        <v>177159</v>
      </c>
      <c r="I26" s="6" t="n">
        <v>1297</v>
      </c>
    </row>
    <row r="28">
      <c r="A28" s="2" t="inlineStr">
        <is>
          <t>Transcriber's notes</t>
        </is>
      </c>
    </row>
    <row r="29">
      <c r="A29" t="inlineStr">
        <is>
          <t>(A) 1936: Letters+Post cards+Printed = Ordinary total: reconciles (102,636)</t>
        </is>
      </c>
    </row>
    <row r="30">
      <c r="A30" t="inlineStr">
        <is>
          <t>(A) 1937: Letters+Post cards+Printed = Ordinary total: reconciles (117,026)</t>
        </is>
      </c>
    </row>
    <row r="31">
      <c r="A31" t="inlineStr">
        <is>
          <t>(A) 1938: Letters+Post cards+Printed = Ordinary total: reconciles (146,990)</t>
        </is>
      </c>
    </row>
    <row r="32">
      <c r="A32" t="inlineStr">
        <is>
          <t>(A) 1939: Letters+Post cards+Printed = Ordinary total: reconciles (176,954)</t>
        </is>
      </c>
    </row>
    <row r="33">
      <c r="A33" t="inlineStr">
        <is>
          <t>(A) 1932: Ordinary total + Special total = 12,367 vs Grand total 12,367 — reconciles</t>
        </is>
      </c>
    </row>
    <row r="34">
      <c r="A34" t="inlineStr">
        <is>
          <t>(A) 1933: Ordinary total + Special total = 74,304 vs Grand total 74,303 — does NOT reconcile (diff -1)</t>
        </is>
      </c>
    </row>
    <row r="35">
      <c r="A35" t="inlineStr">
        <is>
          <t>(A) 1934: Ordinary total + Special total = 100,541 vs Grand total 100,542 — does NOT reconcile (diff +1)</t>
        </is>
      </c>
    </row>
    <row r="36">
      <c r="A36" t="inlineStr">
        <is>
          <t>(A) 1935: Ordinary total + Special total = 100,957 vs Grand total 100,956 — does NOT reconcile (diff -1)</t>
        </is>
      </c>
    </row>
    <row r="37">
      <c r="A37" t="inlineStr">
        <is>
          <t>(A) 1936: Ordinary total + Special total = 107,190 vs Grand total 107,189 — does NOT reconcile (diff -1)</t>
        </is>
      </c>
    </row>
    <row r="38">
      <c r="A38" t="inlineStr">
        <is>
          <t>(A) 1937: Ordinary total + Special total = 124,294 vs Grand total 124,294 — reconciles</t>
        </is>
      </c>
    </row>
    <row r="39">
      <c r="A39" t="inlineStr">
        <is>
          <t>(A) 1938: Ordinary total + Special total = 157,900 vs Grand total 157,900 — reconciles</t>
        </is>
      </c>
    </row>
    <row r="40">
      <c r="A40" t="inlineStr">
        <is>
          <t>(A) 1939: Ordinary total + Special total = 188,497 vs Grand total 188,497 — reconciles</t>
        </is>
      </c>
    </row>
    <row r="41">
      <c r="A41" t="inlineStr">
        <is>
          <t>(B) 1936: Letters+Post cards+Printed = Ordinary total: parts sum to 124,353.0 vs printed 124,352 — does NOT reconcile (diff -1.0)</t>
        </is>
      </c>
    </row>
    <row r="42">
      <c r="A42" t="inlineStr">
        <is>
          <t>(B) 1937: Letters+Post cards+Printed = Ordinary total: reconciles (139,120)</t>
        </is>
      </c>
    </row>
    <row r="43">
      <c r="A43" t="inlineStr">
        <is>
          <t>(B) 1938: Letters+Post cards+Printed = Ordinary total: reconciles (152,288)</t>
        </is>
      </c>
    </row>
    <row r="44">
      <c r="A44" t="inlineStr">
        <is>
          <t>(B) 1939: Letters+Post cards+Printed = Ordinary total: reconciles (165,456)</t>
        </is>
      </c>
    </row>
    <row r="45">
      <c r="A45" t="inlineStr">
        <is>
          <t>(B) 1932: Ordinary total + Special total = 14,136 vs Grand total 14,136 — reconciles</t>
        </is>
      </c>
    </row>
    <row r="46">
      <c r="A46" t="inlineStr">
        <is>
          <t>(B) 1933: Ordinary total + Special total = 77,709 vs Grand total 77,709 — reconciles</t>
        </is>
      </c>
    </row>
    <row r="47">
      <c r="A47" t="inlineStr">
        <is>
          <t>(B) 1934: Ordinary total + Special total = 129,736 vs Grand total 129,735 — does NOT reconcile (diff -1)</t>
        </is>
      </c>
    </row>
    <row r="48">
      <c r="A48" t="inlineStr">
        <is>
          <t>(B) 1935: Ordinary total + Special total = 151,796 vs Grand total 151,796 — reconciles</t>
        </is>
      </c>
    </row>
    <row r="49">
      <c r="A49" t="inlineStr">
        <is>
          <t>(B) 1936: Ordinary total + Special total = 129,589 vs Grand total 129,589 — reconciles</t>
        </is>
      </c>
    </row>
    <row r="50">
      <c r="A50" t="inlineStr">
        <is>
          <t>(B) 1937: Ordinary total + Special total = 145,821 vs Grand total 145,820 — does NOT reconcile (diff -1)</t>
        </is>
      </c>
    </row>
    <row r="51">
      <c r="A51" t="inlineStr">
        <is>
          <t>(B) 1938: Ordinary total + Special total = 160,746 vs Grand total 160,745 — does NOT reconcile (diff -1)</t>
        </is>
      </c>
    </row>
    <row r="52">
      <c r="A52" t="inlineStr">
        <is>
          <t>(B) 1939: Ordinary total + Special total = 177,159 vs Grand total 177,159 — reconciles</t>
        </is>
      </c>
    </row>
    <row r="53">
      <c r="A53" t="inlineStr">
        <is>
          <t>(A) 1936 'Special mail — Total incl. others' printed '4 554' with a space where the comma should be; transcribed as printed.</t>
        </is>
      </c>
    </row>
    <row r="54">
      <c r="A54" t="inlineStr">
        <is>
          <t>(B) 1936 Parcel post '746': last digit slightly malformed but read as 6.</t>
        </is>
      </c>
    </row>
    <row r="55">
      <c r="A55" t="inlineStr">
        <is>
          <t>Differences of ±1 are consistent with rounding to units of 1,000.</t>
        </is>
      </c>
    </row>
  </sheetData>
  <hyperlinks>
    <hyperlink xmlns:r="http://schemas.openxmlformats.org/officeDocument/2006/relationships" ref="A4" r:id="rId1"/>
  </hyperlink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Foreign Mail Handled</t>
        </is>
      </c>
    </row>
    <row r="2">
      <c r="A2" t="inlineStr">
        <is>
          <t>Communications · printed pp. 618</t>
        </is>
      </c>
    </row>
    <row r="3">
      <c r="A3" t="inlineStr">
        <is>
          <t>(Unit: 1,000)</t>
        </is>
      </c>
    </row>
    <row r="4">
      <c r="A4" s="3" t="inlineStr">
        <is>
          <t>← Contents</t>
        </is>
      </c>
    </row>
    <row r="6">
      <c r="A6" s="2" t="inlineStr">
        <is>
          <t>(A) Outwards</t>
        </is>
      </c>
    </row>
    <row r="7">
      <c r="A7" s="5" t="inlineStr">
        <is>
          <t>Year</t>
        </is>
      </c>
      <c r="B7" s="5" t="inlineStr">
        <is>
          <t>Ordinary mail</t>
        </is>
      </c>
      <c r="C7" s="5" t="inlineStr">
        <is>
          <t>Special mail — Registered</t>
        </is>
      </c>
      <c r="D7" s="5" t="inlineStr">
        <is>
          <t>Special mail — Total incl. others</t>
        </is>
      </c>
      <c r="E7" s="5" t="inlineStr">
        <is>
          <t>Grand total</t>
        </is>
      </c>
      <c r="F7" s="5" t="inlineStr">
        <is>
          <t>Parcel post</t>
        </is>
      </c>
    </row>
    <row r="8">
      <c r="A8" s="9" t="n">
        <v>1934</v>
      </c>
      <c r="B8" s="6" t="n">
        <v>18252</v>
      </c>
      <c r="C8" s="9" t="n">
        <v>754</v>
      </c>
      <c r="D8" s="9" t="n">
        <v>761</v>
      </c>
      <c r="E8" s="6" t="n">
        <v>19014</v>
      </c>
      <c r="F8" s="9" t="n">
        <v>85</v>
      </c>
    </row>
    <row r="9">
      <c r="A9" s="9" t="n">
        <v>1935</v>
      </c>
      <c r="B9" s="6" t="n">
        <v>31730</v>
      </c>
      <c r="C9" s="6" t="n">
        <v>1215</v>
      </c>
      <c r="D9" s="6" t="n">
        <v>1235</v>
      </c>
      <c r="E9" s="6" t="n">
        <v>32965</v>
      </c>
      <c r="F9" s="9" t="n">
        <v>113</v>
      </c>
    </row>
    <row r="10">
      <c r="A10" s="9" t="n">
        <v>1936</v>
      </c>
      <c r="B10" s="6" t="n">
        <v>40310</v>
      </c>
      <c r="C10" s="6" t="n">
        <v>1391</v>
      </c>
      <c r="D10" s="6" t="n">
        <v>1422</v>
      </c>
      <c r="E10" s="6" t="n">
        <v>41732</v>
      </c>
      <c r="F10" s="9" t="n">
        <v>150</v>
      </c>
    </row>
    <row r="11">
      <c r="A11" s="9" t="n">
        <v>1937</v>
      </c>
      <c r="B11" s="6" t="n">
        <v>40537</v>
      </c>
      <c r="C11" s="6" t="n">
        <v>1114</v>
      </c>
      <c r="D11" s="6" t="n">
        <v>1709</v>
      </c>
      <c r="E11" s="6" t="n">
        <v>42245</v>
      </c>
      <c r="F11" s="9" t="n">
        <v>318</v>
      </c>
    </row>
    <row r="12">
      <c r="A12" s="9" t="n">
        <v>1938</v>
      </c>
      <c r="B12" s="6" t="n">
        <v>60753</v>
      </c>
      <c r="C12" s="6" t="n">
        <v>2335</v>
      </c>
      <c r="D12" s="6" t="n">
        <v>3053</v>
      </c>
      <c r="E12" s="6" t="n">
        <v>63806</v>
      </c>
      <c r="F12" s="9" t="n">
        <v>425</v>
      </c>
    </row>
    <row r="13">
      <c r="A13" s="9" t="n">
        <v>1939</v>
      </c>
      <c r="B13" s="6" t="n">
        <v>80970</v>
      </c>
      <c r="C13" s="6" t="n">
        <v>2899</v>
      </c>
      <c r="D13" s="6" t="n">
        <v>3914</v>
      </c>
      <c r="E13" s="6" t="n">
        <v>84884</v>
      </c>
      <c r="F13" s="9" t="n">
        <v>536</v>
      </c>
    </row>
    <row r="15">
      <c r="A15" s="2" t="inlineStr">
        <is>
          <t>(B) Inwards</t>
        </is>
      </c>
    </row>
    <row r="16">
      <c r="A16" s="5" t="inlineStr">
        <is>
          <t>Year</t>
        </is>
      </c>
      <c r="B16" s="5" t="inlineStr">
        <is>
          <t>Ordinary mail</t>
        </is>
      </c>
      <c r="C16" s="5" t="inlineStr">
        <is>
          <t>Special mail — Registered</t>
        </is>
      </c>
      <c r="D16" s="5" t="inlineStr">
        <is>
          <t>Special mail — Total incl. others</t>
        </is>
      </c>
      <c r="E16" s="5" t="inlineStr">
        <is>
          <t>Grand total</t>
        </is>
      </c>
      <c r="F16" s="5" t="inlineStr">
        <is>
          <t>Parcel post</t>
        </is>
      </c>
    </row>
    <row r="17">
      <c r="A17" s="9" t="n">
        <v>1934</v>
      </c>
      <c r="B17" s="6" t="n">
        <v>19430</v>
      </c>
      <c r="C17" s="9" t="n">
        <v>704</v>
      </c>
      <c r="D17" s="9" t="n">
        <v>720</v>
      </c>
      <c r="E17" s="6" t="n">
        <v>20150</v>
      </c>
      <c r="F17" s="9" t="n">
        <v>324</v>
      </c>
    </row>
    <row r="18">
      <c r="A18" s="9" t="n">
        <v>1935</v>
      </c>
      <c r="B18" s="6" t="n">
        <v>37505</v>
      </c>
      <c r="C18" s="6" t="n">
        <v>1125</v>
      </c>
      <c r="D18" s="6" t="n">
        <v>1144</v>
      </c>
      <c r="E18" s="6" t="n">
        <v>38649</v>
      </c>
      <c r="F18" s="9" t="n">
        <v>446</v>
      </c>
    </row>
    <row r="19">
      <c r="A19" s="9" t="n">
        <v>1936</v>
      </c>
      <c r="B19" s="6" t="n">
        <v>43995</v>
      </c>
      <c r="C19" s="6" t="n">
        <v>1113</v>
      </c>
      <c r="D19" s="6" t="n">
        <v>1149</v>
      </c>
      <c r="E19" s="6" t="n">
        <v>45144</v>
      </c>
      <c r="F19" s="9" t="n">
        <v>636</v>
      </c>
    </row>
    <row r="20">
      <c r="A20" s="9" t="n">
        <v>1937</v>
      </c>
      <c r="B20" s="6" t="n">
        <v>43527</v>
      </c>
      <c r="C20" s="6" t="n">
        <v>1176</v>
      </c>
      <c r="D20" s="6" t="n">
        <v>1372</v>
      </c>
      <c r="E20" s="6" t="n">
        <v>44899</v>
      </c>
      <c r="F20" s="9" t="n">
        <v>842</v>
      </c>
    </row>
    <row r="21">
      <c r="A21" s="9" t="n">
        <v>1938</v>
      </c>
      <c r="B21" s="6" t="n">
        <v>69883</v>
      </c>
      <c r="C21" s="6" t="n">
        <v>1566</v>
      </c>
      <c r="D21" s="6" t="n">
        <v>2055</v>
      </c>
      <c r="E21" s="6" t="n">
        <v>71938</v>
      </c>
      <c r="F21" s="6" t="n">
        <v>1586</v>
      </c>
    </row>
    <row r="22">
      <c r="A22" s="9" t="n">
        <v>1939</v>
      </c>
      <c r="B22" s="6" t="n">
        <v>96240</v>
      </c>
      <c r="C22" s="6" t="n">
        <v>1816</v>
      </c>
      <c r="D22" s="6" t="n">
        <v>2212</v>
      </c>
      <c r="E22" s="6" t="n">
        <v>98451</v>
      </c>
      <c r="F22" s="6" t="n">
        <v>2211</v>
      </c>
    </row>
    <row r="24">
      <c r="A24" s="2" t="inlineStr">
        <is>
          <t>Transcriber's notes</t>
        </is>
      </c>
    </row>
    <row r="25">
      <c r="A25" t="inlineStr">
        <is>
          <t>(A) 1934: Ordinary + Special total = Grand total: parts sum to 19,013.0 vs printed 19,014 — does NOT reconcile (diff +1.0)</t>
        </is>
      </c>
    </row>
    <row r="26">
      <c r="A26" t="inlineStr">
        <is>
          <t>(A) 1935: Ordinary + Special total = Grand total: reconciles (32,965)</t>
        </is>
      </c>
    </row>
    <row r="27">
      <c r="A27" t="inlineStr">
        <is>
          <t>(A) 1936: Ordinary + Special total = Grand total: reconciles (41,732)</t>
        </is>
      </c>
    </row>
    <row r="28">
      <c r="A28" t="inlineStr">
        <is>
          <t>(A) 1937: Ordinary + Special total = Grand total: parts sum to 42,246.0 vs printed 42,245 — does NOT reconcile (diff -1.0)</t>
        </is>
      </c>
    </row>
    <row r="29">
      <c r="A29" t="inlineStr">
        <is>
          <t>(A) 1938: Ordinary + Special total = Grand total: reconciles (63,806)</t>
        </is>
      </c>
    </row>
    <row r="30">
      <c r="A30" t="inlineStr">
        <is>
          <t>(A) 1939: Ordinary + Special total = Grand total: reconciles (84,884)</t>
        </is>
      </c>
    </row>
    <row r="31">
      <c r="A31" t="inlineStr">
        <is>
          <t>(B) 1934: Ordinary + Special total = Grand total: reconciles (20,150)</t>
        </is>
      </c>
    </row>
    <row r="32">
      <c r="A32" t="inlineStr">
        <is>
          <t>(B) 1935: Ordinary + Special total = Grand total: reconciles (38,649)</t>
        </is>
      </c>
    </row>
    <row r="33">
      <c r="A33" t="inlineStr">
        <is>
          <t>(B) 1936: Ordinary + Special total = Grand total: reconciles (45,144)</t>
        </is>
      </c>
    </row>
    <row r="34">
      <c r="A34" t="inlineStr">
        <is>
          <t>(B) 1937: Ordinary + Special total = Grand total: reconciles (44,899)</t>
        </is>
      </c>
    </row>
    <row r="35">
      <c r="A35" t="inlineStr">
        <is>
          <t>(B) 1938: Ordinary + Special total = Grand total: reconciles (71,938)</t>
        </is>
      </c>
    </row>
    <row r="36">
      <c r="A36" t="inlineStr">
        <is>
          <t>(B) 1939: Ordinary + Special total = Grand total: parts sum to 98,452.0 vs printed 98,451 — does NOT reconcile (diff -1.0)</t>
        </is>
      </c>
    </row>
    <row r="37">
      <c r="A37" t="inlineStr">
        <is>
          <t>Differences of ±1 are consistent with rounding to units of 1,000.</t>
        </is>
      </c>
    </row>
  </sheetData>
  <hyperlinks>
    <hyperlink xmlns:r="http://schemas.openxmlformats.org/officeDocument/2006/relationships" ref="A4" r:id="rId1"/>
  </hyperlink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Air Mails Handled</t>
        </is>
      </c>
    </row>
    <row r="2">
      <c r="A2" t="inlineStr">
        <is>
          <t>Communications · printed pp. 618, 619</t>
        </is>
      </c>
    </row>
    <row r="3">
      <c r="A3" t="inlineStr">
        <is>
          <t>(Unit: 1,000)</t>
        </is>
      </c>
    </row>
    <row r="4">
      <c r="A4" s="3" t="inlineStr">
        <is>
          <t>← Contents</t>
        </is>
      </c>
    </row>
    <row r="6">
      <c r="A6" s="2" t="inlineStr">
        <is>
          <t>(A) Outwards</t>
        </is>
      </c>
    </row>
    <row r="7">
      <c r="A7" s="5" t="inlineStr">
        <is>
          <t>Year</t>
        </is>
      </c>
      <c r="B7" s="5" t="inlineStr">
        <is>
          <t>Ordinary mail — Letters</t>
        </is>
      </c>
      <c r="C7" s="5" t="inlineStr">
        <is>
          <t>Ordinary mail — Post cards</t>
        </is>
      </c>
      <c r="D7" s="5" t="inlineStr">
        <is>
          <t>Ordinary mail — Printed matters</t>
        </is>
      </c>
      <c r="E7" s="5" t="inlineStr">
        <is>
          <t>Ordinary mail — Total</t>
        </is>
      </c>
      <c r="F7" s="5" t="inlineStr">
        <is>
          <t>Special mail — Registered</t>
        </is>
      </c>
      <c r="G7" s="5" t="inlineStr">
        <is>
          <t>Special mail — Total incl. others</t>
        </is>
      </c>
      <c r="H7" s="5" t="inlineStr">
        <is>
          <t>Grand total</t>
        </is>
      </c>
    </row>
    <row r="8">
      <c r="A8" s="9" t="n">
        <v>1934</v>
      </c>
      <c r="B8" t="inlineStr">
        <is>
          <t>—</t>
        </is>
      </c>
      <c r="C8" t="inlineStr">
        <is>
          <t>—</t>
        </is>
      </c>
      <c r="D8" t="inlineStr">
        <is>
          <t>—</t>
        </is>
      </c>
      <c r="E8" s="9" t="n">
        <v>481</v>
      </c>
      <c r="F8" s="8" t="n">
        <v>58.3</v>
      </c>
      <c r="G8" s="8" t="n">
        <v>63.3</v>
      </c>
      <c r="H8" s="9" t="n">
        <v>545</v>
      </c>
    </row>
    <row r="9">
      <c r="A9" s="9" t="n">
        <v>1935</v>
      </c>
      <c r="B9" t="inlineStr">
        <is>
          <t>—</t>
        </is>
      </c>
      <c r="C9" t="inlineStr">
        <is>
          <t>—</t>
        </is>
      </c>
      <c r="D9" t="inlineStr">
        <is>
          <t>—</t>
        </is>
      </c>
      <c r="E9" s="9" t="n">
        <v>562</v>
      </c>
      <c r="F9" s="8" t="n">
        <v>67</v>
      </c>
      <c r="G9" s="8" t="n">
        <v>73.3</v>
      </c>
      <c r="H9" s="9" t="n">
        <v>636</v>
      </c>
    </row>
    <row r="10">
      <c r="A10" s="9" t="n">
        <v>1936</v>
      </c>
      <c r="B10" s="9" t="n">
        <v>587</v>
      </c>
      <c r="C10" s="8" t="n">
        <v>11.1</v>
      </c>
      <c r="D10" s="8" t="n">
        <v>7.9</v>
      </c>
      <c r="E10" s="9" t="n">
        <v>606</v>
      </c>
      <c r="F10" s="8" t="n">
        <v>77.59999999999999</v>
      </c>
      <c r="G10" s="8" t="n">
        <v>83.40000000000001</v>
      </c>
      <c r="H10" s="9" t="n">
        <v>689</v>
      </c>
    </row>
    <row r="11">
      <c r="A11" s="9" t="n">
        <v>1937</v>
      </c>
      <c r="B11" s="6" t="n">
        <v>1134</v>
      </c>
      <c r="C11" s="8" t="n">
        <v>40</v>
      </c>
      <c r="D11" s="8" t="n">
        <v>1.9</v>
      </c>
      <c r="E11" s="6" t="n">
        <v>1176</v>
      </c>
      <c r="F11" s="7" t="n">
        <v>1660</v>
      </c>
      <c r="G11" s="7" t="n">
        <v>1944</v>
      </c>
      <c r="H11" s="6" t="n">
        <v>1371</v>
      </c>
    </row>
    <row r="12">
      <c r="A12" s="9" t="n">
        <v>1938</v>
      </c>
      <c r="B12" s="6" t="n">
        <v>1801</v>
      </c>
      <c r="C12" s="8" t="n">
        <v>38.5</v>
      </c>
      <c r="D12" s="8" t="n">
        <v>28.3</v>
      </c>
      <c r="E12" s="6" t="n">
        <v>1868</v>
      </c>
      <c r="F12" s="8" t="n">
        <v>246.3</v>
      </c>
      <c r="G12" s="8" t="n">
        <v>290.6</v>
      </c>
      <c r="H12" s="6" t="n">
        <v>2159</v>
      </c>
    </row>
    <row r="13">
      <c r="A13" s="9" t="n">
        <v>1939</v>
      </c>
      <c r="B13" s="6" t="n">
        <v>2633</v>
      </c>
      <c r="C13" s="8" t="n">
        <v>58.8</v>
      </c>
      <c r="D13" s="8" t="n">
        <v>47.6</v>
      </c>
      <c r="E13" s="6" t="n">
        <v>2738</v>
      </c>
      <c r="F13" s="8" t="n">
        <v>309.8</v>
      </c>
      <c r="G13" s="8" t="n">
        <v>349.9</v>
      </c>
      <c r="H13" s="6" t="n">
        <v>3087</v>
      </c>
    </row>
    <row r="15">
      <c r="A15" s="2" t="inlineStr">
        <is>
          <t>(B) Inwards</t>
        </is>
      </c>
    </row>
    <row r="16">
      <c r="A16" s="5" t="inlineStr">
        <is>
          <t>Year</t>
        </is>
      </c>
      <c r="B16" s="5" t="inlineStr">
        <is>
          <t>Ordinary mail — Letters</t>
        </is>
      </c>
      <c r="C16" s="5" t="inlineStr">
        <is>
          <t>Ordinary mail — Post cards</t>
        </is>
      </c>
      <c r="D16" s="5" t="inlineStr">
        <is>
          <t>Ordinary mail — Printed matters</t>
        </is>
      </c>
      <c r="E16" s="5" t="inlineStr">
        <is>
          <t>Ordinary mail — Total</t>
        </is>
      </c>
      <c r="F16" s="5" t="inlineStr">
        <is>
          <t>Special mail — Registered</t>
        </is>
      </c>
      <c r="G16" s="5" t="inlineStr">
        <is>
          <t>Special mail — Total incl. others</t>
        </is>
      </c>
      <c r="H16" s="5" t="inlineStr">
        <is>
          <t>Grand total</t>
        </is>
      </c>
    </row>
    <row r="17">
      <c r="A17" s="9" t="n">
        <v>1934</v>
      </c>
      <c r="B17" t="inlineStr">
        <is>
          <t>—</t>
        </is>
      </c>
      <c r="C17" t="inlineStr">
        <is>
          <t>—</t>
        </is>
      </c>
      <c r="D17" t="inlineStr">
        <is>
          <t>—</t>
        </is>
      </c>
      <c r="E17" s="9" t="n">
        <v>708</v>
      </c>
      <c r="F17" s="8" t="n">
        <v>42.2</v>
      </c>
      <c r="G17" s="8" t="n">
        <v>49.7</v>
      </c>
      <c r="H17" s="9" t="n">
        <v>757</v>
      </c>
    </row>
    <row r="18">
      <c r="A18" s="9" t="n">
        <v>1935</v>
      </c>
      <c r="B18" t="inlineStr">
        <is>
          <t>—</t>
        </is>
      </c>
      <c r="C18" t="inlineStr">
        <is>
          <t>—</t>
        </is>
      </c>
      <c r="D18" t="inlineStr">
        <is>
          <t>—</t>
        </is>
      </c>
      <c r="E18" s="9" t="n">
        <v>784</v>
      </c>
      <c r="F18" s="8" t="n">
        <v>49.6</v>
      </c>
      <c r="G18" s="8" t="n">
        <v>59.2</v>
      </c>
      <c r="H18" s="9" t="n">
        <v>844</v>
      </c>
    </row>
    <row r="19">
      <c r="A19" s="9" t="n">
        <v>1936</v>
      </c>
      <c r="B19" s="9" t="n">
        <v>845</v>
      </c>
      <c r="C19" s="8" t="n">
        <v>25</v>
      </c>
      <c r="D19" s="8" t="n">
        <v>20.2</v>
      </c>
      <c r="E19" s="9" t="n">
        <v>890</v>
      </c>
      <c r="F19" s="8" t="n">
        <v>62.7</v>
      </c>
      <c r="G19" s="8" t="n">
        <v>76</v>
      </c>
      <c r="H19" s="9" t="n">
        <v>966</v>
      </c>
    </row>
    <row r="20">
      <c r="A20" s="9" t="n">
        <v>1937</v>
      </c>
      <c r="B20" s="6" t="n">
        <v>1114</v>
      </c>
      <c r="C20" s="8" t="n">
        <v>21.1</v>
      </c>
      <c r="D20" s="8" t="n">
        <v>23.1</v>
      </c>
      <c r="E20" s="6" t="n">
        <v>1158</v>
      </c>
      <c r="F20" s="8" t="n">
        <v>234</v>
      </c>
      <c r="G20" s="8" t="n">
        <v>252.5</v>
      </c>
      <c r="H20" s="6" t="n">
        <v>1410</v>
      </c>
    </row>
    <row r="21">
      <c r="A21" s="9" t="n">
        <v>1938</v>
      </c>
      <c r="B21" s="6" t="n">
        <v>1759</v>
      </c>
      <c r="C21" s="8" t="n">
        <v>31.5</v>
      </c>
      <c r="D21" s="8" t="n">
        <v>34.1</v>
      </c>
      <c r="E21" s="6" t="n">
        <v>1825</v>
      </c>
      <c r="F21" s="8" t="n">
        <v>247.6</v>
      </c>
      <c r="G21" s="8" t="n">
        <v>282.5</v>
      </c>
      <c r="H21" s="6" t="n">
        <v>2107</v>
      </c>
    </row>
    <row r="22">
      <c r="A22" s="9" t="n">
        <v>1939</v>
      </c>
      <c r="B22" s="6" t="n">
        <v>2571</v>
      </c>
      <c r="C22" s="8" t="n">
        <v>75.7</v>
      </c>
      <c r="D22" s="8" t="n">
        <v>44</v>
      </c>
      <c r="E22" s="6" t="n">
        <v>2691</v>
      </c>
      <c r="F22" s="8" t="n">
        <v>310.1</v>
      </c>
      <c r="G22" s="8" t="n">
        <v>315.6</v>
      </c>
      <c r="H22" s="6" t="n">
        <v>3007</v>
      </c>
    </row>
    <row r="24">
      <c r="A24" s="2" t="inlineStr">
        <is>
          <t>Footnotes</t>
        </is>
      </c>
    </row>
    <row r="25">
      <c r="A25" t="inlineStr">
        <is>
          <t>Note: Figures from 1937 are inclusive of special delivery.</t>
        </is>
      </c>
    </row>
    <row r="27">
      <c r="A27" s="2" t="inlineStr">
        <is>
          <t>Transcriber's notes</t>
        </is>
      </c>
    </row>
    <row r="28">
      <c r="A28" t="inlineStr">
        <is>
          <t>(A) 1936: Letters+Post cards+Printed = Ordinary total: reconciles (606)</t>
        </is>
      </c>
    </row>
    <row r="29">
      <c r="A29" t="inlineStr">
        <is>
          <t>(A) 1937: Letters+Post cards+Printed = Ordinary total: parts sum to 1,175.9 vs printed 1,176 — does NOT reconcile (diff +0.1)</t>
        </is>
      </c>
    </row>
    <row r="30">
      <c r="A30" t="inlineStr">
        <is>
          <t>(A) 1938: Letters+Post cards+Printed = Ordinary total: parts sum to 1,867.8 vs printed 1,868 — does NOT reconcile (diff +0.2)</t>
        </is>
      </c>
    </row>
    <row r="31">
      <c r="A31" t="inlineStr">
        <is>
          <t>(A) 1939: Letters+Post cards+Printed = Ordinary total: parts sum to 2,739.4 vs printed 2,738 — does NOT reconcile (diff -1.4)</t>
        </is>
      </c>
    </row>
    <row r="32">
      <c r="A32" t="inlineStr">
        <is>
          <t>(A) 1934: Ordinary total + Special total = Grand total: parts sum to 544.3 vs printed 545 — does NOT reconcile (diff +0.7)</t>
        </is>
      </c>
    </row>
    <row r="33">
      <c r="A33" t="inlineStr">
        <is>
          <t>(A) 1935: Ordinary total + Special total = Grand total: parts sum to 635.3 vs printed 636 — does NOT reconcile (diff +0.7)</t>
        </is>
      </c>
    </row>
    <row r="34">
      <c r="A34" t="inlineStr">
        <is>
          <t>(A) 1936: Ordinary total + Special total = Grand total: parts sum to 689.4 vs printed 689 — does NOT reconcile (diff -0.4)</t>
        </is>
      </c>
    </row>
    <row r="35">
      <c r="A35" t="inlineStr">
        <is>
          <t>(A) 1937: Ordinary total + Special total = Grand total: parts sum to 3,120.0 vs printed 1,371 — does NOT reconcile (diff -1,749.0)</t>
        </is>
      </c>
    </row>
    <row r="36">
      <c r="A36" t="inlineStr">
        <is>
          <t>(A) 1938: Ordinary total + Special total = Grand total: parts sum to 2,158.6 vs printed 2,159 — does NOT reconcile (diff +0.4)</t>
        </is>
      </c>
    </row>
    <row r="37">
      <c r="A37" t="inlineStr">
        <is>
          <t>(A) 1939: Ordinary total + Special total = Grand total: parts sum to 3,087.9 vs printed 3,087 — does NOT reconcile (diff -0.9)</t>
        </is>
      </c>
    </row>
    <row r="38">
      <c r="A38" t="inlineStr">
        <is>
          <t>(B) 1936: Letters+Post cards+Printed = Ordinary total: parts sum to 890.2 vs printed 890 — does NOT reconcile (diff -0.2)</t>
        </is>
      </c>
    </row>
    <row r="39">
      <c r="A39" t="inlineStr">
        <is>
          <t>(B) 1937: Letters+Post cards+Printed = Ordinary total: parts sum to 1,158.2 vs printed 1,158 — does NOT reconcile (diff -0.2)</t>
        </is>
      </c>
    </row>
    <row r="40">
      <c r="A40" t="inlineStr">
        <is>
          <t>(B) 1938: Letters+Post cards+Printed = Ordinary total: parts sum to 1,824.6 vs printed 1,825 — does NOT reconcile (diff +0.4)</t>
        </is>
      </c>
    </row>
    <row r="41">
      <c r="A41" t="inlineStr">
        <is>
          <t>(B) 1939: Letters+Post cards+Printed = Ordinary total: parts sum to 2,690.7 vs printed 2,691 — does NOT reconcile (diff +0.3)</t>
        </is>
      </c>
    </row>
    <row r="42">
      <c r="A42" t="inlineStr">
        <is>
          <t>(B) 1934: Ordinary total + Special total = Grand total: parts sum to 757.7 vs printed 757 — does NOT reconcile (diff -0.7)</t>
        </is>
      </c>
    </row>
    <row r="43">
      <c r="A43" t="inlineStr">
        <is>
          <t>(B) 1935: Ordinary total + Special total = Grand total: parts sum to 843.2 vs printed 844 — does NOT reconcile (diff +0.8)</t>
        </is>
      </c>
    </row>
    <row r="44">
      <c r="A44" t="inlineStr">
        <is>
          <t>(B) 1936: Ordinary total + Special total = Grand total: reconciles (966)</t>
        </is>
      </c>
    </row>
    <row r="45">
      <c r="A45" t="inlineStr">
        <is>
          <t>(B) 1937: Ordinary total + Special total = Grand total: parts sum to 1,410.5 vs printed 1,410 — does NOT reconcile (diff -0.5)</t>
        </is>
      </c>
    </row>
    <row r="46">
      <c r="A46" t="inlineStr">
        <is>
          <t>(B) 1938: Ordinary total + Special total = Grand total: parts sum to 2,107.5 vs printed 2,107 — does NOT reconcile (diff -0.5)</t>
        </is>
      </c>
    </row>
    <row r="47">
      <c r="A47" t="inlineStr">
        <is>
          <t>(B) 1939: Ordinary total + Special total = Grand total: parts sum to 3,006.6 vs printed 3,007 — does NOT reconcile (diff +0.4)</t>
        </is>
      </c>
    </row>
    <row r="48">
      <c r="A48" t="inlineStr">
        <is>
          <t>Small differences (&lt;1) arise from rounding of units of 1,000.</t>
        </is>
      </c>
    </row>
    <row r="49">
      <c r="A49" t="inlineStr">
        <is>
          <t>(A) 1937 Special mail figures 1,660.0 / 1,944.0 are printed so (clearly legible) but are inconsistent with the Grand total 1,371; transcribed as printed.</t>
        </is>
      </c>
    </row>
    <row r="50">
      <c r="A50" t="inlineStr">
        <is>
          <t>(B) 1937 Printed matters '23.1': the 1 is faint but legible.</t>
        </is>
      </c>
    </row>
    <row r="51">
      <c r="A51" t="inlineStr">
        <is>
          <t>(A) printed on p. 618, (B) on p. 619; the note is printed under (B).</t>
        </is>
      </c>
    </row>
  </sheetData>
  <hyperlinks>
    <hyperlink xmlns:r="http://schemas.openxmlformats.org/officeDocument/2006/relationships" ref="A4" r:id="rId1"/>
  </hyperlink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General Statistics on Telegraph and Telephone</t>
        </is>
      </c>
    </row>
    <row r="2">
      <c r="A2" t="inlineStr">
        <is>
          <t>Communications · printed pp. 623</t>
        </is>
      </c>
    </row>
    <row r="3">
      <c r="A3" s="3" t="inlineStr">
        <is>
          <t>← Contents</t>
        </is>
      </c>
    </row>
    <row r="5">
      <c r="A5" s="5" t="inlineStr">
        <is>
          <t>Year</t>
        </is>
      </c>
      <c r="B5" s="5" t="inlineStr">
        <is>
          <t>Telegraph (Kms.) — Lines</t>
        </is>
      </c>
      <c r="C5" s="5" t="inlineStr">
        <is>
          <t>Telegraph (Kms.) — Extension lines</t>
        </is>
      </c>
      <c r="D5" s="5" t="inlineStr">
        <is>
          <t>Equipment — Telegraph</t>
        </is>
      </c>
      <c r="E5" s="5" t="inlineStr">
        <is>
          <t>Equipment — Wireless</t>
        </is>
      </c>
      <c r="F5" s="5" t="inlineStr">
        <is>
          <t>Extension length of telephone line (Kms.)</t>
        </is>
      </c>
      <c r="G5" s="5" t="inlineStr">
        <is>
          <t>No. of telephone messages</t>
        </is>
      </c>
      <c r="H5" s="5" t="inlineStr">
        <is>
          <t>No. of telephone subscribers</t>
        </is>
      </c>
    </row>
    <row r="6">
      <c r="A6" s="9" t="n">
        <v>1933</v>
      </c>
      <c r="B6" s="6" t="n">
        <v>12370</v>
      </c>
      <c r="C6" s="6" t="n">
        <v>34068</v>
      </c>
      <c r="D6" s="9" t="n">
        <v>544</v>
      </c>
      <c r="E6" t="inlineStr">
        <is>
          <t>—</t>
        </is>
      </c>
      <c r="F6" t="inlineStr">
        <is>
          <t>—</t>
        </is>
      </c>
      <c r="G6" s="6" t="n">
        <v>2004194</v>
      </c>
      <c r="H6" s="6" t="n">
        <v>32898</v>
      </c>
    </row>
    <row r="7">
      <c r="A7" s="9" t="n">
        <v>1934</v>
      </c>
      <c r="B7" s="6" t="n">
        <v>20471</v>
      </c>
      <c r="C7" s="6" t="n">
        <v>42594</v>
      </c>
      <c r="D7" s="9" t="n">
        <v>634</v>
      </c>
      <c r="E7" s="9" t="n">
        <v>140</v>
      </c>
      <c r="F7" s="6" t="n">
        <v>24070</v>
      </c>
      <c r="G7" s="6" t="n">
        <v>2074307</v>
      </c>
      <c r="H7" s="6" t="n">
        <v>41598</v>
      </c>
    </row>
    <row r="8">
      <c r="A8" s="9" t="n">
        <v>1935</v>
      </c>
      <c r="B8" s="6" t="n">
        <v>21911</v>
      </c>
      <c r="C8" s="6" t="n">
        <v>45886</v>
      </c>
      <c r="D8" s="9" t="n">
        <v>638</v>
      </c>
      <c r="E8" s="9" t="n">
        <v>159</v>
      </c>
      <c r="F8" s="6" t="n">
        <v>32468</v>
      </c>
      <c r="G8" s="6" t="n">
        <v>2695999</v>
      </c>
      <c r="H8" s="6" t="n">
        <v>54113</v>
      </c>
    </row>
    <row r="9">
      <c r="A9" s="9" t="n">
        <v>1936</v>
      </c>
      <c r="B9" s="6" t="n">
        <v>21080</v>
      </c>
      <c r="C9" s="6" t="n">
        <v>46670</v>
      </c>
      <c r="D9" s="9" t="n">
        <v>778</v>
      </c>
      <c r="E9" s="9" t="n">
        <v>182</v>
      </c>
      <c r="F9" s="6" t="n">
        <v>102919</v>
      </c>
      <c r="G9" s="6" t="n">
        <v>2958268</v>
      </c>
      <c r="H9" s="6" t="n">
        <v>63373</v>
      </c>
    </row>
    <row r="10">
      <c r="A10" s="9" t="n">
        <v>1937</v>
      </c>
      <c r="B10" s="6" t="n">
        <v>26635</v>
      </c>
      <c r="C10" s="6" t="n">
        <v>55011</v>
      </c>
      <c r="D10" s="9" t="n">
        <v>921</v>
      </c>
      <c r="E10" s="9" t="n">
        <v>228</v>
      </c>
      <c r="F10" s="6" t="n">
        <v>128709</v>
      </c>
      <c r="G10" s="6" t="n">
        <v>3669030</v>
      </c>
      <c r="H10" s="6" t="n">
        <v>73939</v>
      </c>
    </row>
    <row r="11">
      <c r="A11" s="9" t="n">
        <v>1938</v>
      </c>
      <c r="B11" s="6" t="n">
        <v>26635</v>
      </c>
      <c r="C11" s="6" t="n">
        <v>51982</v>
      </c>
      <c r="D11" s="6" t="n">
        <v>1161</v>
      </c>
      <c r="E11" s="9" t="n">
        <v>304</v>
      </c>
      <c r="F11" s="6" t="n">
        <v>147006</v>
      </c>
      <c r="G11" s="6" t="n">
        <v>4556621</v>
      </c>
      <c r="H11" s="6" t="n">
        <v>82630</v>
      </c>
    </row>
    <row r="12">
      <c r="A12" s="9" t="n">
        <v>1939</v>
      </c>
      <c r="B12" s="6" t="n">
        <v>38402</v>
      </c>
      <c r="C12" s="6" t="n">
        <v>50930</v>
      </c>
      <c r="D12" s="6" t="n">
        <v>1183</v>
      </c>
      <c r="E12" t="inlineStr">
        <is>
          <t>—</t>
        </is>
      </c>
      <c r="F12" s="6" t="n">
        <v>152296</v>
      </c>
      <c r="G12" s="6" t="n">
        <v>5678821</v>
      </c>
      <c r="H12" s="6" t="n">
        <v>93314</v>
      </c>
    </row>
    <row r="13">
      <c r="A13" s="9" t="n">
        <v>1940</v>
      </c>
      <c r="B13" s="6" t="n">
        <v>46686</v>
      </c>
      <c r="C13" t="inlineStr">
        <is>
          <t>—</t>
        </is>
      </c>
      <c r="D13" s="6" t="n">
        <v>1283</v>
      </c>
      <c r="E13" s="9" t="n">
        <v>309</v>
      </c>
      <c r="F13" t="inlineStr">
        <is>
          <t>—</t>
        </is>
      </c>
      <c r="G13" s="6" t="n">
        <v>10006777</v>
      </c>
      <c r="H13" s="6" t="n">
        <v>110000</v>
      </c>
    </row>
    <row r="15">
      <c r="A15" s="2" t="inlineStr">
        <is>
          <t>Transcriber's notes</t>
        </is>
      </c>
    </row>
    <row r="16">
      <c r="A16" t="inlineStr">
        <is>
          <t>No totals printed.</t>
        </is>
      </c>
    </row>
    <row r="17">
      <c r="A17" t="inlineStr">
        <is>
          <t>Header reads 'Lines  Extension Lines' under 'Telegraph (Kms.)'; interpreted as two columns 'Lines' and 'Extension Lines'.</t>
        </is>
      </c>
    </row>
    <row r="18">
      <c r="A18" t="inlineStr">
        <is>
          <t>1937 and 1938 'Lines' both printed 26,635.</t>
        </is>
      </c>
    </row>
    <row r="19">
      <c r="A19" t="inlineStr">
        <is>
          <t>Row alignment: year labels printed slightly below/offset from figures (skewed print); the 1933 row has telephone messages and subscribers printed higher than the other 1933 figures — aligned by order.</t>
        </is>
      </c>
    </row>
  </sheetData>
  <hyperlinks>
    <hyperlink xmlns:r="http://schemas.openxmlformats.org/officeDocument/2006/relationships" ref="A3" r:id="rId1"/>
  </hyperlink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No. of Telegraph Office</t>
        </is>
      </c>
    </row>
    <row r="2">
      <c r="A2" t="inlineStr">
        <is>
          <t>Communications · printed pp. 624</t>
        </is>
      </c>
    </row>
    <row r="3">
      <c r="A3" s="3" t="inlineStr">
        <is>
          <t>← Contents</t>
        </is>
      </c>
    </row>
    <row r="5">
      <c r="A5" s="2" t="inlineStr">
        <is>
          <t>(A) Manchoukuo</t>
        </is>
      </c>
    </row>
    <row r="6">
      <c r="A6" s="5" t="inlineStr">
        <is>
          <t>Year</t>
        </is>
      </c>
      <c r="B6" s="5" t="inlineStr">
        <is>
          <t>Telegraph &amp; Telephone Stations</t>
        </is>
      </c>
      <c r="C6" s="5" t="inlineStr">
        <is>
          <t>Telephone Stations</t>
        </is>
      </c>
      <c r="D6" s="5" t="inlineStr">
        <is>
          <t>Telegraph Agencies</t>
        </is>
      </c>
      <c r="E6" s="5" t="inlineStr">
        <is>
          <t>Wireless Agencies</t>
        </is>
      </c>
      <c r="F6" s="5" t="inlineStr">
        <is>
          <t>Total incl. Others</t>
        </is>
      </c>
    </row>
    <row r="7">
      <c r="A7" s="9" t="n">
        <v>1934</v>
      </c>
      <c r="B7" s="9" t="n">
        <v>75</v>
      </c>
      <c r="C7" s="9" t="n">
        <v>143</v>
      </c>
      <c r="D7" s="9" t="n">
        <v>222</v>
      </c>
      <c r="E7" s="9" t="n">
        <v>48</v>
      </c>
      <c r="F7" s="9" t="n">
        <v>504</v>
      </c>
    </row>
    <row r="8">
      <c r="A8" s="9" t="n">
        <v>1935</v>
      </c>
      <c r="B8" s="9" t="n">
        <v>95</v>
      </c>
      <c r="C8" s="9" t="n">
        <v>136</v>
      </c>
      <c r="D8" s="9" t="n">
        <v>242</v>
      </c>
      <c r="E8" s="9" t="n">
        <v>48</v>
      </c>
      <c r="F8" s="9" t="n">
        <v>555</v>
      </c>
    </row>
    <row r="9">
      <c r="A9" s="9" t="n">
        <v>1936</v>
      </c>
      <c r="B9" s="9" t="n">
        <v>124</v>
      </c>
      <c r="C9" s="9" t="n">
        <v>147</v>
      </c>
      <c r="D9" s="9" t="n">
        <v>249</v>
      </c>
      <c r="E9" s="9" t="n">
        <v>51</v>
      </c>
      <c r="F9" s="9" t="n">
        <v>695</v>
      </c>
    </row>
    <row r="10">
      <c r="A10" s="9" t="n">
        <v>1937</v>
      </c>
      <c r="B10" s="9" t="n">
        <v>187</v>
      </c>
      <c r="C10" s="9" t="n">
        <v>100</v>
      </c>
      <c r="D10" s="9" t="n">
        <v>275</v>
      </c>
      <c r="E10" s="9" t="n">
        <v>54</v>
      </c>
      <c r="F10" s="9" t="n">
        <v>784</v>
      </c>
    </row>
    <row r="11">
      <c r="A11" s="9" t="n">
        <v>1938</v>
      </c>
      <c r="B11" s="9" t="n">
        <v>218</v>
      </c>
      <c r="C11" s="9" t="n">
        <v>191</v>
      </c>
      <c r="D11" s="9" t="n">
        <v>383</v>
      </c>
      <c r="E11" s="9" t="n">
        <v>56</v>
      </c>
      <c r="F11" t="inlineStr">
        <is>
          <t>—</t>
        </is>
      </c>
    </row>
    <row r="12">
      <c r="A12" s="9" t="n">
        <v>1939</v>
      </c>
      <c r="B12" s="9" t="n">
        <v>244</v>
      </c>
      <c r="C12" s="9" t="n">
        <v>232</v>
      </c>
      <c r="D12" s="9" t="n">
        <v>403</v>
      </c>
      <c r="E12" s="9" t="n">
        <v>62</v>
      </c>
      <c r="F12" s="9" t="n">
        <v>921</v>
      </c>
    </row>
    <row r="14">
      <c r="A14" s="2" t="inlineStr">
        <is>
          <t>(B) Kwantung</t>
        </is>
      </c>
    </row>
    <row r="15">
      <c r="A15" s="5" t="inlineStr">
        <is>
          <t>Year</t>
        </is>
      </c>
      <c r="B15" s="5" t="inlineStr">
        <is>
          <t>Telepragh Offices</t>
        </is>
      </c>
      <c r="C15" s="5" t="inlineStr">
        <is>
          <t>Air-station</t>
        </is>
      </c>
      <c r="D15" s="5" t="inlineStr">
        <is>
          <t>Post offices</t>
        </is>
      </c>
      <c r="E15" s="5" t="inlineStr">
        <is>
          <t>Post branch offices</t>
        </is>
      </c>
      <c r="F15" s="5" t="inlineStr">
        <is>
          <t>Post stations</t>
        </is>
      </c>
      <c r="G15" s="5" t="inlineStr">
        <is>
          <t>Wireless telegraph stations</t>
        </is>
      </c>
    </row>
    <row r="16">
      <c r="A16" s="9" t="n">
        <v>1926</v>
      </c>
      <c r="B16" t="inlineStr">
        <is>
          <t>—</t>
        </is>
      </c>
      <c r="C16" t="inlineStr">
        <is>
          <t>—</t>
        </is>
      </c>
      <c r="D16" s="9" t="n">
        <v>40</v>
      </c>
      <c r="E16" s="9" t="n">
        <v>8</v>
      </c>
      <c r="F16" s="9" t="n">
        <v>16</v>
      </c>
      <c r="G16" s="9" t="n">
        <v>3</v>
      </c>
    </row>
    <row r="17">
      <c r="A17" s="9" t="n">
        <v>1932</v>
      </c>
      <c r="B17" s="9" t="n">
        <v>1</v>
      </c>
      <c r="C17" s="9" t="n">
        <v>1</v>
      </c>
      <c r="D17" s="9" t="n">
        <v>44</v>
      </c>
      <c r="E17" s="9" t="n">
        <v>37</v>
      </c>
      <c r="F17" s="9" t="n">
        <v>22</v>
      </c>
      <c r="G17" s="9" t="n">
        <v>4</v>
      </c>
    </row>
    <row r="18">
      <c r="A18" s="9" t="n">
        <v>1933</v>
      </c>
      <c r="B18" s="9" t="n">
        <v>26</v>
      </c>
      <c r="C18" s="9" t="n">
        <v>1</v>
      </c>
      <c r="D18" s="9" t="n">
        <v>44</v>
      </c>
      <c r="E18" s="9" t="n">
        <v>43</v>
      </c>
      <c r="F18" s="9" t="n">
        <v>22</v>
      </c>
      <c r="G18" s="9" t="n">
        <v>2</v>
      </c>
    </row>
    <row r="19">
      <c r="A19" s="9" t="n">
        <v>1934</v>
      </c>
      <c r="B19" s="9" t="n">
        <v>48</v>
      </c>
      <c r="C19" s="9" t="n">
        <v>1</v>
      </c>
      <c r="D19" s="9" t="n">
        <v>49</v>
      </c>
      <c r="E19" s="9" t="n">
        <v>39</v>
      </c>
      <c r="F19" s="9" t="n">
        <v>26</v>
      </c>
      <c r="G19" s="9" t="n">
        <v>1</v>
      </c>
    </row>
    <row r="20">
      <c r="A20" s="9" t="n">
        <v>1935</v>
      </c>
      <c r="B20" s="9" t="n">
        <v>51</v>
      </c>
      <c r="C20" s="9" t="n">
        <v>1</v>
      </c>
      <c r="D20" s="9" t="n">
        <v>53</v>
      </c>
      <c r="E20" s="9" t="n">
        <v>36</v>
      </c>
      <c r="F20" s="9" t="n">
        <v>30</v>
      </c>
      <c r="G20" t="inlineStr">
        <is>
          <t>—</t>
        </is>
      </c>
    </row>
    <row r="21">
      <c r="A21" s="9" t="n">
        <v>1936</v>
      </c>
      <c r="B21" s="9" t="n">
        <v>54</v>
      </c>
      <c r="C21" s="9" t="n">
        <v>1</v>
      </c>
      <c r="D21" s="9" t="n">
        <v>56</v>
      </c>
      <c r="E21" s="9" t="n">
        <v>45</v>
      </c>
      <c r="F21" s="9" t="n">
        <v>32</v>
      </c>
      <c r="G21" t="inlineStr">
        <is>
          <t>—</t>
        </is>
      </c>
    </row>
    <row r="22">
      <c r="A22" t="inlineStr">
        <is>
          <t>*1937</t>
        </is>
      </c>
      <c r="B22" s="9" t="n">
        <v>1</v>
      </c>
      <c r="C22" s="9" t="n">
        <v>1</v>
      </c>
      <c r="D22" s="9" t="n">
        <v>17</v>
      </c>
      <c r="E22" s="9" t="n">
        <v>4</v>
      </c>
      <c r="F22" s="9" t="n">
        <v>13</v>
      </c>
      <c r="G22" t="inlineStr">
        <is>
          <t>—</t>
        </is>
      </c>
    </row>
    <row r="23">
      <c r="A23" t="inlineStr">
        <is>
          <t>*1938</t>
        </is>
      </c>
      <c r="B23" s="9" t="n">
        <v>14</v>
      </c>
      <c r="C23" s="9" t="n">
        <v>1</v>
      </c>
      <c r="D23" s="9" t="n">
        <v>18</v>
      </c>
      <c r="E23" s="9" t="n">
        <v>4</v>
      </c>
      <c r="F23" s="9" t="n">
        <v>18</v>
      </c>
      <c r="G23" t="inlineStr">
        <is>
          <t>—</t>
        </is>
      </c>
    </row>
    <row r="25">
      <c r="A25" s="2" t="inlineStr">
        <is>
          <t>(B) Kwantung (Continued)</t>
        </is>
      </c>
    </row>
    <row r="26">
      <c r="A26" s="5" t="inlineStr">
        <is>
          <t>Year</t>
        </is>
      </c>
      <c r="B26" s="5" t="inlineStr">
        <is>
          <t>Telephone exchange offices</t>
        </is>
      </c>
      <c r="C26" s="5" t="inlineStr">
        <is>
          <t>Post agencies</t>
        </is>
      </c>
      <c r="D26" s="5" t="inlineStr">
        <is>
          <t>Telegraph agencies</t>
        </is>
      </c>
      <c r="E26" s="5" t="inlineStr">
        <is>
          <t>Wireless telegraph agencies</t>
        </is>
      </c>
      <c r="F26" s="5" t="inlineStr">
        <is>
          <t>Telephone agencies</t>
        </is>
      </c>
      <c r="G26" s="5" t="inlineStr">
        <is>
          <t>Total incl. others</t>
        </is>
      </c>
    </row>
    <row r="27">
      <c r="A27" s="9" t="n">
        <v>1926</v>
      </c>
      <c r="B27" s="9" t="n">
        <v>2</v>
      </c>
      <c r="C27" s="9" t="n">
        <v>146</v>
      </c>
      <c r="D27" s="9" t="n">
        <v>90</v>
      </c>
      <c r="E27" s="9" t="n">
        <v>11</v>
      </c>
      <c r="F27" s="9" t="n">
        <v>20</v>
      </c>
      <c r="G27" s="9" t="n">
        <v>336</v>
      </c>
    </row>
    <row r="28">
      <c r="A28" s="9" t="n">
        <v>1932</v>
      </c>
      <c r="B28" s="9" t="n">
        <v>3</v>
      </c>
      <c r="C28" s="9" t="n">
        <v>151</v>
      </c>
      <c r="D28" s="9" t="n">
        <v>102</v>
      </c>
      <c r="E28" s="9" t="n">
        <v>38</v>
      </c>
      <c r="F28" s="9" t="n">
        <v>25</v>
      </c>
      <c r="G28" s="9" t="n">
        <v>428</v>
      </c>
    </row>
    <row r="29">
      <c r="A29" s="9" t="n">
        <v>1933</v>
      </c>
      <c r="B29" s="9" t="n">
        <v>7</v>
      </c>
      <c r="C29" s="9" t="n">
        <v>145</v>
      </c>
      <c r="D29" s="9" t="n">
        <v>112</v>
      </c>
      <c r="E29" s="9" t="n">
        <v>49</v>
      </c>
      <c r="F29" s="9" t="n">
        <v>25</v>
      </c>
      <c r="G29" s="9" t="n">
        <v>476</v>
      </c>
    </row>
    <row r="30">
      <c r="A30" s="9" t="n">
        <v>34</v>
      </c>
      <c r="B30" s="9" t="n">
        <v>6</v>
      </c>
      <c r="C30" s="9" t="n">
        <v>146</v>
      </c>
      <c r="D30" s="9" t="n">
        <v>113</v>
      </c>
      <c r="E30" s="9" t="n">
        <v>48</v>
      </c>
      <c r="F30" s="9" t="n">
        <v>30</v>
      </c>
      <c r="G30" s="9" t="n">
        <v>507</v>
      </c>
    </row>
    <row r="31">
      <c r="A31" s="9" t="n">
        <v>1935</v>
      </c>
      <c r="B31" s="9" t="n">
        <v>14</v>
      </c>
      <c r="C31" s="9" t="n">
        <v>146</v>
      </c>
      <c r="D31" s="9" t="n">
        <v>112</v>
      </c>
      <c r="E31" s="9" t="n">
        <v>48</v>
      </c>
      <c r="F31" s="9" t="n">
        <v>29</v>
      </c>
      <c r="G31" s="9" t="n">
        <v>520</v>
      </c>
    </row>
    <row r="32">
      <c r="A32" s="9" t="n">
        <v>1936</v>
      </c>
      <c r="B32" s="9" t="n">
        <v>11</v>
      </c>
      <c r="C32" s="9" t="n">
        <v>147</v>
      </c>
      <c r="D32" s="9" t="n">
        <v>118</v>
      </c>
      <c r="E32" s="9" t="n">
        <v>51</v>
      </c>
      <c r="F32" s="9" t="n">
        <v>17</v>
      </c>
      <c r="G32" s="9" t="n">
        <v>532</v>
      </c>
    </row>
    <row r="33">
      <c r="A33" t="inlineStr">
        <is>
          <t>*1937</t>
        </is>
      </c>
      <c r="B33" t="inlineStr">
        <is>
          <t>—</t>
        </is>
      </c>
      <c r="C33" s="9" t="n">
        <v>82</v>
      </c>
      <c r="D33" s="9" t="n">
        <v>24</v>
      </c>
      <c r="E33" s="9" t="n">
        <v>53</v>
      </c>
      <c r="F33" s="9" t="n">
        <v>37</v>
      </c>
      <c r="G33" s="9" t="n">
        <v>278</v>
      </c>
    </row>
    <row r="34">
      <c r="A34" t="inlineStr">
        <is>
          <t>*1938</t>
        </is>
      </c>
      <c r="B34" t="inlineStr">
        <is>
          <t>—</t>
        </is>
      </c>
      <c r="C34" s="9" t="n">
        <v>80</v>
      </c>
      <c r="D34" s="9" t="n">
        <v>24</v>
      </c>
      <c r="E34" s="9" t="n">
        <v>55</v>
      </c>
      <c r="F34" s="9" t="n">
        <v>47</v>
      </c>
      <c r="G34" s="9" t="n">
        <v>288</v>
      </c>
    </row>
    <row r="36">
      <c r="A36" s="2" t="inlineStr">
        <is>
          <t>Footnotes</t>
        </is>
      </c>
    </row>
    <row r="37">
      <c r="A37" t="inlineStr">
        <is>
          <t>Note: Statistics from 1937 with regard to Kwantung are exclusive of the S.M.R. Zone, jurisdiction over which was transferred to Manchoukuo as a results of the abolition of extra-territoriality.</t>
        </is>
      </c>
    </row>
    <row r="39">
      <c r="A39" s="2" t="inlineStr">
        <is>
          <t>Transcriber's notes</t>
        </is>
      </c>
    </row>
    <row r="40">
      <c r="A40" t="inlineStr">
        <is>
          <t>(A) 1934: four listed categories sum to 488; 'Total incl. others' 504 (includes unlisted categories, so not a strict check)</t>
        </is>
      </c>
    </row>
    <row r="41">
      <c r="A41" t="inlineStr">
        <is>
          <t>(A) 1935: four listed categories sum to 521; 'Total incl. others' 555 (includes unlisted categories, so not a strict check)</t>
        </is>
      </c>
    </row>
    <row r="42">
      <c r="A42" t="inlineStr">
        <is>
          <t>(A) 1936: four listed categories sum to 571; 'Total incl. others' 695 (includes unlisted categories, so not a strict check)</t>
        </is>
      </c>
    </row>
    <row r="43">
      <c r="A43" t="inlineStr">
        <is>
          <t>(A) 1937: four listed categories sum to 616; 'Total incl. others' 784 (includes unlisted categories, so not a strict check)</t>
        </is>
      </c>
    </row>
    <row r="44">
      <c r="A44" t="inlineStr">
        <is>
          <t>(A) 1938: four listed categories sum to 848; 'Total incl. others' — (includes unlisted categories, so not a strict check)</t>
        </is>
      </c>
    </row>
    <row r="45">
      <c r="A45" t="inlineStr">
        <is>
          <t>(A) 1939: four listed categories sum to 941; 'Total incl. others' 921 (includes unlisted categories, so not a strict check)</t>
        </is>
      </c>
    </row>
    <row r="46">
      <c r="A46" t="inlineStr">
        <is>
          <t>(B) 1926: all 11 listed categories sum to 336 vs 'Total incl. others' 336 — reconciles</t>
        </is>
      </c>
    </row>
    <row r="47">
      <c r="A47" t="inlineStr">
        <is>
          <t>(B) 1932: all 11 listed categories sum to 428 vs 'Total incl. others' 428 — reconciles</t>
        </is>
      </c>
    </row>
    <row r="48">
      <c r="A48" t="inlineStr">
        <is>
          <t>(B) 1933: all 11 listed categories sum to 476 vs 'Total incl. others' 476 — reconciles</t>
        </is>
      </c>
    </row>
    <row r="49">
      <c r="A49" t="inlineStr">
        <is>
          <t>(B) 1934: all 11 listed categories sum to 507 vs 'Total incl. others' 507 — reconciles</t>
        </is>
      </c>
    </row>
    <row r="50">
      <c r="A50" t="inlineStr">
        <is>
          <t>(B) 1935: all 11 listed categories sum to 520 vs 'Total incl. others' 520 — reconciles</t>
        </is>
      </c>
    </row>
    <row r="51">
      <c r="A51" t="inlineStr">
        <is>
          <t>(B) 1936: all 11 listed categories sum to 532 vs 'Total incl. others' 532 — reconciles</t>
        </is>
      </c>
    </row>
    <row r="52">
      <c r="A52" t="inlineStr">
        <is>
          <t>(B) *1937: all 11 listed categories sum to 232 vs 'Total incl. others' 278 — diff +46</t>
        </is>
      </c>
    </row>
    <row r="53">
      <c r="A53" t="inlineStr">
        <is>
          <t>(B) *1938: all 11 listed categories sum to 261 vs 'Total incl. others' 288 — diff +27</t>
        </is>
      </c>
    </row>
    <row r="54">
      <c r="A54" t="inlineStr">
        <is>
          <t>(A) 1938 Total printed as a short dash/damaged mark ('—'); transcribed as '—'.</t>
        </is>
      </c>
    </row>
    <row r="55">
      <c r="A55" t="inlineStr">
        <is>
          <t>(A) 1939: Total incl. others 921 is LESS than the four listed categories (941) — does NOT reconcile (diff -20); re-read, figures as printed.</t>
        </is>
      </c>
    </row>
    <row r="56">
      <c r="A56" t="inlineStr">
        <is>
          <t>(A) 1939 Wireless Agencies '62' followed by a stray dot/mark.</t>
        </is>
      </c>
    </row>
    <row r="57">
      <c r="A57" t="inlineStr">
        <is>
          <t>(B) Continued part: year '1934' printed as '34'; transcribed as printed.</t>
        </is>
      </c>
    </row>
    <row r="58">
      <c r="A58" t="inlineStr">
        <is>
          <t>(B) header 'Telepragh Offices' misspelt in source; transcribed as 'Telepragh Offices'.</t>
        </is>
      </c>
    </row>
    <row r="59">
      <c r="A59" t="inlineStr">
        <is>
          <t>(B) 1926 Telegraph agencies '90': first digit slightly damaged.</t>
        </is>
      </c>
    </row>
  </sheetData>
  <hyperlinks>
    <hyperlink xmlns:r="http://schemas.openxmlformats.org/officeDocument/2006/relationships" ref="A3" r:id="rId1"/>
  </hyperlink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4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Number of Telegrams Handled</t>
        </is>
      </c>
    </row>
    <row r="2">
      <c r="A2" t="inlineStr">
        <is>
          <t>Communications · printed pp. 624, 625</t>
        </is>
      </c>
    </row>
    <row r="3">
      <c r="A3" s="3" t="inlineStr">
        <is>
          <t>← Contents</t>
        </is>
      </c>
    </row>
    <row r="5">
      <c r="A5" s="2" t="inlineStr">
        <is>
          <t>(A) Manchoukuo (In 1,000)</t>
        </is>
      </c>
    </row>
    <row r="6">
      <c r="A6" s="5" t="inlineStr">
        <is>
          <t>Year ending Mar. 31</t>
        </is>
      </c>
      <c r="B6" s="5" t="inlineStr">
        <is>
          <t>In-Manchoukuo — Despatched</t>
        </is>
      </c>
      <c r="C6" s="5" t="inlineStr">
        <is>
          <t>In-Manchoukuo — Arrived</t>
        </is>
      </c>
      <c r="D6" s="5" t="inlineStr">
        <is>
          <t>Japan-Manchoukuo — Despatched</t>
        </is>
      </c>
      <c r="E6" s="5" t="inlineStr">
        <is>
          <t>Japan-Manchoukuo — Arrived</t>
        </is>
      </c>
      <c r="F6" s="5" t="inlineStr">
        <is>
          <t>Foreign — Despatched</t>
        </is>
      </c>
      <c r="G6" s="5" t="inlineStr">
        <is>
          <t>Foreign — Arrived</t>
        </is>
      </c>
      <c r="H6" s="5" t="inlineStr">
        <is>
          <t>Total — Despatched</t>
        </is>
      </c>
      <c r="I6" s="5" t="inlineStr">
        <is>
          <t>Total — Arrived</t>
        </is>
      </c>
    </row>
    <row r="7">
      <c r="A7" s="9" t="n">
        <v>1934</v>
      </c>
      <c r="B7" s="6" t="n">
        <v>2067</v>
      </c>
      <c r="C7" s="6" t="n">
        <v>2094</v>
      </c>
      <c r="D7" s="6" t="n">
        <v>2110</v>
      </c>
      <c r="E7" s="6" t="n">
        <v>1859</v>
      </c>
      <c r="F7" s="9" t="n">
        <v>256</v>
      </c>
      <c r="G7" s="9" t="n">
        <v>281</v>
      </c>
      <c r="H7" s="6" t="n">
        <v>4434</v>
      </c>
      <c r="I7" s="6" t="n">
        <v>4235</v>
      </c>
    </row>
    <row r="8">
      <c r="A8" s="9" t="n">
        <v>1935</v>
      </c>
      <c r="B8" s="6" t="n">
        <v>2931</v>
      </c>
      <c r="C8" s="6" t="n">
        <v>2917</v>
      </c>
      <c r="D8" s="6" t="n">
        <v>2317</v>
      </c>
      <c r="E8" s="6" t="n">
        <v>2072</v>
      </c>
      <c r="F8" s="9" t="n">
        <v>255</v>
      </c>
      <c r="G8" s="9" t="n">
        <v>275</v>
      </c>
      <c r="H8" s="6" t="n">
        <v>5504</v>
      </c>
      <c r="I8" s="6" t="n">
        <v>5265</v>
      </c>
    </row>
    <row r="9">
      <c r="A9" s="9" t="n">
        <v>1936</v>
      </c>
      <c r="B9" s="6" t="n">
        <v>3485</v>
      </c>
      <c r="C9" s="6" t="n">
        <v>3427</v>
      </c>
      <c r="D9" s="6" t="n">
        <v>2483</v>
      </c>
      <c r="E9" s="6" t="n">
        <v>2231</v>
      </c>
      <c r="F9" s="9" t="n">
        <v>282</v>
      </c>
      <c r="G9" s="9" t="n">
        <v>283</v>
      </c>
      <c r="H9" s="6" t="n">
        <v>6251</v>
      </c>
      <c r="I9" s="6" t="n">
        <v>5943</v>
      </c>
    </row>
    <row r="10">
      <c r="A10" s="9" t="n">
        <v>1937</v>
      </c>
      <c r="B10" s="6" t="n">
        <v>4084</v>
      </c>
      <c r="C10" s="6" t="n">
        <v>4082</v>
      </c>
      <c r="D10" s="6" t="n">
        <v>2809</v>
      </c>
      <c r="E10" s="6" t="n">
        <v>2438</v>
      </c>
      <c r="F10" s="9" t="n">
        <v>281</v>
      </c>
      <c r="G10" s="9" t="n">
        <v>274</v>
      </c>
      <c r="H10" s="6" t="n">
        <v>7175</v>
      </c>
      <c r="I10" s="6" t="n">
        <v>6795</v>
      </c>
    </row>
    <row r="11">
      <c r="A11" s="9" t="n">
        <v>1938</v>
      </c>
      <c r="B11" s="6" t="n">
        <v>4926</v>
      </c>
      <c r="C11" s="6" t="n">
        <v>4920</v>
      </c>
      <c r="D11" s="6" t="n">
        <v>3218</v>
      </c>
      <c r="E11" s="6" t="n">
        <v>2695</v>
      </c>
      <c r="F11" s="9" t="n">
        <v>439</v>
      </c>
      <c r="G11" s="9" t="n">
        <v>421</v>
      </c>
      <c r="H11" s="6" t="n">
        <v>8583</v>
      </c>
      <c r="I11" s="6" t="n">
        <v>8036</v>
      </c>
    </row>
    <row r="13">
      <c r="A13" s="2" t="inlineStr">
        <is>
          <t>(B) Kwantung (In 1,000)</t>
        </is>
      </c>
    </row>
    <row r="14">
      <c r="A14" s="5" t="inlineStr">
        <is>
          <t>Year ending Mar. 31</t>
        </is>
      </c>
      <c r="B14" s="5" t="inlineStr">
        <is>
          <t>Domestic &amp; Japan-Manchuria — Despatched</t>
        </is>
      </c>
      <c r="C14" s="5" t="inlineStr">
        <is>
          <t>Domestic &amp; Japan-Manchuria — Arrived</t>
        </is>
      </c>
      <c r="D14" s="5" t="inlineStr">
        <is>
          <t>Domestic &amp; Japan-Manchuria — Total</t>
        </is>
      </c>
      <c r="E14" s="5" t="inlineStr">
        <is>
          <t>Others — Despatched</t>
        </is>
      </c>
      <c r="F14" s="5" t="inlineStr">
        <is>
          <t>Others — Arrived</t>
        </is>
      </c>
      <c r="G14" s="5" t="inlineStr">
        <is>
          <t>Others — Total</t>
        </is>
      </c>
      <c r="H14" s="5" t="inlineStr">
        <is>
          <t>Transmitted — Domestic &amp; Japan-Manchuria</t>
        </is>
      </c>
      <c r="I14" s="5" t="inlineStr">
        <is>
          <t>Transmitted — Others</t>
        </is>
      </c>
    </row>
    <row r="15">
      <c r="A15" s="9" t="n">
        <v>1933</v>
      </c>
      <c r="B15" s="6" t="n">
        <v>1184</v>
      </c>
      <c r="C15" s="6" t="n">
        <v>1128</v>
      </c>
      <c r="D15" s="6" t="n">
        <v>2312</v>
      </c>
      <c r="E15" s="9" t="n">
        <v>222</v>
      </c>
      <c r="F15" s="9" t="n">
        <v>222</v>
      </c>
      <c r="G15" s="9" t="n">
        <v>444</v>
      </c>
      <c r="H15" s="6" t="n">
        <v>1559</v>
      </c>
      <c r="I15" s="9" t="n">
        <v>397</v>
      </c>
    </row>
    <row r="16">
      <c r="A16" s="9" t="n">
        <v>1934</v>
      </c>
      <c r="B16" s="6" t="n">
        <v>1363</v>
      </c>
      <c r="C16" s="6" t="n">
        <v>1293</v>
      </c>
      <c r="D16" s="6" t="n">
        <v>2657</v>
      </c>
      <c r="E16" s="9" t="n">
        <v>199</v>
      </c>
      <c r="F16" s="9" t="n">
        <v>217</v>
      </c>
      <c r="G16" s="9" t="n">
        <v>416</v>
      </c>
      <c r="H16" s="6" t="n">
        <v>1866</v>
      </c>
      <c r="I16" s="9" t="n">
        <v>364</v>
      </c>
    </row>
    <row r="17">
      <c r="A17" s="9" t="n">
        <v>1935</v>
      </c>
      <c r="B17" s="6" t="n">
        <v>1564</v>
      </c>
      <c r="C17" s="6" t="n">
        <v>1500</v>
      </c>
      <c r="D17" s="6" t="n">
        <v>3064</v>
      </c>
      <c r="E17" s="9" t="n">
        <v>159</v>
      </c>
      <c r="F17" s="9" t="n">
        <v>176</v>
      </c>
      <c r="G17" s="9" t="n">
        <v>335</v>
      </c>
      <c r="H17" s="6" t="n">
        <v>2228</v>
      </c>
      <c r="I17" s="9" t="n">
        <v>325</v>
      </c>
    </row>
    <row r="18">
      <c r="A18" s="9" t="n">
        <v>1936</v>
      </c>
      <c r="B18" s="6" t="n">
        <v>1674</v>
      </c>
      <c r="C18" s="6" t="n">
        <v>1625</v>
      </c>
      <c r="D18" s="6" t="n">
        <v>3299</v>
      </c>
      <c r="E18" s="9" t="n">
        <v>149</v>
      </c>
      <c r="F18" s="9" t="n">
        <v>165</v>
      </c>
      <c r="G18" s="9" t="n">
        <v>314</v>
      </c>
      <c r="H18" s="6" t="n">
        <v>2686</v>
      </c>
      <c r="I18" s="9" t="n">
        <v>239</v>
      </c>
    </row>
    <row r="19">
      <c r="A19" s="9" t="n">
        <v>1937</v>
      </c>
      <c r="B19" s="6" t="n">
        <v>1723</v>
      </c>
      <c r="C19" s="6" t="n">
        <v>1655</v>
      </c>
      <c r="D19" s="6" t="n">
        <v>3378</v>
      </c>
      <c r="E19" s="9" t="n">
        <v>172</v>
      </c>
      <c r="F19" s="9" t="n">
        <v>181</v>
      </c>
      <c r="G19" s="9" t="n">
        <v>354</v>
      </c>
      <c r="H19" s="6" t="n">
        <v>2856</v>
      </c>
      <c r="I19" s="9" t="n">
        <v>266</v>
      </c>
    </row>
    <row r="20">
      <c r="A20" s="9" t="n">
        <v>1938</v>
      </c>
      <c r="B20" s="6" t="n">
        <v>1686</v>
      </c>
      <c r="C20" s="6" t="n">
        <v>1706</v>
      </c>
      <c r="D20" s="6" t="n">
        <v>3392</v>
      </c>
      <c r="E20" s="9" t="n">
        <v>162</v>
      </c>
      <c r="F20" s="9" t="n">
        <v>163</v>
      </c>
      <c r="G20" s="9" t="n">
        <v>326</v>
      </c>
      <c r="H20" s="6" t="n">
        <v>2146</v>
      </c>
      <c r="I20" s="9" t="n">
        <v>259</v>
      </c>
    </row>
    <row r="22">
      <c r="A22" s="2" t="inlineStr">
        <is>
          <t>Transcriber's notes</t>
        </is>
      </c>
    </row>
    <row r="23">
      <c r="A23" t="inlineStr">
        <is>
          <t>(A) 1934: despatched parts sum 4,433 vs total 4,434 — diff +1; arrived parts sum 4,234 vs total 4,235 — diff +1</t>
        </is>
      </c>
    </row>
    <row r="24">
      <c r="A24" t="inlineStr">
        <is>
          <t>(A) 1935: despatched parts sum 5,503 vs total 5,504 — diff +1; arrived parts sum 5,264 vs total 5,265 — diff +1</t>
        </is>
      </c>
    </row>
    <row r="25">
      <c r="A25" t="inlineStr">
        <is>
          <t>(A) 1936: despatched parts sum 6,250 vs total 6,251 — diff +1; arrived parts sum 5,941 vs total 5,943 — diff +2</t>
        </is>
      </c>
    </row>
    <row r="26">
      <c r="A26" t="inlineStr">
        <is>
          <t>(A) 1937: despatched parts sum 7,174 vs total 7,175 — diff +1; arrived parts sum 6,794 vs total 6,795 — diff +1</t>
        </is>
      </c>
    </row>
    <row r="27">
      <c r="A27" t="inlineStr">
        <is>
          <t>(A) 1938: despatched parts sum 8,583 vs total 8,583 — reconciles; arrived parts sum 8,036 vs total 8,036 — reconciles</t>
        </is>
      </c>
    </row>
    <row r="28">
      <c r="A28" t="inlineStr">
        <is>
          <t>(B) 1933 Domestic: 1,184+1,128=2,312 vs Total 2,312 — reconciles</t>
        </is>
      </c>
    </row>
    <row r="29">
      <c r="A29" t="inlineStr">
        <is>
          <t>(B) 1933 Others: 222+222=444 vs Total 444 — reconciles</t>
        </is>
      </c>
    </row>
    <row r="30">
      <c r="A30" t="inlineStr">
        <is>
          <t>(B) 1934 Domestic: 1,363+1,293=2,656 vs Total 2,657 — diff +1</t>
        </is>
      </c>
    </row>
    <row r="31">
      <c r="A31" t="inlineStr">
        <is>
          <t>(B) 1934 Others: 199+217=416 vs Total 416 — reconciles</t>
        </is>
      </c>
    </row>
    <row r="32">
      <c r="A32" t="inlineStr">
        <is>
          <t>(B) 1935 Domestic: 1,564+1,500=3,064 vs Total 3,064 — reconciles</t>
        </is>
      </c>
    </row>
    <row r="33">
      <c r="A33" t="inlineStr">
        <is>
          <t>(B) 1935 Others: 159+176=335 vs Total 335 — reconciles</t>
        </is>
      </c>
    </row>
    <row r="34">
      <c r="A34" t="inlineStr">
        <is>
          <t>(B) 1936 Domestic: 1,674+1,625=3,299 vs Total 3,299 — reconciles</t>
        </is>
      </c>
    </row>
    <row r="35">
      <c r="A35" t="inlineStr">
        <is>
          <t>(B) 1936 Others: 149+165=314 vs Total 314 — reconciles</t>
        </is>
      </c>
    </row>
    <row r="36">
      <c r="A36" t="inlineStr">
        <is>
          <t>(B) 1937 Domestic: 1,723+1,655=3,378 vs Total 3,378 — reconciles</t>
        </is>
      </c>
    </row>
    <row r="37">
      <c r="A37" t="inlineStr">
        <is>
          <t>(B) 1937 Others: 172+181=353 vs Total 354 — diff +1</t>
        </is>
      </c>
    </row>
    <row r="38">
      <c r="A38" t="inlineStr">
        <is>
          <t>(B) 1938 Domestic: 1,686+1,706=3,392 vs Total 3,392 — reconciles</t>
        </is>
      </c>
    </row>
    <row r="39">
      <c r="A39" t="inlineStr">
        <is>
          <t>(B) 1938 Others: 162+163=325 vs Total 326 — diff +1</t>
        </is>
      </c>
    </row>
    <row r="40">
      <c r="A40" t="inlineStr">
        <is>
          <t>(A) 'Total — Arrived' column is printed in very small compressed type in the gutter; read as 4,235 / 5,265 / 5,943 / 6,795 / 8,036 with moderate confidence (1934-37 exceed the sum of the parts by 1-2; 1938 reconciles).</t>
        </is>
      </c>
    </row>
    <row r="41">
      <c r="A41" t="inlineStr">
        <is>
          <t>(B) year labels printed skewed; rows aligned by order.</t>
        </is>
      </c>
    </row>
    <row r="42">
      <c r="A42" t="inlineStr">
        <is>
          <t>(B) 'Transmitted' columns carry no total.</t>
        </is>
      </c>
    </row>
  </sheetData>
  <hyperlinks>
    <hyperlink xmlns:r="http://schemas.openxmlformats.org/officeDocument/2006/relationships" ref="A3" r:id="rId1"/>
  </hyperlink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[Overseas broadcast programme schedules]</t>
        </is>
      </c>
    </row>
    <row r="2">
      <c r="A2" t="inlineStr">
        <is>
          <t>Communications · printed pp. 628, 629</t>
        </is>
      </c>
    </row>
    <row r="3">
      <c r="A3" s="3" t="inlineStr">
        <is>
          <t>← Contents</t>
        </is>
      </c>
    </row>
    <row r="5">
      <c r="A5" s="2" t="inlineStr">
        <is>
          <t>To Europe (Daily Excepting Wednesday's and Saturday's)</t>
        </is>
      </c>
    </row>
    <row r="6">
      <c r="A6" s="5" t="inlineStr">
        <is>
          <t>Time</t>
        </is>
      </c>
      <c r="B6" s="5" t="inlineStr">
        <is>
          <t>Programme item</t>
        </is>
      </c>
    </row>
    <row r="7">
      <c r="A7" t="inlineStr">
        <is>
          <t>6:00</t>
        </is>
      </c>
      <c r="B7" t="inlineStr">
        <is>
          <t>Opening Announcement in English</t>
        </is>
      </c>
    </row>
    <row r="8">
      <c r="A8" t="inlineStr">
        <is>
          <t>6:03</t>
        </is>
      </c>
      <c r="B8" t="inlineStr">
        <is>
          <t>News in English</t>
        </is>
      </c>
    </row>
    <row r="9">
      <c r="A9" t="inlineStr">
        <is>
          <t>6:15</t>
        </is>
      </c>
      <c r="B9" t="inlineStr">
        <is>
          <t>Entertainment</t>
        </is>
      </c>
    </row>
    <row r="10">
      <c r="A10" t="inlineStr">
        <is>
          <t>6:30</t>
        </is>
      </c>
      <c r="B10" t="inlineStr">
        <is>
          <t>Talk in English, or Music</t>
        </is>
      </c>
    </row>
    <row r="11">
      <c r="A11" t="inlineStr">
        <is>
          <t>6:57</t>
        </is>
      </c>
      <c r="B11" t="inlineStr">
        <is>
          <t>Closing Announcement in English</t>
        </is>
      </c>
    </row>
    <row r="12">
      <c r="A12" t="inlineStr">
        <is>
          <t>7:00</t>
        </is>
      </c>
      <c r="B12" t="inlineStr">
        <is>
          <t>Sign-Off</t>
        </is>
      </c>
    </row>
    <row r="14">
      <c r="A14" s="2" t="inlineStr">
        <is>
          <t>To Europe (Wednesday's and Saturday's)</t>
        </is>
      </c>
    </row>
    <row r="15">
      <c r="A15" s="5" t="inlineStr">
        <is>
          <t>Time</t>
        </is>
      </c>
      <c r="B15" s="5" t="inlineStr">
        <is>
          <t>Programme item</t>
        </is>
      </c>
    </row>
    <row r="16">
      <c r="A16" t="inlineStr">
        <is>
          <t>6:00</t>
        </is>
      </c>
      <c r="B16" t="inlineStr">
        <is>
          <t>Opening Announcement in English</t>
        </is>
      </c>
    </row>
    <row r="17">
      <c r="A17" t="inlineStr">
        <is>
          <t>6:03</t>
        </is>
      </c>
      <c r="B17" t="inlineStr">
        <is>
          <t>News in English</t>
        </is>
      </c>
    </row>
    <row r="18">
      <c r="A18" t="inlineStr">
        <is>
          <t>6:15</t>
        </is>
      </c>
      <c r="B18" t="inlineStr">
        <is>
          <t>Talk in English, or Entertainment</t>
        </is>
      </c>
    </row>
    <row r="19">
      <c r="A19" t="inlineStr">
        <is>
          <t>6:30</t>
        </is>
      </c>
      <c r="B19" t="inlineStr">
        <is>
          <t>Announcement in German</t>
        </is>
      </c>
    </row>
    <row r="20">
      <c r="A20" t="inlineStr">
        <is>
          <t>6:32</t>
        </is>
      </c>
      <c r="B20" t="inlineStr">
        <is>
          <t>News in German,</t>
        </is>
      </c>
    </row>
    <row r="21">
      <c r="A21" t="inlineStr">
        <is>
          <t>6:42</t>
        </is>
      </c>
      <c r="B21" t="inlineStr">
        <is>
          <t>Talk in German, or Entertainment</t>
        </is>
      </c>
    </row>
    <row r="22">
      <c r="A22" t="inlineStr">
        <is>
          <t>6:57</t>
        </is>
      </c>
      <c r="B22" t="inlineStr">
        <is>
          <t>Closing Announcement in German</t>
        </is>
      </c>
    </row>
    <row r="23">
      <c r="A23" t="inlineStr">
        <is>
          <t>7:00</t>
        </is>
      </c>
      <c r="B23" t="inlineStr">
        <is>
          <t>Sign-Off</t>
        </is>
      </c>
    </row>
    <row r="24">
      <c r="A24" t="inlineStr">
        <is>
          <t>MST</t>
        </is>
      </c>
      <c r="B24" t="inlineStr">
        <is>
          <t>6:00—7:00 A.M.</t>
        </is>
      </c>
    </row>
    <row r="25">
      <c r="A25" t="inlineStr">
        <is>
          <t>GMT</t>
        </is>
      </c>
      <c r="B25" t="inlineStr">
        <is>
          <t>21:00—22:00</t>
        </is>
      </c>
    </row>
    <row r="27">
      <c r="A27" s="2" t="inlineStr">
        <is>
          <t>America</t>
        </is>
      </c>
    </row>
    <row r="28">
      <c r="A28" s="5" t="inlineStr">
        <is>
          <t>Time</t>
        </is>
      </c>
      <c r="B28" s="5" t="inlineStr">
        <is>
          <t>Programme item</t>
        </is>
      </c>
    </row>
    <row r="29">
      <c r="A29" t="inlineStr">
        <is>
          <t>2:30</t>
        </is>
      </c>
      <c r="B29" t="inlineStr">
        <is>
          <t>Signal, Opening Announcement</t>
        </is>
      </c>
    </row>
    <row r="30">
      <c r="A30" t="inlineStr">
        <is>
          <t>2:33</t>
        </is>
      </c>
      <c r="B30" t="inlineStr">
        <is>
          <t>Talk, Entertainment</t>
        </is>
      </c>
    </row>
    <row r="31">
      <c r="A31" t="inlineStr">
        <is>
          <t>3:00</t>
        </is>
      </c>
      <c r="B31" t="inlineStr">
        <is>
          <t>News in English</t>
        </is>
      </c>
    </row>
    <row r="32">
      <c r="A32" t="inlineStr">
        <is>
          <t>3:12</t>
        </is>
      </c>
      <c r="B32" t="inlineStr">
        <is>
          <t>Talk, Entertainment</t>
        </is>
      </c>
    </row>
    <row r="33">
      <c r="A33" t="inlineStr">
        <is>
          <t>3:27</t>
        </is>
      </c>
      <c r="B33" t="inlineStr">
        <is>
          <t>Closing Announcement</t>
        </is>
      </c>
    </row>
    <row r="34">
      <c r="A34" t="inlineStr">
        <is>
          <t>3:30</t>
        </is>
      </c>
      <c r="B34" t="inlineStr">
        <is>
          <t>Sign-Off</t>
        </is>
      </c>
    </row>
    <row r="35">
      <c r="A35" t="inlineStr">
        <is>
          <t>MST</t>
        </is>
      </c>
      <c r="B35" t="inlineStr">
        <is>
          <t>2:30—3:30</t>
        </is>
      </c>
    </row>
    <row r="36">
      <c r="A36" t="inlineStr">
        <is>
          <t>GMT</t>
        </is>
      </c>
      <c r="B36" t="inlineStr">
        <is>
          <t>3:30—6:30</t>
        </is>
      </c>
    </row>
    <row r="38">
      <c r="A38" s="2" t="inlineStr">
        <is>
          <t>South Seas</t>
        </is>
      </c>
    </row>
    <row r="39">
      <c r="A39" s="5" t="inlineStr">
        <is>
          <t>Time</t>
        </is>
      </c>
      <c r="B39" s="5" t="inlineStr">
        <is>
          <t>Programme item</t>
        </is>
      </c>
    </row>
    <row r="40">
      <c r="A40" t="inlineStr">
        <is>
          <t>10:00</t>
        </is>
      </c>
      <c r="B40" t="inlineStr">
        <is>
          <t>Opening Announcement in English</t>
        </is>
      </c>
    </row>
    <row r="41">
      <c r="A41" t="inlineStr">
        <is>
          <t>10:03</t>
        </is>
      </c>
      <c r="B41" t="inlineStr">
        <is>
          <t>Talk, Entertainment</t>
        </is>
      </c>
    </row>
    <row r="42">
      <c r="A42" t="inlineStr">
        <is>
          <t>10:15</t>
        </is>
      </c>
      <c r="B42" t="inlineStr">
        <is>
          <t>News in English</t>
        </is>
      </c>
    </row>
    <row r="43">
      <c r="A43" t="inlineStr">
        <is>
          <t>10:30</t>
        </is>
      </c>
      <c r="B43" t="inlineStr">
        <is>
          <t>Entertainment</t>
        </is>
      </c>
    </row>
    <row r="44">
      <c r="A44" t="inlineStr">
        <is>
          <t>10:57</t>
        </is>
      </c>
      <c r="B44" t="inlineStr">
        <is>
          <t>Announcement in English</t>
        </is>
      </c>
    </row>
    <row r="45">
      <c r="A45" t="inlineStr">
        <is>
          <t>11:00</t>
        </is>
      </c>
      <c r="B45" t="inlineStr">
        <is>
          <t>Announcement in Manchou</t>
        </is>
      </c>
    </row>
    <row r="46">
      <c r="A46" t="inlineStr">
        <is>
          <t>11:02</t>
        </is>
      </c>
      <c r="B46" t="inlineStr">
        <is>
          <t>News in Manchou</t>
        </is>
      </c>
    </row>
    <row r="47">
      <c r="A47" t="inlineStr">
        <is>
          <t>11:12</t>
        </is>
      </c>
      <c r="B47" t="inlineStr">
        <is>
          <t>Entertainment</t>
        </is>
      </c>
    </row>
    <row r="48">
      <c r="A48" t="inlineStr">
        <is>
          <t>11:27</t>
        </is>
      </c>
      <c r="B48" t="inlineStr">
        <is>
          <t>Closing Announcement in Manchou</t>
        </is>
      </c>
    </row>
    <row r="49">
      <c r="A49" t="inlineStr">
        <is>
          <t>11:30</t>
        </is>
      </c>
      <c r="B49" t="inlineStr">
        <is>
          <t>Sign-Off</t>
        </is>
      </c>
    </row>
    <row r="50">
      <c r="A50" t="inlineStr">
        <is>
          <t>MST</t>
        </is>
      </c>
      <c r="B50" t="inlineStr">
        <is>
          <t>10:00—11:30</t>
        </is>
      </c>
    </row>
    <row r="51">
      <c r="A51" t="inlineStr">
        <is>
          <t>GMT</t>
        </is>
      </c>
      <c r="B51" t="inlineStr">
        <is>
          <t>13:00—14:30</t>
        </is>
      </c>
    </row>
    <row r="53">
      <c r="A53" s="2" t="inlineStr">
        <is>
          <t>Transcriber's notes</t>
        </is>
      </c>
    </row>
    <row r="54">
      <c r="A54" t="inlineStr">
        <is>
          <t>Unnumbered programme schedules printed as two-column lists; each block is separated by a short rule.</t>
        </is>
      </c>
    </row>
    <row r="55">
      <c r="A55" t="inlineStr">
        <is>
          <t>The 'MST.... / GMT....' lines are printed after the (Wednesday's and Saturday's) Europe block (at top of p. 629), after the America block and after the South Seas block; recorded as rows at the end of the block they follow, as printed. No MST/GMT line follows the first Europe block.</t>
        </is>
      </c>
    </row>
    <row r="56">
      <c r="A56" t="inlineStr">
        <is>
          <t>Times printed with a space before the colon (e.g. '6 :00'); normalised to '6:00'. 'News in German,' printed with trailing comma.</t>
        </is>
      </c>
    </row>
  </sheetData>
  <hyperlinks>
    <hyperlink xmlns:r="http://schemas.openxmlformats.org/officeDocument/2006/relationships" ref="A3" r:id="rId1"/>
  </hyperlink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8. No. of Broadcasting Stations</t>
        </is>
      </c>
    </row>
    <row r="2">
      <c r="A2" t="inlineStr">
        <is>
          <t>Communications · printed pp. 629</t>
        </is>
      </c>
    </row>
    <row r="3">
      <c r="A3" t="inlineStr">
        <is>
          <t>(Nov. 1941)</t>
        </is>
      </c>
    </row>
    <row r="4">
      <c r="A4" s="3" t="inlineStr">
        <is>
          <t>← Contents</t>
        </is>
      </c>
    </row>
    <row r="6">
      <c r="A6" s="5" t="inlineStr">
        <is>
          <t>Stations</t>
        </is>
      </c>
      <c r="B6" s="5" t="inlineStr">
        <is>
          <t>Denomination</t>
        </is>
      </c>
    </row>
    <row r="7">
      <c r="A7" t="inlineStr">
        <is>
          <t>Hsinking</t>
        </is>
      </c>
      <c r="B7" t="inlineStr">
        <is>
          <t>M T C Y</t>
        </is>
      </c>
    </row>
    <row r="8">
      <c r="A8" t="inlineStr">
        <is>
          <t>Hsinking</t>
        </is>
      </c>
      <c r="B8" t="inlineStr">
        <is>
          <t>M T C Y</t>
        </is>
      </c>
    </row>
    <row r="9">
      <c r="A9" t="inlineStr">
        <is>
          <t>Mukden</t>
        </is>
      </c>
      <c r="B9" t="inlineStr">
        <is>
          <t>M T B Y</t>
        </is>
      </c>
    </row>
    <row r="10">
      <c r="A10" t="inlineStr">
        <is>
          <t>Dairen</t>
        </is>
      </c>
      <c r="B10" t="inlineStr">
        <is>
          <t>T Q A K</t>
        </is>
      </c>
    </row>
    <row r="11">
      <c r="A11" t="inlineStr">
        <is>
          <t>Dairen (shortwave)</t>
        </is>
      </c>
      <c r="B11" t="inlineStr">
        <is>
          <t>T Q A K</t>
        </is>
      </c>
    </row>
    <row r="12">
      <c r="A12" t="inlineStr">
        <is>
          <t>Dairen (shortwave)</t>
        </is>
      </c>
      <c r="B12" t="inlineStr">
        <is>
          <t>J D Y</t>
        </is>
      </c>
    </row>
    <row r="13">
      <c r="A13" t="inlineStr">
        <is>
          <t>Harbin</t>
        </is>
      </c>
      <c r="B13" t="inlineStr">
        <is>
          <t>M T F Y</t>
        </is>
      </c>
    </row>
    <row r="14">
      <c r="A14" t="inlineStr">
        <is>
          <t>Mutankiang</t>
        </is>
      </c>
      <c r="B14" t="inlineStr">
        <is>
          <t>M T G Y</t>
        </is>
      </c>
    </row>
    <row r="15">
      <c r="A15" t="inlineStr">
        <is>
          <t>Antung</t>
        </is>
      </c>
      <c r="B15" t="inlineStr">
        <is>
          <t>J Q B Y</t>
        </is>
      </c>
    </row>
    <row r="16">
      <c r="A16" t="inlineStr">
        <is>
          <t>Tsitsihar</t>
        </is>
      </c>
      <c r="B16" t="inlineStr">
        <is>
          <t>M T L Y</t>
        </is>
      </c>
    </row>
    <row r="17">
      <c r="A17" t="inlineStr">
        <is>
          <t>Yenki</t>
        </is>
      </c>
      <c r="B17" t="inlineStr">
        <is>
          <t>M T K Y</t>
        </is>
      </c>
    </row>
    <row r="18">
      <c r="A18" t="inlineStr">
        <is>
          <t>Chiamussu</t>
        </is>
      </c>
      <c r="B18" t="inlineStr">
        <is>
          <t>M T N Y</t>
        </is>
      </c>
    </row>
    <row r="19">
      <c r="A19" t="inlineStr">
        <is>
          <t>Heiho</t>
        </is>
      </c>
      <c r="B19" t="inlineStr">
        <is>
          <t>M T S Y</t>
        </is>
      </c>
    </row>
    <row r="20">
      <c r="A20" t="inlineStr">
        <is>
          <t>Hailar</t>
        </is>
      </c>
      <c r="B20" t="inlineStr">
        <is>
          <t>M T R Y</t>
        </is>
      </c>
    </row>
    <row r="21">
      <c r="A21" t="inlineStr">
        <is>
          <t>Chengteh</t>
        </is>
      </c>
      <c r="B21" t="inlineStr">
        <is>
          <t>M T H Y</t>
        </is>
      </c>
    </row>
    <row r="22">
      <c r="A22" t="inlineStr">
        <is>
          <t>Chinchow</t>
        </is>
      </c>
      <c r="B22" t="inlineStr">
        <is>
          <t>M T O Y</t>
        </is>
      </c>
    </row>
    <row r="23">
      <c r="A23" t="inlineStr">
        <is>
          <t>Chinchow</t>
        </is>
      </c>
      <c r="B23" t="inlineStr">
        <is>
          <t>M T O Y</t>
        </is>
      </c>
    </row>
    <row r="24">
      <c r="A24" t="inlineStr">
        <is>
          <t>Yingkow</t>
        </is>
      </c>
      <c r="B24" t="inlineStr">
        <is>
          <t>M T P Y</t>
        </is>
      </c>
    </row>
    <row r="25">
      <c r="A25" t="inlineStr">
        <is>
          <t>Yingkow</t>
        </is>
      </c>
      <c r="B25" t="inlineStr">
        <is>
          <t>M T P Y</t>
        </is>
      </c>
    </row>
    <row r="26">
      <c r="A26" t="inlineStr">
        <is>
          <t>Fuchin</t>
        </is>
      </c>
      <c r="B26" t="inlineStr">
        <is>
          <t>M T Q Y</t>
        </is>
      </c>
    </row>
    <row r="27">
      <c r="A27" t="inlineStr">
        <is>
          <t>Peian</t>
        </is>
      </c>
      <c r="B27" t="inlineStr">
        <is>
          <t>M T U Y</t>
        </is>
      </c>
    </row>
    <row r="28">
      <c r="A28" t="inlineStr">
        <is>
          <t>Tunghua</t>
        </is>
      </c>
      <c r="B28" t="inlineStr">
        <is>
          <t>M T T Y</t>
        </is>
      </c>
    </row>
    <row r="30">
      <c r="A30" s="2" t="inlineStr">
        <is>
          <t>Transcriber's notes</t>
        </is>
      </c>
    </row>
    <row r="31">
      <c r="A31" t="inlineStr">
        <is>
          <t>Printed in two side-by-side blocks; merged in reading order.</t>
        </is>
      </c>
    </row>
    <row r="32">
      <c r="A32" t="inlineStr">
        <is>
          <t>Hsinking, Chinchow and Yingkow each have two call signs bracketed together (identical as printed, presumably two transmitters); Dairen has three bracketed call signs, the last two labelled '(shortwave)' — the '(shortwave)' label sits beside the bracket, so its exact scope (2nd and 3rd lines) is an interpretation. One row per call sign; station name repeated.</t>
        </is>
      </c>
    </row>
    <row r="33">
      <c r="A33" t="inlineStr">
        <is>
          <t>22 call signs for 17 station names; text says broadcasting stations increased to 17.</t>
        </is>
      </c>
    </row>
  </sheetData>
  <hyperlinks>
    <hyperlink xmlns:r="http://schemas.openxmlformats.org/officeDocument/2006/relationships" ref="A4" r:id="rId1"/>
  </hyperlink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Immigration Movement from North China</t>
        </is>
      </c>
    </row>
    <row r="2">
      <c r="A2" t="inlineStr">
        <is>
          <t>Labor · printed pp. 631, 632</t>
        </is>
      </c>
    </row>
    <row r="3">
      <c r="A3" s="3" t="inlineStr">
        <is>
          <t>← Contents</t>
        </is>
      </c>
    </row>
    <row r="5">
      <c r="A5" s="5" t="inlineStr">
        <is>
          <t>Year</t>
        </is>
      </c>
      <c r="B5" s="5" t="inlineStr">
        <is>
          <t>Immigrants who entered Manchuria</t>
        </is>
      </c>
      <c r="C5" s="5" t="inlineStr">
        <is>
          <t>Immigrants who left for North China</t>
        </is>
      </c>
      <c r="D5" s="5" t="inlineStr">
        <is>
          <t>Immigrants staying in Manchoukuo</t>
        </is>
      </c>
      <c r="E5" s="5" t="inlineStr">
        <is>
          <t>Percentage</t>
        </is>
      </c>
    </row>
    <row r="6">
      <c r="A6" s="9" t="n">
        <v>1925</v>
      </c>
      <c r="B6" s="6" t="n">
        <v>479475</v>
      </c>
      <c r="C6" s="6" t="n">
        <v>193093</v>
      </c>
      <c r="D6" s="6" t="n">
        <v>286382</v>
      </c>
      <c r="E6" t="inlineStr">
        <is>
          <t>59.7%</t>
        </is>
      </c>
    </row>
    <row r="7">
      <c r="A7" s="9" t="n">
        <v>1926</v>
      </c>
      <c r="B7" s="6" t="n">
        <v>646617</v>
      </c>
      <c r="C7" s="6" t="n">
        <v>272453</v>
      </c>
      <c r="D7" s="6" t="n">
        <v>374164</v>
      </c>
      <c r="E7" s="8" t="n">
        <v>57.9</v>
      </c>
    </row>
    <row r="8">
      <c r="A8" s="9" t="n">
        <v>1927</v>
      </c>
      <c r="B8" s="6" t="n">
        <v>1043772</v>
      </c>
      <c r="C8" s="6" t="n">
        <v>281295</v>
      </c>
      <c r="D8" s="6" t="n">
        <v>762477</v>
      </c>
      <c r="E8" s="8" t="n">
        <v>73.09999999999999</v>
      </c>
    </row>
    <row r="9">
      <c r="A9" s="9" t="n">
        <v>1928</v>
      </c>
      <c r="B9" s="6" t="n">
        <v>967154</v>
      </c>
      <c r="C9" s="6" t="n">
        <v>342979</v>
      </c>
      <c r="D9" s="6" t="n">
        <v>624175</v>
      </c>
      <c r="E9" s="8" t="n">
        <v>64.5</v>
      </c>
    </row>
    <row r="10">
      <c r="A10" s="9" t="n">
        <v>1929</v>
      </c>
      <c r="B10" s="6" t="n">
        <v>941661</v>
      </c>
      <c r="C10" s="6" t="n">
        <v>541254</v>
      </c>
      <c r="D10" s="6" t="n">
        <v>400407</v>
      </c>
      <c r="E10" s="8" t="n">
        <v>42.5</v>
      </c>
    </row>
    <row r="11">
      <c r="A11" s="9" t="n">
        <v>1930</v>
      </c>
      <c r="B11" s="6" t="n">
        <v>673392</v>
      </c>
      <c r="C11" s="6" t="n">
        <v>439654</v>
      </c>
      <c r="D11" s="6" t="n">
        <v>233738</v>
      </c>
      <c r="E11" s="8" t="n">
        <v>34.7</v>
      </c>
    </row>
    <row r="12">
      <c r="A12" s="9" t="n">
        <v>1931</v>
      </c>
      <c r="B12" s="6" t="n">
        <v>416825</v>
      </c>
      <c r="C12" s="6" t="n">
        <v>402809</v>
      </c>
      <c r="D12" s="6" t="n">
        <v>14016</v>
      </c>
      <c r="E12" s="8" t="n">
        <v>3.4</v>
      </c>
    </row>
    <row r="13">
      <c r="A13" s="9" t="n">
        <v>1932</v>
      </c>
      <c r="B13" s="6" t="n">
        <v>372629</v>
      </c>
      <c r="C13" s="6" t="n">
        <v>448905</v>
      </c>
      <c r="D13" t="inlineStr">
        <is>
          <t>–76,276</t>
        </is>
      </c>
      <c r="E13" t="inlineStr">
        <is>
          <t>—</t>
        </is>
      </c>
    </row>
    <row r="14">
      <c r="A14" s="9" t="n">
        <v>1933</v>
      </c>
      <c r="B14" s="6" t="n">
        <v>568767</v>
      </c>
      <c r="C14" s="6" t="n">
        <v>447523</v>
      </c>
      <c r="D14" s="6" t="n">
        <v>121244</v>
      </c>
      <c r="E14" s="8" t="n">
        <v>21.3</v>
      </c>
    </row>
    <row r="15">
      <c r="A15" s="9" t="n">
        <v>1934</v>
      </c>
      <c r="B15" s="6" t="n">
        <v>627322</v>
      </c>
      <c r="C15" s="6" t="n">
        <v>399571</v>
      </c>
      <c r="D15" s="6" t="n">
        <v>227751</v>
      </c>
      <c r="E15" s="8" t="n">
        <v>36.3</v>
      </c>
    </row>
    <row r="16">
      <c r="A16" t="inlineStr">
        <is>
          <t>Total</t>
        </is>
      </c>
      <c r="B16" s="6" t="n">
        <v>6737614</v>
      </c>
      <c r="C16" s="6" t="n">
        <v>3769536</v>
      </c>
      <c r="D16" s="6" t="n">
        <v>2968078</v>
      </c>
      <c r="E16" s="8" t="n">
        <v>44.1</v>
      </c>
    </row>
    <row r="17">
      <c r="A17" s="9" t="n">
        <v>1935</v>
      </c>
      <c r="B17" s="6" t="n">
        <v>444540</v>
      </c>
      <c r="C17" s="6" t="n">
        <v>420314</v>
      </c>
      <c r="D17" s="6" t="n">
        <v>24226</v>
      </c>
      <c r="E17" s="8" t="n">
        <v>54.5</v>
      </c>
    </row>
    <row r="18">
      <c r="A18" s="9" t="n">
        <v>1936</v>
      </c>
      <c r="B18" s="6" t="n">
        <v>364149</v>
      </c>
      <c r="C18" s="6" t="n">
        <v>382966</v>
      </c>
      <c r="D18" t="inlineStr">
        <is>
          <t>–18,817</t>
        </is>
      </c>
      <c r="E18" t="inlineStr">
        <is>
          <t>—</t>
        </is>
      </c>
    </row>
    <row r="19">
      <c r="A19" s="9" t="n">
        <v>1937</v>
      </c>
      <c r="B19" s="6" t="n">
        <v>323689</v>
      </c>
      <c r="C19" s="6" t="n">
        <v>259093</v>
      </c>
      <c r="D19" s="6" t="n">
        <v>64596</v>
      </c>
      <c r="E19" s="8" t="n">
        <v>20</v>
      </c>
    </row>
    <row r="20">
      <c r="A20" s="9" t="n">
        <v>1938</v>
      </c>
      <c r="B20" s="6" t="n">
        <v>492376</v>
      </c>
      <c r="C20" s="6" t="n">
        <v>252795</v>
      </c>
      <c r="D20" s="6" t="n">
        <v>239581</v>
      </c>
      <c r="E20" s="8" t="n">
        <v>48.7</v>
      </c>
    </row>
    <row r="21">
      <c r="A21" s="9" t="n">
        <v>1939</v>
      </c>
      <c r="B21" s="6" t="n">
        <v>985669</v>
      </c>
      <c r="C21" s="6" t="n">
        <v>390967</v>
      </c>
      <c r="D21" s="6" t="n">
        <v>594702</v>
      </c>
      <c r="E21" s="8" t="n">
        <v>60.3</v>
      </c>
    </row>
    <row r="22">
      <c r="A22" s="9" t="n">
        <v>1940</v>
      </c>
      <c r="B22" s="6" t="n">
        <v>1300907</v>
      </c>
      <c r="C22" s="6" t="n">
        <v>847075</v>
      </c>
      <c r="D22" s="6" t="n">
        <v>453832</v>
      </c>
      <c r="E22" s="8" t="n">
        <v>34.9</v>
      </c>
    </row>
    <row r="23">
      <c r="A23" t="inlineStr">
        <is>
          <t>Grand Total</t>
        </is>
      </c>
      <c r="B23" s="6" t="n">
        <v>10156568</v>
      </c>
      <c r="C23" s="6" t="n">
        <v>6069951</v>
      </c>
      <c r="D23" s="6" t="n">
        <v>4086617</v>
      </c>
      <c r="E23" s="8" t="n">
        <v>40.2</v>
      </c>
    </row>
    <row r="25">
      <c r="A25" s="2" t="inlineStr">
        <is>
          <t>Transcriber's notes</t>
        </is>
      </c>
    </row>
    <row r="26">
      <c r="A26" t="inlineStr">
        <is>
          <t>Row 1935: staying/entered = 5.4% vs printed 54.5 — does NOT reconcile</t>
        </is>
      </c>
    </row>
    <row r="27">
      <c r="A27" t="inlineStr">
        <is>
          <t>Entered − left = staying, and percentage = staying/entered, checked for every row; all rows not listed above reconcile.</t>
        </is>
      </c>
    </row>
    <row r="28">
      <c r="A28" t="inlineStr">
        <is>
          <t>Total (1925-34) entered 6,737,614: parts sum to 6,737,614 — reconciles</t>
        </is>
      </c>
    </row>
    <row r="29">
      <c r="A29" t="inlineStr">
        <is>
          <t>Grand Total entered 10,156,568: Total + 1935-40 = 10,648,944 — does NOT reconcile (diff -492,376)</t>
        </is>
      </c>
    </row>
    <row r="30">
      <c r="A30" t="inlineStr">
        <is>
          <t>Total (1925-34) left 3,769,536: parts sum to 3,769,536 — reconciles</t>
        </is>
      </c>
    </row>
    <row r="31">
      <c r="A31" t="inlineStr">
        <is>
          <t>Grand Total left 6,069,951: Total + 1935-40 = 6,322,746 — does NOT reconcile (diff -252,795)</t>
        </is>
      </c>
    </row>
    <row r="32">
      <c r="A32" t="inlineStr">
        <is>
          <t>Total (1925-34) staying 2,968,078: parts sum to 2,968,078 — reconciles</t>
        </is>
      </c>
    </row>
    <row r="33">
      <c r="A33" t="inlineStr">
        <is>
          <t>Grand Total staying 4,086,617: Total + 1935-40 = 4,326,198 — does NOT reconcile (diff -239,581)</t>
        </is>
      </c>
    </row>
    <row r="34">
      <c r="A34" t="inlineStr">
        <is>
          <t>Grand Total fails in all three columns by exactly the 1938 row (492,376 / 252,795 / 239,581): the printed Grand Total = Total 1925-34 + 1935-37 + 1939-40, i.e. it omits 1938. Figures re-read; as printed.</t>
        </is>
      </c>
    </row>
    <row r="35">
      <c r="A35" t="inlineStr">
        <is>
          <t>1935 Percentage printed 54.5 (clearly legible); 24,226/444,540 = 5.4%, so the printed figure appears to be a misprint — transcribed as printed.</t>
        </is>
      </c>
    </row>
    <row r="36">
      <c r="A36" t="inlineStr">
        <is>
          <t>Negative figures printed with a leading en-dash ('–76,276', '–18,817'); transcribed with '–'.</t>
        </is>
      </c>
    </row>
    <row r="37">
      <c r="A37" t="inlineStr">
        <is>
          <t>Continued on p. 632 under '(Continued)' with the same headings; merged. On p. 632 the Percentage column is printed staggered half a line lower than the other columns; aligned by order (48.7/60.3/34.9/40.2 match computed percentages for 1938/1939/1940/Grand Total).</t>
        </is>
      </c>
    </row>
  </sheetData>
  <hyperlinks>
    <hyperlink xmlns:r="http://schemas.openxmlformats.org/officeDocument/2006/relationships" ref="A3" r:id="rId1"/>
  </hyperlink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[Immigrants admitted and identity papers issued by the Tatung Company, 1935-1940]</t>
        </is>
      </c>
    </row>
    <row r="2">
      <c r="A2" t="inlineStr">
        <is>
          <t>Labor · printed pp. 633</t>
        </is>
      </c>
    </row>
    <row r="3">
      <c r="A3" s="3" t="inlineStr">
        <is>
          <t>← Contents</t>
        </is>
      </c>
    </row>
    <row r="5">
      <c r="A5" s="5" t="inlineStr">
        <is>
          <t>Year</t>
        </is>
      </c>
      <c r="B5" s="5" t="inlineStr">
        <is>
          <t>No. of immigrants admitted</t>
        </is>
      </c>
      <c r="C5" s="5" t="inlineStr">
        <is>
          <t>No. of identity papers issued</t>
        </is>
      </c>
    </row>
    <row r="6">
      <c r="A6" s="9" t="n">
        <v>1935</v>
      </c>
      <c r="B6" s="6" t="n">
        <v>440000</v>
      </c>
      <c r="C6" s="6" t="n">
        <v>444540</v>
      </c>
    </row>
    <row r="7">
      <c r="A7" s="9" t="n">
        <v>1936</v>
      </c>
      <c r="B7" s="6" t="n">
        <v>360000</v>
      </c>
      <c r="C7" s="6" t="n">
        <v>364149</v>
      </c>
    </row>
    <row r="8">
      <c r="A8" t="inlineStr">
        <is>
          <t>*1937</t>
        </is>
      </c>
      <c r="B8" s="6" t="n">
        <v>380000</v>
      </c>
      <c r="C8" s="6" t="n">
        <v>323689</v>
      </c>
    </row>
    <row r="9">
      <c r="A9" s="9" t="n">
        <v>1938</v>
      </c>
      <c r="B9" s="6" t="n">
        <v>470000</v>
      </c>
      <c r="C9" s="6" t="n">
        <v>482376</v>
      </c>
    </row>
    <row r="10">
      <c r="A10" s="9" t="n">
        <v>1939</v>
      </c>
      <c r="B10" s="6" t="n">
        <v>910000</v>
      </c>
      <c r="C10" s="6" t="n">
        <v>1012148</v>
      </c>
    </row>
    <row r="11">
      <c r="A11" s="9" t="n">
        <v>1940</v>
      </c>
      <c r="B11" s="6" t="n">
        <v>1400000</v>
      </c>
      <c r="C11" t="inlineStr">
        <is>
          <t>—</t>
        </is>
      </c>
    </row>
    <row r="13">
      <c r="A13" s="2" t="inlineStr">
        <is>
          <t>Footnotes</t>
        </is>
      </c>
    </row>
    <row r="14">
      <c r="A14" t="inlineStr">
        <is>
          <t>*China Incident broke out in July.</t>
        </is>
      </c>
    </row>
    <row r="16">
      <c r="A16" s="2" t="inlineStr">
        <is>
          <t>Transcriber's notes</t>
        </is>
      </c>
    </row>
    <row r="17">
      <c r="A17" t="inlineStr">
        <is>
          <t>Unnumbered table; no totals printed.</t>
        </is>
      </c>
    </row>
    <row r="18">
      <c r="A18" t="inlineStr">
        <is>
          <t>'No. of identity papers issued' for 1935-1938 equal the 'Immigrants who entered Manchuria' figures of Table 1 — as printed.</t>
        </is>
      </c>
    </row>
  </sheetData>
  <hyperlinks>
    <hyperlink xmlns:r="http://schemas.openxmlformats.org/officeDocument/2006/relationships" ref="A3" r:id="rId1"/>
  </hyperlink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Daily Standard Wages for Male Workers</t>
        </is>
      </c>
    </row>
    <row r="2">
      <c r="A2" t="inlineStr">
        <is>
          <t>Labor · printed pp. 635, 636</t>
        </is>
      </c>
    </row>
    <row r="3">
      <c r="A3" t="inlineStr">
        <is>
          <t>(Unit: Yuan)</t>
        </is>
      </c>
    </row>
    <row r="4">
      <c r="A4" s="3" t="inlineStr">
        <is>
          <t>← Contents</t>
        </is>
      </c>
    </row>
    <row r="6">
      <c r="A6" s="5" t="inlineStr">
        <is>
          <t>Locality</t>
        </is>
      </c>
      <c r="B6" s="5" t="inlineStr">
        <is>
          <t>1st Class</t>
        </is>
      </c>
      <c r="C6" s="5" t="inlineStr">
        <is>
          <t>2nd Class</t>
        </is>
      </c>
      <c r="D6" s="5" t="inlineStr">
        <is>
          <t>3rd Class</t>
        </is>
      </c>
      <c r="E6" s="5" t="inlineStr">
        <is>
          <t>4th Class</t>
        </is>
      </c>
    </row>
    <row r="7">
      <c r="A7" t="inlineStr">
        <is>
          <t>Jehol</t>
        </is>
      </c>
      <c r="B7" s="11" t="n">
        <v>0.75</v>
      </c>
      <c r="C7" s="11" t="n">
        <v>0.8</v>
      </c>
      <c r="D7" s="11" t="n">
        <v>0.85</v>
      </c>
      <c r="E7" t="inlineStr">
        <is>
          <t>—</t>
        </is>
      </c>
    </row>
    <row r="8">
      <c r="A8" t="inlineStr">
        <is>
          <t>Chinchow</t>
        </is>
      </c>
      <c r="B8" s="11" t="n">
        <v>0.8</v>
      </c>
      <c r="C8" s="11" t="n">
        <v>0.85</v>
      </c>
      <c r="D8" s="11" t="n">
        <v>0.9</v>
      </c>
      <c r="E8" t="inlineStr">
        <is>
          <t>—</t>
        </is>
      </c>
    </row>
    <row r="9">
      <c r="A9" t="inlineStr">
        <is>
          <t>Antung</t>
        </is>
      </c>
      <c r="B9" s="11" t="n">
        <v>0.8</v>
      </c>
      <c r="C9" s="11" t="n">
        <v>0.85</v>
      </c>
      <c r="D9" s="11" t="n">
        <v>0.9</v>
      </c>
      <c r="E9" t="inlineStr">
        <is>
          <t>—</t>
        </is>
      </c>
    </row>
    <row r="10">
      <c r="A10" t="inlineStr">
        <is>
          <t>Fengtien</t>
        </is>
      </c>
      <c r="B10" s="11" t="n">
        <v>0.85</v>
      </c>
      <c r="C10" s="11" t="n">
        <v>0.9</v>
      </c>
      <c r="D10" s="11" t="n">
        <v>0.95</v>
      </c>
      <c r="E10" s="11" t="n">
        <v>1</v>
      </c>
    </row>
    <row r="11">
      <c r="A11" t="inlineStr">
        <is>
          <t>Tunghua</t>
        </is>
      </c>
      <c r="B11" s="11" t="n">
        <v>0.95</v>
      </c>
      <c r="C11" s="11" t="n">
        <v>1</v>
      </c>
      <c r="D11" s="11" t="n">
        <v>1.05</v>
      </c>
      <c r="E11" t="inlineStr">
        <is>
          <t>—</t>
        </is>
      </c>
    </row>
    <row r="12">
      <c r="A12" t="inlineStr">
        <is>
          <t>Hsinking</t>
        </is>
      </c>
      <c r="B12" s="11" t="n">
        <v>1</v>
      </c>
      <c r="C12" t="inlineStr">
        <is>
          <t>—</t>
        </is>
      </c>
      <c r="D12" t="inlineStr">
        <is>
          <t>—</t>
        </is>
      </c>
      <c r="E12" t="inlineStr">
        <is>
          <t>—</t>
        </is>
      </c>
    </row>
    <row r="13">
      <c r="A13" t="inlineStr">
        <is>
          <t>Kirin</t>
        </is>
      </c>
      <c r="B13" s="11" t="n">
        <v>1</v>
      </c>
      <c r="C13" s="11" t="n">
        <v>1.05</v>
      </c>
      <c r="D13" s="11" t="n">
        <v>1.1</v>
      </c>
      <c r="E13" t="inlineStr">
        <is>
          <t>—</t>
        </is>
      </c>
    </row>
    <row r="14">
      <c r="A14" t="inlineStr">
        <is>
          <t>Chientao</t>
        </is>
      </c>
      <c r="B14" s="11" t="n">
        <v>1.1</v>
      </c>
      <c r="C14" s="11" t="n">
        <v>1.15</v>
      </c>
      <c r="D14" s="11" t="n">
        <v>1.2</v>
      </c>
      <c r="E14" t="inlineStr">
        <is>
          <t>—</t>
        </is>
      </c>
    </row>
    <row r="15">
      <c r="A15" t="inlineStr">
        <is>
          <t>Pinkiang</t>
        </is>
      </c>
      <c r="B15" s="11" t="n">
        <v>1.1</v>
      </c>
      <c r="C15" s="11" t="n">
        <v>1.15</v>
      </c>
      <c r="D15" s="11" t="n">
        <v>1.2</v>
      </c>
      <c r="E15" t="inlineStr">
        <is>
          <t>—</t>
        </is>
      </c>
    </row>
    <row r="16">
      <c r="A16" t="inlineStr">
        <is>
          <t>Mutankiang</t>
        </is>
      </c>
      <c r="B16" s="11" t="n">
        <v>1.2</v>
      </c>
      <c r="C16" s="11" t="n">
        <v>1.25</v>
      </c>
      <c r="D16" s="11" t="n">
        <v>1.3</v>
      </c>
      <c r="E16" t="inlineStr">
        <is>
          <t>—</t>
        </is>
      </c>
    </row>
    <row r="17">
      <c r="A17" t="inlineStr">
        <is>
          <t>Sankiang</t>
        </is>
      </c>
      <c r="B17" s="11" t="n">
        <v>1.25</v>
      </c>
      <c r="C17" s="11" t="n">
        <v>1.3</v>
      </c>
      <c r="D17" s="11" t="n">
        <v>1.35</v>
      </c>
      <c r="E17" s="11" t="n">
        <v>1.4</v>
      </c>
    </row>
    <row r="18">
      <c r="A18" t="inlineStr">
        <is>
          <t>Tungan</t>
        </is>
      </c>
      <c r="B18" s="11" t="n">
        <v>1.25</v>
      </c>
      <c r="C18" s="11" t="n">
        <v>1.3</v>
      </c>
      <c r="D18" s="11" t="n">
        <v>1.35</v>
      </c>
      <c r="E18" s="11" t="n">
        <v>1.4</v>
      </c>
    </row>
    <row r="19">
      <c r="A19" t="inlineStr">
        <is>
          <t>S. Hsingan</t>
        </is>
      </c>
      <c r="B19" s="11" t="n">
        <v>0.95</v>
      </c>
      <c r="C19" s="11" t="n">
        <v>1</v>
      </c>
      <c r="D19" s="11" t="n">
        <v>1.05</v>
      </c>
      <c r="E19" s="11" t="n">
        <v>1.1</v>
      </c>
    </row>
    <row r="20">
      <c r="A20" t="inlineStr">
        <is>
          <t>Lungkiang</t>
        </is>
      </c>
      <c r="B20" s="11" t="n">
        <v>1.05</v>
      </c>
      <c r="C20" s="11" t="n">
        <v>1.1</v>
      </c>
      <c r="D20" s="11" t="n">
        <v>1.15</v>
      </c>
      <c r="E20" s="11" t="n">
        <v>1.2</v>
      </c>
    </row>
    <row r="21">
      <c r="A21" t="inlineStr">
        <is>
          <t>Peian</t>
        </is>
      </c>
      <c r="B21" s="11" t="n">
        <v>1.15</v>
      </c>
      <c r="C21" s="11" t="n">
        <v>1.2</v>
      </c>
      <c r="D21" s="11" t="n">
        <v>1.25</v>
      </c>
      <c r="E21" s="11" t="n">
        <v>1.3</v>
      </c>
    </row>
    <row r="22">
      <c r="A22" t="inlineStr">
        <is>
          <t>E. Hsingan</t>
        </is>
      </c>
      <c r="B22" s="11" t="n">
        <v>1.15</v>
      </c>
      <c r="C22" s="11" t="n">
        <v>1.2</v>
      </c>
      <c r="D22" s="11" t="n">
        <v>1.25</v>
      </c>
      <c r="E22" s="11" t="n">
        <v>1.3</v>
      </c>
    </row>
    <row r="23">
      <c r="A23" t="inlineStr">
        <is>
          <t>Heiho</t>
        </is>
      </c>
      <c r="B23" s="11" t="n">
        <v>1.3</v>
      </c>
      <c r="C23" s="11" t="n">
        <v>1.35</v>
      </c>
      <c r="D23" s="11" t="n">
        <v>1.4</v>
      </c>
      <c r="E23" s="11" t="n">
        <v>1.45</v>
      </c>
    </row>
    <row r="24">
      <c r="A24" t="inlineStr">
        <is>
          <t>N. Hsingan</t>
        </is>
      </c>
      <c r="B24" s="11" t="n">
        <v>1.3</v>
      </c>
      <c r="C24" s="11" t="n">
        <v>1.35</v>
      </c>
      <c r="D24" s="11" t="n">
        <v>1.4</v>
      </c>
      <c r="E24" s="11" t="n">
        <v>1.45</v>
      </c>
    </row>
    <row r="26">
      <c r="A26" s="2" t="inlineStr">
        <is>
          <t>Transcriber's notes</t>
        </is>
      </c>
    </row>
    <row r="27">
      <c r="A27" t="inlineStr">
        <is>
          <t>No totals printed.</t>
        </is>
      </c>
    </row>
    <row r="28">
      <c r="A28" t="inlineStr">
        <is>
          <t>Continued on p. 636 (IMG_5776) under '(Continued)'; merged. On p. 636 the 4th Class column is printed staggered half a line lower; aligned by order.</t>
        </is>
      </c>
    </row>
  </sheetData>
  <hyperlinks>
    <hyperlink xmlns:r="http://schemas.openxmlformats.org/officeDocument/2006/relationships" ref="A4" r:id="rId1"/>
  </hyperlink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G7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General Indices of Cost of Living</t>
        </is>
      </c>
    </row>
    <row r="2">
      <c r="A2" t="inlineStr">
        <is>
          <t>Labor · printed pp. 643, 644</t>
        </is>
      </c>
    </row>
    <row r="3">
      <c r="A3" s="3" t="inlineStr">
        <is>
          <t>← Contents</t>
        </is>
      </c>
    </row>
    <row r="5">
      <c r="A5" s="2" t="inlineStr">
        <is>
          <t>(A) Hsinking</t>
        </is>
      </c>
    </row>
    <row r="6">
      <c r="A6" s="5" t="inlineStr">
        <is>
          <t>Month</t>
        </is>
      </c>
      <c r="B6" s="5" t="inlineStr">
        <is>
          <t>1936</t>
        </is>
      </c>
      <c r="C6" s="5" t="inlineStr">
        <is>
          <t>1937</t>
        </is>
      </c>
      <c r="D6" s="5" t="inlineStr">
        <is>
          <t>1938</t>
        </is>
      </c>
      <c r="E6" s="5" t="inlineStr">
        <is>
          <t>1939</t>
        </is>
      </c>
      <c r="F6" s="5" t="inlineStr">
        <is>
          <t>1940</t>
        </is>
      </c>
      <c r="G6" s="5" t="inlineStr">
        <is>
          <t>1941</t>
        </is>
      </c>
    </row>
    <row r="7">
      <c r="A7" t="inlineStr">
        <is>
          <t>Jan.</t>
        </is>
      </c>
      <c r="B7" s="11" t="n">
        <v>97.88</v>
      </c>
      <c r="C7" s="11" t="n">
        <v>105.27</v>
      </c>
      <c r="D7" s="11" t="n">
        <v>114.02</v>
      </c>
      <c r="E7" s="11" t="n">
        <v>136.19</v>
      </c>
      <c r="F7" s="11" t="n">
        <v>184.54</v>
      </c>
      <c r="G7" s="11" t="n">
        <v>237.29</v>
      </c>
    </row>
    <row r="8">
      <c r="A8" t="inlineStr">
        <is>
          <t>Feb.</t>
        </is>
      </c>
      <c r="B8" s="11" t="n">
        <v>98.16</v>
      </c>
      <c r="C8" s="11" t="n">
        <v>106.46</v>
      </c>
      <c r="D8" s="11" t="n">
        <v>117.07</v>
      </c>
      <c r="E8" s="11" t="n">
        <v>141.95</v>
      </c>
      <c r="F8" s="11" t="n">
        <v>188.87</v>
      </c>
      <c r="G8" s="11" t="n">
        <v>239.66</v>
      </c>
    </row>
    <row r="9">
      <c r="A9" t="inlineStr">
        <is>
          <t>Mar.</t>
        </is>
      </c>
      <c r="B9" s="11" t="n">
        <v>98.16</v>
      </c>
      <c r="C9" s="11" t="n">
        <v>105.83</v>
      </c>
      <c r="D9" s="11" t="n">
        <v>117.68</v>
      </c>
      <c r="E9" s="11" t="n">
        <v>147.5</v>
      </c>
      <c r="F9" s="11" t="n">
        <v>194.91</v>
      </c>
      <c r="G9" s="11" t="n">
        <v>244.67</v>
      </c>
    </row>
    <row r="10">
      <c r="A10" t="inlineStr">
        <is>
          <t>Apr.</t>
        </is>
      </c>
      <c r="B10" s="11" t="n">
        <v>98.3</v>
      </c>
      <c r="C10" s="11" t="n">
        <v>106.65</v>
      </c>
      <c r="D10" s="11" t="n">
        <v>117.41</v>
      </c>
      <c r="E10" s="11" t="n">
        <v>148.96</v>
      </c>
      <c r="F10" s="11" t="n">
        <v>205.48</v>
      </c>
      <c r="G10" s="11" t="n">
        <v>244.58</v>
      </c>
    </row>
    <row r="11">
      <c r="A11" t="inlineStr">
        <is>
          <t>May</t>
        </is>
      </c>
      <c r="B11" s="11" t="n">
        <v>97.92</v>
      </c>
      <c r="C11" s="11" t="n">
        <v>105.87</v>
      </c>
      <c r="D11" s="11" t="n">
        <v>120.97</v>
      </c>
      <c r="E11" s="11" t="n">
        <v>154.19</v>
      </c>
      <c r="F11" s="11" t="n">
        <v>218.61</v>
      </c>
      <c r="G11" s="11" t="n">
        <v>245.68</v>
      </c>
    </row>
    <row r="12">
      <c r="A12" t="inlineStr">
        <is>
          <t>June</t>
        </is>
      </c>
      <c r="B12" s="11" t="n">
        <v>98.54000000000001</v>
      </c>
      <c r="C12" s="11" t="n">
        <v>105.64</v>
      </c>
      <c r="D12" s="11" t="n">
        <v>126.48</v>
      </c>
      <c r="E12" s="11" t="n">
        <v>156.31</v>
      </c>
      <c r="F12" s="11" t="n">
        <v>222.19</v>
      </c>
      <c r="G12" s="11" t="n">
        <v>246.04</v>
      </c>
    </row>
    <row r="13">
      <c r="A13" t="inlineStr">
        <is>
          <t>July</t>
        </is>
      </c>
      <c r="B13" s="11" t="n">
        <v>100.75</v>
      </c>
      <c r="C13" s="11" t="n">
        <v>105.8</v>
      </c>
      <c r="D13" s="11" t="n">
        <v>127.61</v>
      </c>
      <c r="E13" s="11" t="n">
        <v>158.01</v>
      </c>
      <c r="F13" s="11" t="n">
        <v>225.39</v>
      </c>
      <c r="G13" s="11" t="n">
        <v>247.99</v>
      </c>
    </row>
    <row r="14">
      <c r="A14" t="inlineStr">
        <is>
          <t>Aug.</t>
        </is>
      </c>
      <c r="B14" s="11" t="n">
        <v>100.74</v>
      </c>
      <c r="C14" s="11" t="n">
        <v>105.32</v>
      </c>
      <c r="D14" s="11" t="n">
        <v>126.82</v>
      </c>
      <c r="E14" s="11" t="n">
        <v>159.19</v>
      </c>
      <c r="F14" s="11" t="n">
        <v>227.57</v>
      </c>
      <c r="G14" s="11" t="n">
        <v>248.31</v>
      </c>
    </row>
    <row r="15">
      <c r="A15" t="inlineStr">
        <is>
          <t>Sept.</t>
        </is>
      </c>
      <c r="B15" s="11" t="n">
        <v>101.05</v>
      </c>
      <c r="C15" s="11" t="n">
        <v>107.59</v>
      </c>
      <c r="D15" s="11" t="n">
        <v>129.31</v>
      </c>
      <c r="E15" s="11" t="n">
        <v>164.7</v>
      </c>
      <c r="F15" s="11" t="n">
        <v>226.45</v>
      </c>
      <c r="G15" s="11" t="n">
        <v>256.77</v>
      </c>
    </row>
    <row r="16">
      <c r="A16" t="inlineStr">
        <is>
          <t>Oct.</t>
        </is>
      </c>
      <c r="B16" s="11" t="n">
        <v>102.16</v>
      </c>
      <c r="C16" s="11" t="n">
        <v>108.5</v>
      </c>
      <c r="D16" s="11" t="n">
        <v>132.45</v>
      </c>
      <c r="E16" s="11" t="n">
        <v>175.73</v>
      </c>
      <c r="F16" s="11" t="n">
        <v>228.68</v>
      </c>
      <c r="G16" s="11" t="n">
        <v>261.77</v>
      </c>
    </row>
    <row r="17">
      <c r="A17" t="inlineStr">
        <is>
          <t>Nov.</t>
        </is>
      </c>
      <c r="B17" s="11" t="n">
        <v>101.19</v>
      </c>
      <c r="C17" s="11" t="n">
        <v>108.97</v>
      </c>
      <c r="D17" s="11" t="n">
        <v>131.47</v>
      </c>
      <c r="E17" s="11" t="n">
        <v>178.43</v>
      </c>
      <c r="F17" s="11" t="n">
        <v>230.94</v>
      </c>
      <c r="G17" t="inlineStr"/>
    </row>
    <row r="18">
      <c r="A18" t="inlineStr">
        <is>
          <t>Dec.</t>
        </is>
      </c>
      <c r="B18" s="11" t="n">
        <v>104.39</v>
      </c>
      <c r="C18" s="11" t="n">
        <v>109.18</v>
      </c>
      <c r="D18" s="11" t="n">
        <v>133.22</v>
      </c>
      <c r="E18" s="11" t="n">
        <v>184.94</v>
      </c>
      <c r="F18" s="11" t="n">
        <v>232.98</v>
      </c>
      <c r="G18" t="inlineStr"/>
    </row>
    <row r="19">
      <c r="A19" t="inlineStr">
        <is>
          <t>Ave.</t>
        </is>
      </c>
      <c r="B19" s="11" t="n">
        <v>100</v>
      </c>
      <c r="C19" s="11" t="n">
        <v>106.18</v>
      </c>
      <c r="D19" s="11" t="n">
        <v>124.54</v>
      </c>
      <c r="E19" s="11" t="n">
        <v>158.84</v>
      </c>
      <c r="F19" s="11" t="n">
        <v>215.55</v>
      </c>
      <c r="G19" t="inlineStr"/>
    </row>
    <row r="21">
      <c r="A21" s="2" t="inlineStr">
        <is>
          <t>(B) Mukden</t>
        </is>
      </c>
    </row>
    <row r="22">
      <c r="A22" s="5" t="inlineStr">
        <is>
          <t>Month</t>
        </is>
      </c>
      <c r="B22" s="5" t="inlineStr">
        <is>
          <t>1936</t>
        </is>
      </c>
      <c r="C22" s="5" t="inlineStr">
        <is>
          <t>1937</t>
        </is>
      </c>
      <c r="D22" s="5" t="inlineStr">
        <is>
          <t>1938</t>
        </is>
      </c>
      <c r="E22" s="5" t="inlineStr">
        <is>
          <t>1939</t>
        </is>
      </c>
      <c r="F22" s="5" t="inlineStr">
        <is>
          <t>1940</t>
        </is>
      </c>
      <c r="G22" s="5" t="inlineStr">
        <is>
          <t>1941</t>
        </is>
      </c>
    </row>
    <row r="23">
      <c r="A23" t="inlineStr">
        <is>
          <t>Jan.</t>
        </is>
      </c>
      <c r="B23" s="11" t="n">
        <v>97.98999999999999</v>
      </c>
      <c r="C23" s="11" t="n">
        <v>105.24</v>
      </c>
      <c r="D23" s="11" t="n">
        <v>117.08</v>
      </c>
      <c r="E23" s="11" t="n">
        <v>140.46</v>
      </c>
      <c r="F23" s="11" t="n">
        <v>197.16</v>
      </c>
      <c r="G23" s="11" t="n">
        <v>243.76</v>
      </c>
    </row>
    <row r="24">
      <c r="A24" t="inlineStr">
        <is>
          <t>Feb.</t>
        </is>
      </c>
      <c r="B24" s="11" t="n">
        <v>98.17</v>
      </c>
      <c r="C24" s="11" t="n">
        <v>105.66</v>
      </c>
      <c r="D24" s="11" t="n">
        <v>118.44</v>
      </c>
      <c r="E24" s="11" t="n">
        <v>143.7</v>
      </c>
      <c r="F24" s="11" t="n">
        <v>201.04</v>
      </c>
      <c r="G24" s="11" t="n">
        <v>243.76</v>
      </c>
    </row>
    <row r="25">
      <c r="A25" t="inlineStr">
        <is>
          <t>Mar.</t>
        </is>
      </c>
      <c r="B25" s="11" t="n">
        <v>98.19</v>
      </c>
      <c r="C25" s="11" t="n">
        <v>106.01</v>
      </c>
      <c r="D25" s="11" t="n">
        <v>119.85</v>
      </c>
      <c r="E25" s="11" t="n">
        <v>151.57</v>
      </c>
      <c r="F25" s="11" t="n">
        <v>210.19</v>
      </c>
      <c r="G25" s="11" t="n">
        <v>243.89</v>
      </c>
    </row>
    <row r="26">
      <c r="A26" t="inlineStr">
        <is>
          <t>Apr.</t>
        </is>
      </c>
      <c r="B26" s="11" t="n">
        <v>98.89</v>
      </c>
      <c r="C26" s="11" t="n">
        <v>106.38</v>
      </c>
      <c r="D26" s="11" t="n">
        <v>120.27</v>
      </c>
      <c r="E26" s="11" t="n">
        <v>153.05</v>
      </c>
      <c r="F26" s="11" t="n">
        <v>220.16</v>
      </c>
      <c r="G26" s="11" t="n">
        <v>242.84</v>
      </c>
    </row>
    <row r="27">
      <c r="A27" t="inlineStr">
        <is>
          <t>May</t>
        </is>
      </c>
      <c r="B27" s="11" t="n">
        <v>99.8</v>
      </c>
      <c r="C27" s="11" t="n">
        <v>106.01</v>
      </c>
      <c r="D27" s="11" t="n">
        <v>124.86</v>
      </c>
      <c r="E27" s="11" t="n">
        <v>153.64</v>
      </c>
      <c r="F27" s="11" t="n">
        <v>223.7</v>
      </c>
      <c r="G27" s="11" t="n">
        <v>244.4</v>
      </c>
    </row>
    <row r="28">
      <c r="A28" t="inlineStr">
        <is>
          <t>June</t>
        </is>
      </c>
      <c r="B28" s="11" t="n">
        <v>99.13</v>
      </c>
      <c r="C28" s="11" t="n">
        <v>104.57</v>
      </c>
      <c r="D28" s="11" t="n">
        <v>130.08</v>
      </c>
      <c r="E28" s="11" t="n">
        <v>164.65</v>
      </c>
      <c r="F28" s="11" t="n">
        <v>229.71</v>
      </c>
      <c r="G28" s="11" t="n">
        <v>247.95</v>
      </c>
    </row>
    <row r="29">
      <c r="A29" t="inlineStr">
        <is>
          <t>July</t>
        </is>
      </c>
      <c r="B29" s="11" t="n">
        <v>100</v>
      </c>
      <c r="C29" s="11" t="n">
        <v>105.65</v>
      </c>
      <c r="D29" s="11" t="n">
        <v>133.33</v>
      </c>
      <c r="E29" s="11" t="n">
        <v>168.63</v>
      </c>
      <c r="F29" s="11" t="n">
        <v>232.09</v>
      </c>
      <c r="G29" s="11" t="n">
        <v>250.85</v>
      </c>
    </row>
    <row r="30">
      <c r="A30" t="inlineStr">
        <is>
          <t>Aug.</t>
        </is>
      </c>
      <c r="B30" s="11" t="n">
        <v>100.15</v>
      </c>
      <c r="C30" s="11" t="n">
        <v>106.14</v>
      </c>
      <c r="D30" s="11" t="n">
        <v>135.84</v>
      </c>
      <c r="E30" s="11" t="n">
        <v>174.7</v>
      </c>
      <c r="F30" s="11" t="n">
        <v>233.1</v>
      </c>
      <c r="G30" s="11" t="n">
        <v>248.53</v>
      </c>
    </row>
    <row r="31">
      <c r="A31" t="inlineStr">
        <is>
          <t>Sept.</t>
        </is>
      </c>
      <c r="B31" s="11" t="n">
        <v>100.52</v>
      </c>
      <c r="C31" s="11" t="n">
        <v>108.39</v>
      </c>
      <c r="D31" s="11" t="n">
        <v>135.12</v>
      </c>
      <c r="E31" s="11" t="n">
        <v>180.42</v>
      </c>
      <c r="F31" s="11" t="n">
        <v>231.97</v>
      </c>
      <c r="G31" s="11" t="n">
        <v>253.34</v>
      </c>
    </row>
    <row r="32">
      <c r="A32" t="inlineStr">
        <is>
          <t>Oct.</t>
        </is>
      </c>
      <c r="B32" s="11" t="n">
        <v>101.9</v>
      </c>
      <c r="C32" s="11" t="n">
        <v>100.87</v>
      </c>
      <c r="D32" s="11" t="n">
        <v>138.18</v>
      </c>
      <c r="E32" s="11" t="n">
        <v>187.24</v>
      </c>
      <c r="F32" s="11" t="n">
        <v>232.3</v>
      </c>
      <c r="G32" s="11" t="n">
        <v>263.68</v>
      </c>
    </row>
    <row r="33">
      <c r="A33" t="inlineStr">
        <is>
          <t>Nov.</t>
        </is>
      </c>
      <c r="B33" s="11" t="n">
        <v>101.22</v>
      </c>
      <c r="C33" s="11" t="n">
        <v>111.27</v>
      </c>
      <c r="D33" s="11" t="n">
        <v>137.74</v>
      </c>
      <c r="E33" s="11" t="n">
        <v>189.85</v>
      </c>
      <c r="F33" s="11" t="n">
        <v>233.5</v>
      </c>
      <c r="G33" t="inlineStr"/>
    </row>
    <row r="34">
      <c r="A34" t="inlineStr">
        <is>
          <t>Dec.</t>
        </is>
      </c>
      <c r="B34" s="11" t="n">
        <v>103.95</v>
      </c>
      <c r="C34" s="11" t="n">
        <v>112.37</v>
      </c>
      <c r="D34" s="11" t="n">
        <v>137.43</v>
      </c>
      <c r="E34" s="11" t="n">
        <v>192.1</v>
      </c>
      <c r="F34" s="11" t="n">
        <v>243.76</v>
      </c>
      <c r="G34" t="inlineStr"/>
    </row>
    <row r="35">
      <c r="A35" t="inlineStr">
        <is>
          <t>Ave.</t>
        </is>
      </c>
      <c r="B35" s="11" t="n">
        <v>100</v>
      </c>
      <c r="C35" s="11" t="n">
        <v>107.3</v>
      </c>
      <c r="D35" s="11" t="n">
        <v>128.88</v>
      </c>
      <c r="E35" s="11" t="n">
        <v>187.12</v>
      </c>
      <c r="F35" s="11" t="n">
        <v>223.49</v>
      </c>
      <c r="G35" t="inlineStr"/>
    </row>
    <row r="37">
      <c r="A37" s="2" t="inlineStr">
        <is>
          <t>(C) Harbin</t>
        </is>
      </c>
    </row>
    <row r="38">
      <c r="A38" s="5" t="inlineStr">
        <is>
          <t>Month</t>
        </is>
      </c>
      <c r="B38" s="5" t="inlineStr">
        <is>
          <t>1936</t>
        </is>
      </c>
      <c r="C38" s="5" t="inlineStr">
        <is>
          <t>1937</t>
        </is>
      </c>
      <c r="D38" s="5" t="inlineStr">
        <is>
          <t>1938</t>
        </is>
      </c>
      <c r="E38" s="5" t="inlineStr">
        <is>
          <t>1939</t>
        </is>
      </c>
      <c r="F38" s="5" t="inlineStr">
        <is>
          <t>1940</t>
        </is>
      </c>
      <c r="G38" s="5" t="inlineStr">
        <is>
          <t>1941</t>
        </is>
      </c>
    </row>
    <row r="39">
      <c r="A39" t="inlineStr">
        <is>
          <t>Jan.</t>
        </is>
      </c>
      <c r="B39" s="11" t="n">
        <v>99.69</v>
      </c>
      <c r="C39" s="11" t="n">
        <v>104.39</v>
      </c>
      <c r="D39" s="11" t="n">
        <v>119.23</v>
      </c>
      <c r="E39" s="11" t="n">
        <v>135.9</v>
      </c>
      <c r="F39" s="11" t="n">
        <v>181.33</v>
      </c>
      <c r="G39" s="11" t="n">
        <v>287.24</v>
      </c>
    </row>
    <row r="40">
      <c r="A40" t="inlineStr">
        <is>
          <t>Feb.</t>
        </is>
      </c>
      <c r="B40" s="11" t="n">
        <v>99.56999999999999</v>
      </c>
      <c r="C40" s="11" t="n">
        <v>105.59</v>
      </c>
      <c r="D40" s="11" t="n">
        <v>120.56</v>
      </c>
      <c r="E40" s="11" t="n">
        <v>137.93</v>
      </c>
      <c r="F40" s="11" t="n">
        <v>185.72</v>
      </c>
      <c r="G40" s="11" t="n">
        <v>244.3</v>
      </c>
    </row>
    <row r="41">
      <c r="A41" t="inlineStr">
        <is>
          <t>Mar.</t>
        </is>
      </c>
      <c r="B41" s="11" t="n">
        <v>99.09999999999999</v>
      </c>
      <c r="C41" s="11" t="n">
        <v>105.37</v>
      </c>
      <c r="D41" s="11" t="n">
        <v>120.96</v>
      </c>
      <c r="E41" s="11" t="n">
        <v>144.18</v>
      </c>
      <c r="F41" s="11" t="n">
        <v>190.18</v>
      </c>
      <c r="G41" s="11" t="n">
        <v>249.07</v>
      </c>
    </row>
    <row r="42">
      <c r="A42" t="inlineStr">
        <is>
          <t>Apr.</t>
        </is>
      </c>
      <c r="B42" s="11" t="n">
        <v>98.98999999999999</v>
      </c>
      <c r="C42" s="11" t="n">
        <v>105.13</v>
      </c>
      <c r="D42" s="11" t="n">
        <v>121.03</v>
      </c>
      <c r="E42" s="11" t="n">
        <v>147.65</v>
      </c>
      <c r="F42" s="11" t="n">
        <v>199.73</v>
      </c>
      <c r="G42" s="11" t="n">
        <v>247.92</v>
      </c>
    </row>
    <row r="43">
      <c r="A43" t="inlineStr">
        <is>
          <t>May</t>
        </is>
      </c>
      <c r="B43" s="11" t="n">
        <v>98.65000000000001</v>
      </c>
      <c r="C43" s="11" t="n">
        <v>104.37</v>
      </c>
      <c r="D43" s="11" t="n">
        <v>122.39</v>
      </c>
      <c r="E43" s="11" t="n">
        <v>153.18</v>
      </c>
      <c r="F43" s="11" t="n">
        <v>200.57</v>
      </c>
      <c r="G43" s="11" t="n">
        <v>248.28</v>
      </c>
    </row>
    <row r="44">
      <c r="A44" t="inlineStr">
        <is>
          <t>June</t>
        </is>
      </c>
      <c r="B44" s="11" t="n">
        <v>98.81</v>
      </c>
      <c r="C44" s="11" t="n">
        <v>105.03</v>
      </c>
      <c r="D44" s="11" t="n">
        <v>127.92</v>
      </c>
      <c r="E44" s="11" t="n">
        <v>155.71</v>
      </c>
      <c r="F44" s="11" t="n">
        <v>205.71</v>
      </c>
      <c r="G44" s="11" t="n">
        <v>251.33</v>
      </c>
    </row>
    <row r="45">
      <c r="A45" t="inlineStr">
        <is>
          <t>July</t>
        </is>
      </c>
      <c r="B45" s="11" t="n">
        <v>99.62</v>
      </c>
      <c r="C45" s="11" t="n">
        <v>105.85</v>
      </c>
      <c r="D45" s="11" t="n">
        <v>128.08</v>
      </c>
      <c r="E45" s="11" t="n">
        <v>157.77</v>
      </c>
      <c r="F45" s="11" t="n">
        <v>206.41</v>
      </c>
      <c r="G45" s="11" t="n">
        <v>254.74</v>
      </c>
    </row>
    <row r="46">
      <c r="A46" t="inlineStr">
        <is>
          <t>Aug.</t>
        </is>
      </c>
      <c r="B46" s="11" t="n">
        <v>99.56</v>
      </c>
      <c r="C46" s="11" t="n">
        <v>106.02</v>
      </c>
      <c r="D46" s="11" t="n">
        <v>127.43</v>
      </c>
      <c r="E46" s="11" t="n">
        <v>158.19</v>
      </c>
      <c r="F46" s="11" t="n">
        <v>218.82</v>
      </c>
      <c r="G46" s="11" t="n">
        <v>256.45</v>
      </c>
    </row>
    <row r="47">
      <c r="A47" t="inlineStr">
        <is>
          <t>Sept.</t>
        </is>
      </c>
      <c r="B47" s="11" t="n">
        <v>100.09</v>
      </c>
      <c r="C47" s="11" t="n">
        <v>107.14</v>
      </c>
      <c r="D47" s="11" t="n">
        <v>127.85</v>
      </c>
      <c r="E47" s="11" t="n">
        <v>164.11</v>
      </c>
      <c r="F47" s="11" t="n">
        <v>209.57</v>
      </c>
      <c r="G47" s="11" t="n">
        <v>261.65</v>
      </c>
    </row>
    <row r="48">
      <c r="A48" t="inlineStr">
        <is>
          <t>Oct.</t>
        </is>
      </c>
      <c r="B48" s="11" t="n">
        <v>101.25</v>
      </c>
      <c r="C48" s="11" t="n">
        <v>108.87</v>
      </c>
      <c r="D48" s="11" t="n">
        <v>129.76</v>
      </c>
      <c r="E48" s="11" t="n">
        <v>171.35</v>
      </c>
      <c r="F48" s="11" t="n">
        <v>214.84</v>
      </c>
      <c r="G48" s="11" t="n">
        <v>265.17</v>
      </c>
    </row>
    <row r="49">
      <c r="A49" t="inlineStr">
        <is>
          <t>Nov.</t>
        </is>
      </c>
      <c r="B49" s="11" t="n">
        <v>101.23</v>
      </c>
      <c r="C49" s="11" t="n">
        <v>110.1</v>
      </c>
      <c r="D49" s="11" t="n">
        <v>130.73</v>
      </c>
      <c r="E49" s="11" t="n">
        <v>176.71</v>
      </c>
      <c r="F49" s="11" t="n">
        <v>223.73</v>
      </c>
      <c r="G49" t="inlineStr"/>
    </row>
    <row r="50">
      <c r="A50" t="inlineStr">
        <is>
          <t>Dec.</t>
        </is>
      </c>
      <c r="B50" s="11" t="n">
        <v>106.56</v>
      </c>
      <c r="C50" s="11" t="n">
        <v>110.1</v>
      </c>
      <c r="D50" s="11" t="n">
        <v>131.38</v>
      </c>
      <c r="E50" s="11" t="n">
        <v>178.75</v>
      </c>
      <c r="F50" s="11" t="n">
        <v>227.33</v>
      </c>
      <c r="G50" t="inlineStr"/>
    </row>
    <row r="51">
      <c r="A51" t="inlineStr">
        <is>
          <t>Ave.</t>
        </is>
      </c>
      <c r="B51" s="11" t="n">
        <v>100</v>
      </c>
      <c r="C51" s="11" t="n">
        <v>106.49</v>
      </c>
      <c r="D51" s="11" t="n">
        <v>125.59</v>
      </c>
      <c r="E51" s="11" t="n">
        <v>158.7</v>
      </c>
      <c r="F51" s="11" t="n">
        <v>204.45</v>
      </c>
      <c r="G51" t="inlineStr"/>
    </row>
    <row r="53">
      <c r="A53" s="2" t="inlineStr">
        <is>
          <t>Transcriber's notes</t>
        </is>
      </c>
    </row>
    <row r="54">
      <c r="A54" t="inlineStr">
        <is>
          <t>Base: 1936 = 100 (stated in text preceding the table). Part (C) is on p. 644 (IMG_5780) headed '(Continued)'.</t>
        </is>
      </c>
    </row>
    <row r="55">
      <c r="A55" t="inlineStr">
        <is>
          <t>(A) Hsinking 1936: mean of 12 months = 99.94 vs printed Ave. 100.00 — does NOT reconcile (diff +0.06)</t>
        </is>
      </c>
    </row>
    <row r="56">
      <c r="A56" t="inlineStr">
        <is>
          <t>(A) Hsinking 1937: mean of 12 months = 106.76 vs printed Ave. 106.18 — does NOT reconcile (diff -0.58)</t>
        </is>
      </c>
    </row>
    <row r="57">
      <c r="A57" t="inlineStr">
        <is>
          <t>(A) Hsinking 1938: mean of 12 months = 124.54 vs printed Ave. 124.54 — reconciles</t>
        </is>
      </c>
    </row>
    <row r="58">
      <c r="A58" t="inlineStr">
        <is>
          <t>(A) Hsinking 1939: mean of 12 months = 158.84 vs printed Ave. 158.84 — reconciles</t>
        </is>
      </c>
    </row>
    <row r="59">
      <c r="A59" t="inlineStr">
        <is>
          <t>(A) Hsinking 1940: mean of 12 months = 215.55 vs printed Ave. 215.55 — reconciles</t>
        </is>
      </c>
    </row>
    <row r="60">
      <c r="A60" t="inlineStr">
        <is>
          <t>(B) Mukden 1936: mean of 12 months = 99.99 vs printed Ave. 100.00 — reconciles</t>
        </is>
      </c>
    </row>
    <row r="61">
      <c r="A61" t="inlineStr">
        <is>
          <t>(B) Mukden 1937: mean of 12 months = 106.55 vs printed Ave. 107.30 — does NOT reconcile (diff +0.75)</t>
        </is>
      </c>
    </row>
    <row r="62">
      <c r="A62" t="inlineStr">
        <is>
          <t>(B) Mukden 1938: mean of 12 months = 129.02 vs printed Ave. 128.88 — does NOT reconcile (diff -0.14)</t>
        </is>
      </c>
    </row>
    <row r="63">
      <c r="A63" t="inlineStr">
        <is>
          <t>(B) Mukden 1939: mean of 12 months = 166.67 vs printed Ave. 187.12 — does NOT reconcile (diff +20.45)</t>
        </is>
      </c>
    </row>
    <row r="64">
      <c r="A64" t="inlineStr">
        <is>
          <t>(B) Mukden 1940: mean of 12 months = 224.06 vs printed Ave. 223.49 — does NOT reconcile (diff -0.57)</t>
        </is>
      </c>
    </row>
    <row r="65">
      <c r="A65" t="inlineStr">
        <is>
          <t>(C) Harbin 1936: mean of 12 months = 100.26 vs printed Ave. 100.00 — does NOT reconcile (diff -0.26)</t>
        </is>
      </c>
    </row>
    <row r="66">
      <c r="A66" t="inlineStr">
        <is>
          <t>(C) Harbin 1937: mean of 12 months = 106.50 vs printed Ave. 106.49 — reconciles</t>
        </is>
      </c>
    </row>
    <row r="67">
      <c r="A67" t="inlineStr">
        <is>
          <t>(C) Harbin 1938: mean of 12 months = 125.61 vs printed Ave. 125.59 — does NOT reconcile (diff -0.02)</t>
        </is>
      </c>
    </row>
    <row r="68">
      <c r="A68" t="inlineStr">
        <is>
          <t>(C) Harbin 1939: mean of 12 months = 156.79 vs printed Ave. 158.70 — does NOT reconcile (diff +1.91)</t>
        </is>
      </c>
    </row>
    <row r="69">
      <c r="A69" t="inlineStr">
        <is>
          <t>(C) Harbin 1940: mean of 12 months = 205.33 vs printed Ave. 204.45 — does NOT reconcile (diff -0.88)</t>
        </is>
      </c>
    </row>
    <row r="70">
      <c r="A70" t="inlineStr">
        <is>
          <t>1941 columns run only to Oct.; Nov., Dec. and Ave. cells for 1941 are blank in the source (no figures printed).</t>
        </is>
      </c>
    </row>
    <row r="71">
      <c r="A71" t="inlineStr">
        <is>
          <t>(B) Mukden 1941 Jan. and Feb. both printed 243.76; 1940 Dec. also 243.76.</t>
        </is>
      </c>
    </row>
    <row r="72">
      <c r="A72" t="inlineStr">
        <is>
          <t>(B) Mukden Oct. 1937 printed 100.87 (clearly legible) — out of line with neighbouring months (108.39, 111.27); transcribed as printed.</t>
        </is>
      </c>
    </row>
    <row r="73">
      <c r="A73" t="inlineStr">
        <is>
          <t>(C) Harbin Jan. 1941 printed 287.24 — out of line with Feb. 244.30; transcribed as printed.</t>
        </is>
      </c>
    </row>
    <row r="74">
      <c r="A74" t="inlineStr">
        <is>
          <t>Cross-check with Table 4 'General' annual figures: Hsinking 1937 Ave. printed 106.18 but Table 4 gives 106.76 (= the computed monthly mean); Mukden 1939 Ave. printed 187.12 but Table 4 gives 167.12 (monthly mean 166.67); Mukden 1937: if Oct. were 109.87 instead of the printed 100.87 the mean would be 107.30 = printed Ave. — suggests misprints; all transcribed as printed.</t>
        </is>
      </c>
    </row>
    <row r="75">
      <c r="A75" t="inlineStr">
        <is>
          <t>Harbin 1939 Ave. 158.70 vs mean 156.79 and Table 4 General 156.70.</t>
        </is>
      </c>
    </row>
    <row r="76">
      <c r="A76" t="inlineStr">
        <is>
          <t>The 'Ave.' row is printed in a different (old-style figure) typeface.</t>
        </is>
      </c>
    </row>
  </sheetData>
  <hyperlinks>
    <hyperlink xmlns:r="http://schemas.openxmlformats.org/officeDocument/2006/relationships" ref="A3" r:id="rId1"/>
  </hyperlink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Indices of Cost of Living Classified</t>
        </is>
      </c>
    </row>
    <row r="2">
      <c r="A2" t="inlineStr">
        <is>
          <t>Labor · printed pp. 644, 645</t>
        </is>
      </c>
    </row>
    <row r="3">
      <c r="A3" s="3" t="inlineStr">
        <is>
          <t>← Contents</t>
        </is>
      </c>
    </row>
    <row r="5">
      <c r="A5" s="2" t="inlineStr">
        <is>
          <t>(A) Hsinking</t>
        </is>
      </c>
    </row>
    <row r="6">
      <c r="A6" s="5" t="inlineStr">
        <is>
          <t>Average</t>
        </is>
      </c>
      <c r="B6" s="5" t="inlineStr">
        <is>
          <t>Food &amp; Drink</t>
        </is>
      </c>
      <c r="C6" s="5" t="inlineStr">
        <is>
          <t>Clothing</t>
        </is>
      </c>
      <c r="D6" s="5" t="inlineStr">
        <is>
          <t>Dwelling</t>
        </is>
      </c>
      <c r="E6" s="5" t="inlineStr">
        <is>
          <t>Fuel &amp; Light</t>
        </is>
      </c>
      <c r="F6" s="5" t="inlineStr">
        <is>
          <t>Miscellaneous</t>
        </is>
      </c>
      <c r="G6" s="5" t="inlineStr">
        <is>
          <t>General</t>
        </is>
      </c>
    </row>
    <row r="7">
      <c r="A7" s="9" t="n">
        <v>1936</v>
      </c>
      <c r="B7" s="11" t="n">
        <v>100</v>
      </c>
      <c r="C7" s="11" t="n">
        <v>100</v>
      </c>
      <c r="D7" s="11" t="n">
        <v>100</v>
      </c>
      <c r="E7" s="11" t="n">
        <v>100</v>
      </c>
      <c r="F7" s="11" t="n">
        <v>100</v>
      </c>
      <c r="G7" s="11" t="n">
        <v>100</v>
      </c>
    </row>
    <row r="8">
      <c r="A8" s="9" t="n">
        <v>1937</v>
      </c>
      <c r="B8" s="11" t="n">
        <v>101.97</v>
      </c>
      <c r="C8" s="11" t="n">
        <v>106.59</v>
      </c>
      <c r="D8" s="11" t="n">
        <v>102.45</v>
      </c>
      <c r="E8" s="11" t="n">
        <v>100.96</v>
      </c>
      <c r="F8" s="11" t="n">
        <v>105.35</v>
      </c>
      <c r="G8" s="11" t="n">
        <v>106.76</v>
      </c>
    </row>
    <row r="9">
      <c r="A9" s="9" t="n">
        <v>1938</v>
      </c>
      <c r="B9" s="11" t="n">
        <v>124.12</v>
      </c>
      <c r="C9" s="11" t="n">
        <v>142.29</v>
      </c>
      <c r="D9" s="11" t="n">
        <v>107.66</v>
      </c>
      <c r="E9" s="11" t="n">
        <v>110.62</v>
      </c>
      <c r="F9" s="11" t="n">
        <v>127.36</v>
      </c>
      <c r="G9" s="11" t="n">
        <v>124.54</v>
      </c>
    </row>
    <row r="10">
      <c r="A10" t="inlineStr">
        <is>
          <t>" June</t>
        </is>
      </c>
      <c r="B10" s="11" t="n">
        <v>122.56</v>
      </c>
      <c r="C10" s="11" t="n">
        <v>159.29</v>
      </c>
      <c r="D10" s="11" t="n">
        <v>105.03</v>
      </c>
      <c r="E10" s="11" t="n">
        <v>109.18</v>
      </c>
      <c r="F10" s="11" t="n">
        <v>128.25</v>
      </c>
      <c r="G10" s="11" t="n">
        <v>126.48</v>
      </c>
    </row>
    <row r="11">
      <c r="A11" s="9" t="n">
        <v>1939</v>
      </c>
      <c r="B11" s="11" t="n">
        <v>160.81</v>
      </c>
      <c r="C11" s="11" t="n">
        <v>205.19</v>
      </c>
      <c r="D11" s="11" t="n">
        <v>138.38</v>
      </c>
      <c r="E11" s="11" t="n">
        <v>137.34</v>
      </c>
      <c r="F11" s="11" t="n">
        <v>145.68</v>
      </c>
      <c r="G11" s="11" t="n">
        <v>158.84</v>
      </c>
    </row>
    <row r="12">
      <c r="A12" t="inlineStr">
        <is>
          <t>" June</t>
        </is>
      </c>
      <c r="B12" s="11" t="n">
        <v>156.22</v>
      </c>
      <c r="C12" s="11" t="n">
        <v>203.96</v>
      </c>
      <c r="D12" s="11" t="n">
        <v>138.98</v>
      </c>
      <c r="E12" s="11" t="n">
        <v>129.51</v>
      </c>
      <c r="F12" s="11" t="n">
        <v>144.82</v>
      </c>
      <c r="G12" s="11" t="n">
        <v>156.31</v>
      </c>
    </row>
    <row r="13">
      <c r="A13" s="9" t="n">
        <v>1940</v>
      </c>
      <c r="B13" s="11" t="n">
        <v>227.21</v>
      </c>
      <c r="C13" s="11" t="n">
        <v>301.15</v>
      </c>
      <c r="D13" s="11" t="n">
        <v>168</v>
      </c>
      <c r="E13" s="11" t="n">
        <v>178.26</v>
      </c>
      <c r="F13" s="11" t="n">
        <v>185.72</v>
      </c>
      <c r="G13" s="11" t="n">
        <v>215.55</v>
      </c>
    </row>
    <row r="14">
      <c r="A14" t="inlineStr">
        <is>
          <t>" June</t>
        </is>
      </c>
      <c r="B14" s="11" t="n">
        <v>229.8</v>
      </c>
      <c r="C14" s="11" t="n">
        <v>337.21</v>
      </c>
      <c r="D14" s="11" t="n">
        <v>170.72</v>
      </c>
      <c r="E14" s="11" t="n">
        <v>168.19</v>
      </c>
      <c r="F14" s="11" t="n">
        <v>186.69</v>
      </c>
      <c r="G14" s="11" t="n">
        <v>222.19</v>
      </c>
    </row>
    <row r="15">
      <c r="A15" t="inlineStr">
        <is>
          <t>1941 June</t>
        </is>
      </c>
      <c r="B15" s="11" t="n">
        <v>270.52</v>
      </c>
      <c r="C15" s="11" t="n">
        <v>330.63</v>
      </c>
      <c r="D15" s="11" t="n">
        <v>172.71</v>
      </c>
      <c r="E15" s="11" t="n">
        <v>206.18</v>
      </c>
      <c r="F15" s="11" t="n">
        <v>214.66</v>
      </c>
      <c r="G15" s="11" t="n">
        <v>246.04</v>
      </c>
    </row>
    <row r="17">
      <c r="A17" s="2" t="inlineStr">
        <is>
          <t>(B) Mukden</t>
        </is>
      </c>
    </row>
    <row r="18">
      <c r="A18" s="5" t="inlineStr">
        <is>
          <t>Average</t>
        </is>
      </c>
      <c r="B18" s="5" t="inlineStr">
        <is>
          <t>Food &amp; Drink</t>
        </is>
      </c>
      <c r="C18" s="5" t="inlineStr">
        <is>
          <t>Clothing</t>
        </is>
      </c>
      <c r="D18" s="5" t="inlineStr">
        <is>
          <t>Dwelling</t>
        </is>
      </c>
      <c r="E18" s="5" t="inlineStr">
        <is>
          <t>Fuel &amp; Light</t>
        </is>
      </c>
      <c r="F18" s="5" t="inlineStr">
        <is>
          <t>Miscellaneous</t>
        </is>
      </c>
      <c r="G18" s="5" t="inlineStr">
        <is>
          <t>General</t>
        </is>
      </c>
    </row>
    <row r="19">
      <c r="A19" s="9" t="n">
        <v>1936</v>
      </c>
      <c r="B19" s="11" t="n">
        <v>100</v>
      </c>
      <c r="C19" s="11" t="n">
        <v>100</v>
      </c>
      <c r="D19" s="11" t="n">
        <v>100</v>
      </c>
      <c r="E19" s="11" t="n">
        <v>100</v>
      </c>
      <c r="F19" s="11" t="n">
        <v>100</v>
      </c>
      <c r="G19" s="11" t="n">
        <v>100</v>
      </c>
    </row>
    <row r="20">
      <c r="A20" s="9" t="n">
        <v>1937</v>
      </c>
      <c r="B20" s="11" t="n">
        <v>110.89</v>
      </c>
      <c r="C20" s="11" t="n">
        <v>107.92</v>
      </c>
      <c r="D20" s="11" t="n">
        <v>101.13</v>
      </c>
      <c r="E20" s="11" t="n">
        <v>99.89</v>
      </c>
      <c r="F20" s="11" t="n">
        <v>106.43</v>
      </c>
      <c r="G20" s="11" t="n">
        <v>107.3</v>
      </c>
    </row>
    <row r="21">
      <c r="A21" s="9" t="n">
        <v>1938</v>
      </c>
      <c r="B21" s="11" t="n">
        <v>131.21</v>
      </c>
      <c r="C21" s="11" t="n">
        <v>148.52</v>
      </c>
      <c r="D21" s="11" t="n">
        <v>104.4</v>
      </c>
      <c r="E21" s="11" t="n">
        <v>117.88</v>
      </c>
      <c r="F21" s="11" t="n">
        <v>126.4</v>
      </c>
      <c r="G21" s="11" t="n">
        <v>128.98</v>
      </c>
    </row>
    <row r="22">
      <c r="A22" t="inlineStr">
        <is>
          <t>" June</t>
        </is>
      </c>
      <c r="B22" s="11" t="n">
        <v>129.83</v>
      </c>
      <c r="C22" s="11" t="n">
        <v>157.61</v>
      </c>
      <c r="D22" s="11" t="n">
        <v>103.21</v>
      </c>
      <c r="E22" s="11" t="n">
        <v>116.92</v>
      </c>
      <c r="F22" s="11" t="n">
        <v>127.07</v>
      </c>
      <c r="G22" s="11" t="n">
        <v>130.08</v>
      </c>
    </row>
    <row r="23">
      <c r="A23" s="9" t="n">
        <v>1939</v>
      </c>
      <c r="B23" s="11" t="n">
        <v>175.23</v>
      </c>
      <c r="C23" s="11" t="n">
        <v>200.32</v>
      </c>
      <c r="D23" s="11" t="n">
        <v>133.13</v>
      </c>
      <c r="E23" s="11" t="n">
        <v>161.76</v>
      </c>
      <c r="F23" s="11" t="n">
        <v>149.87</v>
      </c>
      <c r="G23" s="11" t="n">
        <v>167.12</v>
      </c>
    </row>
    <row r="24">
      <c r="A24" t="inlineStr">
        <is>
          <t>" June</t>
        </is>
      </c>
      <c r="B24" s="11" t="n">
        <v>171.7</v>
      </c>
      <c r="C24" s="11" t="n">
        <v>199.11</v>
      </c>
      <c r="D24" s="11" t="n">
        <v>134.76</v>
      </c>
      <c r="E24" s="11" t="n">
        <v>154.63</v>
      </c>
      <c r="F24" s="11" t="n">
        <v>147.64</v>
      </c>
      <c r="G24" s="11" t="n">
        <v>164.65</v>
      </c>
    </row>
    <row r="25">
      <c r="A25" s="9" t="n">
        <v>1940</v>
      </c>
      <c r="B25" s="11" t="n">
        <v>244.9</v>
      </c>
      <c r="C25" s="11" t="n">
        <v>283.27</v>
      </c>
      <c r="D25" s="11" t="n">
        <v>158.4</v>
      </c>
      <c r="E25" s="11" t="n">
        <v>202.5</v>
      </c>
      <c r="F25" s="11" t="n">
        <v>187.74</v>
      </c>
      <c r="G25" s="11" t="n">
        <v>223.49</v>
      </c>
    </row>
    <row r="26">
      <c r="A26" t="inlineStr">
        <is>
          <t>" June</t>
        </is>
      </c>
      <c r="B26" s="11" t="n">
        <v>252.2</v>
      </c>
      <c r="C26" s="11" t="n">
        <v>304.6</v>
      </c>
      <c r="D26" s="11" t="n">
        <v>158.47</v>
      </c>
      <c r="E26" s="11" t="n">
        <v>191.91</v>
      </c>
      <c r="F26" s="11" t="n">
        <v>189.71</v>
      </c>
      <c r="G26" s="11" t="n">
        <v>229.71</v>
      </c>
    </row>
    <row r="27">
      <c r="A27" t="inlineStr">
        <is>
          <t>1941 June</t>
        </is>
      </c>
      <c r="B27" s="11" t="n">
        <v>281.69</v>
      </c>
      <c r="C27" s="11" t="n">
        <v>305.9</v>
      </c>
      <c r="D27" s="11" t="n">
        <v>159.87</v>
      </c>
      <c r="E27" s="11" t="n">
        <v>215.95</v>
      </c>
      <c r="F27" s="11" t="n">
        <v>210.6</v>
      </c>
      <c r="G27" s="11" t="n">
        <v>247.95</v>
      </c>
    </row>
    <row r="29">
      <c r="A29" s="2" t="inlineStr">
        <is>
          <t>(C) Harbin</t>
        </is>
      </c>
    </row>
    <row r="30">
      <c r="A30" s="5" t="inlineStr">
        <is>
          <t>Average</t>
        </is>
      </c>
      <c r="B30" s="5" t="inlineStr">
        <is>
          <t>Food &amp; Drink</t>
        </is>
      </c>
      <c r="C30" s="5" t="inlineStr">
        <is>
          <t>Clothing</t>
        </is>
      </c>
      <c r="D30" s="5" t="inlineStr">
        <is>
          <t>Dwelling</t>
        </is>
      </c>
      <c r="E30" s="5" t="inlineStr">
        <is>
          <t>Fuel &amp; Light</t>
        </is>
      </c>
      <c r="F30" s="5" t="inlineStr">
        <is>
          <t>Miscellaneous</t>
        </is>
      </c>
      <c r="G30" s="5" t="inlineStr">
        <is>
          <t>General</t>
        </is>
      </c>
    </row>
    <row r="31">
      <c r="A31" s="9" t="n">
        <v>1936</v>
      </c>
      <c r="B31" s="11" t="n">
        <v>100</v>
      </c>
      <c r="C31" s="11" t="n">
        <v>100</v>
      </c>
      <c r="D31" s="11" t="n">
        <v>100</v>
      </c>
      <c r="E31" s="11" t="n">
        <v>100</v>
      </c>
      <c r="F31" s="11" t="n">
        <v>100</v>
      </c>
      <c r="G31" s="11" t="n">
        <v>100</v>
      </c>
    </row>
    <row r="32">
      <c r="A32" s="9" t="n">
        <v>1937</v>
      </c>
      <c r="B32" s="11" t="n">
        <v>112.39</v>
      </c>
      <c r="C32" s="11" t="n">
        <v>105.9</v>
      </c>
      <c r="D32" s="11" t="n">
        <v>102.23</v>
      </c>
      <c r="E32" s="11" t="n">
        <v>96.14</v>
      </c>
      <c r="F32" s="11" t="n">
        <v>106.26</v>
      </c>
      <c r="G32" s="11" t="n">
        <v>106.49</v>
      </c>
    </row>
    <row r="33">
      <c r="A33" s="9" t="n">
        <v>1938</v>
      </c>
      <c r="B33" s="11" t="n">
        <v>126.87</v>
      </c>
      <c r="C33" s="11" t="n">
        <v>140.86</v>
      </c>
      <c r="D33" s="11" t="n">
        <v>101.88</v>
      </c>
      <c r="E33" s="11" t="n">
        <v>96.89</v>
      </c>
      <c r="F33" s="11" t="n">
        <v>139.94</v>
      </c>
      <c r="G33" s="11" t="n">
        <v>125.59</v>
      </c>
    </row>
    <row r="34">
      <c r="A34" t="inlineStr">
        <is>
          <t>" June</t>
        </is>
      </c>
      <c r="B34" s="11" t="n">
        <v>125.02</v>
      </c>
      <c r="C34" s="11" t="n">
        <v>161.03</v>
      </c>
      <c r="D34" s="11" t="n">
        <v>101.93</v>
      </c>
      <c r="E34" s="11" t="n">
        <v>96.18000000000001</v>
      </c>
      <c r="F34" s="11" t="n">
        <v>140.45</v>
      </c>
      <c r="G34" s="11" t="n">
        <v>127.92</v>
      </c>
    </row>
    <row r="35">
      <c r="A35" s="9" t="n">
        <v>1939</v>
      </c>
      <c r="B35" s="11" t="n">
        <v>168.12</v>
      </c>
      <c r="C35" s="11" t="n">
        <v>193.97</v>
      </c>
      <c r="D35" s="11" t="n">
        <v>123.48</v>
      </c>
      <c r="E35" s="11" t="n">
        <v>109.88</v>
      </c>
      <c r="F35" s="11" t="n">
        <v>157.53</v>
      </c>
      <c r="G35" s="11" t="n">
        <v>156.7</v>
      </c>
    </row>
    <row r="36">
      <c r="A36" t="inlineStr">
        <is>
          <t>" June</t>
        </is>
      </c>
      <c r="B36" s="11" t="n">
        <v>164.48</v>
      </c>
      <c r="C36" s="11" t="n">
        <v>196.37</v>
      </c>
      <c r="D36" s="11" t="n">
        <v>126.99</v>
      </c>
      <c r="E36" s="11" t="n">
        <v>104.97</v>
      </c>
      <c r="F36" s="11" t="n">
        <v>156.85</v>
      </c>
      <c r="G36" s="11" t="n">
        <v>155.71</v>
      </c>
    </row>
    <row r="37">
      <c r="A37" s="9" t="n">
        <v>1940</v>
      </c>
      <c r="B37" s="11" t="n">
        <v>240.51</v>
      </c>
      <c r="C37" s="11" t="n">
        <v>254.56</v>
      </c>
      <c r="D37" s="11" t="n">
        <v>136.74</v>
      </c>
      <c r="E37" s="11" t="n">
        <v>142.03</v>
      </c>
      <c r="F37" s="11" t="n">
        <v>196</v>
      </c>
      <c r="G37" s="11" t="n">
        <v>204.45</v>
      </c>
    </row>
    <row r="38">
      <c r="A38" t="inlineStr">
        <is>
          <t>" June</t>
        </is>
      </c>
      <c r="B38" s="11" t="n">
        <v>236.83</v>
      </c>
      <c r="C38" s="11" t="n">
        <v>266.65</v>
      </c>
      <c r="D38" s="11" t="n">
        <v>138.53</v>
      </c>
      <c r="E38" s="11" t="n">
        <v>128.72</v>
      </c>
      <c r="F38" s="11" t="n">
        <v>199.55</v>
      </c>
      <c r="G38" s="11" t="n">
        <v>205.71</v>
      </c>
    </row>
    <row r="39">
      <c r="A39" t="inlineStr">
        <is>
          <t>1941 June</t>
        </is>
      </c>
      <c r="B39" s="11" t="n">
        <v>318.33</v>
      </c>
      <c r="C39" s="11" t="n">
        <v>300.92</v>
      </c>
      <c r="D39" s="11" t="n">
        <v>142.24</v>
      </c>
      <c r="E39" s="11" t="n">
        <v>152.27</v>
      </c>
      <c r="F39" s="11" t="n">
        <v>238.16</v>
      </c>
      <c r="G39" s="11" t="n">
        <v>251.33</v>
      </c>
    </row>
    <row r="41">
      <c r="A41" s="2" t="inlineStr">
        <is>
          <t>Transcriber's notes</t>
        </is>
      </c>
    </row>
    <row r="42">
      <c r="A42" t="inlineStr">
        <is>
          <t>Ditto marks („) before 'June' in the stub transcribed as '"'; they stand for the year in the row above (e.g. '" June' under 1938 = June 1938).</t>
        </is>
      </c>
    </row>
    <row r="43">
      <c r="A43" t="inlineStr">
        <is>
          <t>(B) Mukden continues on p. 645 under '(Continued)' from the row '" June' (i.e. June 1939); merged.</t>
        </is>
      </c>
    </row>
    <row r="44">
      <c r="A44" t="inlineStr">
        <is>
          <t>No totals; 'General' is a weighted index and is not checked. Annual 'General' figures mostly equal Table 3 'Ave.' rows; differences (Hsinking 1937 106.76 vs 106.18; Mukden 1939 167.12 vs 187.12; Harbin 1939 156.70 vs 158.70; Harbin 1940 204.45 = Table 3) are noted in Table 3.</t>
        </is>
      </c>
    </row>
    <row r="45">
      <c r="A45" t="inlineStr">
        <is>
          <t>(C) 1937 'General' 106.49 has a stray mark before it.</t>
        </is>
      </c>
    </row>
  </sheetData>
  <hyperlinks>
    <hyperlink xmlns:r="http://schemas.openxmlformats.org/officeDocument/2006/relationships" ref="A3" r:id="rId1"/>
  </hyperlink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Average Daily Wages</t>
        </is>
      </c>
    </row>
    <row r="2">
      <c r="A2" t="inlineStr">
        <is>
          <t>Labor · printed pp. 645, 646</t>
        </is>
      </c>
    </row>
    <row r="3">
      <c r="A3" t="inlineStr">
        <is>
          <t>(Unit: M¥)</t>
        </is>
      </c>
    </row>
    <row r="4">
      <c r="A4" s="3" t="inlineStr">
        <is>
          <t>← Contents</t>
        </is>
      </c>
    </row>
    <row r="6">
      <c r="A6" s="5" t="inlineStr">
        <is>
          <t>Year</t>
        </is>
      </c>
      <c r="B6" s="5" t="inlineStr">
        <is>
          <t>Dairen — M.</t>
        </is>
      </c>
      <c r="C6" s="5" t="inlineStr">
        <is>
          <t>Dairen — J.</t>
        </is>
      </c>
      <c r="D6" s="5" t="inlineStr">
        <is>
          <t>Mukden — M.</t>
        </is>
      </c>
      <c r="E6" s="5" t="inlineStr">
        <is>
          <t>Mukden — J.</t>
        </is>
      </c>
      <c r="F6" s="5" t="inlineStr">
        <is>
          <t>Hsinking — M.</t>
        </is>
      </c>
      <c r="G6" s="5" t="inlineStr">
        <is>
          <t>Hsinking — J.</t>
        </is>
      </c>
      <c r="H6" s="5" t="inlineStr">
        <is>
          <t>Harbin — M.</t>
        </is>
      </c>
      <c r="I6" s="5" t="inlineStr">
        <is>
          <t>Harbin — J.</t>
        </is>
      </c>
      <c r="J6" s="5" t="inlineStr">
        <is>
          <t>Tsitsihar — M.</t>
        </is>
      </c>
      <c r="K6" s="5" t="inlineStr">
        <is>
          <t>Tsitsihar — J.</t>
        </is>
      </c>
    </row>
    <row r="7">
      <c r="A7" t="inlineStr">
        <is>
          <t>Carpenter:</t>
        </is>
      </c>
      <c r="B7" t="inlineStr"/>
      <c r="C7" t="inlineStr"/>
      <c r="D7" t="inlineStr"/>
      <c r="E7" t="inlineStr"/>
      <c r="F7" t="inlineStr"/>
      <c r="G7" t="inlineStr"/>
      <c r="H7" t="inlineStr"/>
      <c r="I7" t="inlineStr"/>
      <c r="J7" t="inlineStr"/>
      <c r="K7" t="inlineStr"/>
    </row>
    <row r="8">
      <c r="A8" t="inlineStr">
        <is>
          <t>1935 Ave.</t>
        </is>
      </c>
      <c r="B8" s="11" t="n">
        <v>1.38</v>
      </c>
      <c r="C8" s="11" t="n">
        <v>3.2</v>
      </c>
      <c r="D8" s="11" t="n">
        <v>1.37</v>
      </c>
      <c r="E8" s="11" t="n">
        <v>3.38</v>
      </c>
      <c r="F8" s="11" t="n">
        <v>1.58</v>
      </c>
      <c r="G8" s="11" t="n">
        <v>3.61</v>
      </c>
      <c r="H8" s="11" t="n">
        <v>1.61</v>
      </c>
      <c r="I8" s="11" t="n">
        <v>3.25</v>
      </c>
      <c r="J8" t="inlineStr">
        <is>
          <t>—</t>
        </is>
      </c>
      <c r="K8" t="inlineStr">
        <is>
          <t>—</t>
        </is>
      </c>
    </row>
    <row r="9">
      <c r="A9" t="inlineStr">
        <is>
          <t>1936 "</t>
        </is>
      </c>
      <c r="B9" s="11" t="n">
        <v>1.4</v>
      </c>
      <c r="C9" s="11" t="n">
        <v>3.2</v>
      </c>
      <c r="D9" s="11" t="n">
        <v>1.5</v>
      </c>
      <c r="E9" s="11" t="n">
        <v>3.5</v>
      </c>
      <c r="F9" s="11" t="n">
        <v>1.57</v>
      </c>
      <c r="G9" s="11" t="n">
        <v>3.53</v>
      </c>
      <c r="H9" s="11" t="n">
        <v>1.71</v>
      </c>
      <c r="I9" s="11" t="n">
        <v>3.38</v>
      </c>
      <c r="J9" t="inlineStr">
        <is>
          <t>—</t>
        </is>
      </c>
      <c r="K9" t="inlineStr">
        <is>
          <t>—</t>
        </is>
      </c>
    </row>
    <row r="10">
      <c r="A10" t="inlineStr">
        <is>
          <t>1937 June</t>
        </is>
      </c>
      <c r="B10" s="11" t="n">
        <v>1.4</v>
      </c>
      <c r="C10" s="11" t="n">
        <v>3.2</v>
      </c>
      <c r="D10" s="11" t="n">
        <v>1.5</v>
      </c>
      <c r="E10" s="11" t="n">
        <v>3.5</v>
      </c>
      <c r="F10" s="11" t="n">
        <v>1.85</v>
      </c>
      <c r="G10" s="11" t="n">
        <v>3.9</v>
      </c>
      <c r="H10" s="11" t="n">
        <v>1.6</v>
      </c>
      <c r="I10" s="11" t="n">
        <v>3.6</v>
      </c>
      <c r="J10" s="11" t="n">
        <v>1.4</v>
      </c>
      <c r="K10" s="11" t="n">
        <v>3.4</v>
      </c>
    </row>
    <row r="11">
      <c r="A11" t="inlineStr">
        <is>
          <t>" Dec.</t>
        </is>
      </c>
      <c r="B11" s="11" t="n">
        <v>1.6</v>
      </c>
      <c r="C11" s="11" t="n">
        <v>3.2</v>
      </c>
      <c r="D11" s="11" t="n">
        <v>1.5</v>
      </c>
      <c r="E11" s="11" t="n">
        <v>3.5</v>
      </c>
      <c r="F11" s="11" t="n">
        <v>1.9</v>
      </c>
      <c r="G11" s="11" t="n">
        <v>4</v>
      </c>
      <c r="H11" s="11" t="n">
        <v>1.8</v>
      </c>
      <c r="I11" s="11" t="n">
        <v>3.5</v>
      </c>
      <c r="J11" s="11" t="n">
        <v>1.3</v>
      </c>
      <c r="K11" s="11" t="n">
        <v>3</v>
      </c>
    </row>
    <row r="12">
      <c r="A12" t="inlineStr">
        <is>
          <t>1938 June</t>
        </is>
      </c>
      <c r="B12" s="11" t="n">
        <v>1.5</v>
      </c>
      <c r="C12" s="11" t="n">
        <v>3.2</v>
      </c>
      <c r="D12" s="11" t="n">
        <v>1.6</v>
      </c>
      <c r="E12" s="11" t="n">
        <v>3.5</v>
      </c>
      <c r="F12" s="11" t="n">
        <v>1.6</v>
      </c>
      <c r="G12" s="11" t="n">
        <v>4</v>
      </c>
      <c r="H12" s="11" t="n">
        <v>1.5</v>
      </c>
      <c r="I12" s="11" t="n">
        <v>4</v>
      </c>
      <c r="J12" s="11" t="n">
        <v>1.5</v>
      </c>
      <c r="K12" s="11" t="n">
        <v>3.2</v>
      </c>
    </row>
    <row r="13">
      <c r="A13" t="inlineStr">
        <is>
          <t>" Dec.</t>
        </is>
      </c>
      <c r="B13" s="11" t="n">
        <v>1.5</v>
      </c>
      <c r="C13" s="11" t="n">
        <v>3.2</v>
      </c>
      <c r="D13" s="11" t="n">
        <v>2.1</v>
      </c>
      <c r="E13" s="11" t="n">
        <v>3.5</v>
      </c>
      <c r="F13" s="11" t="n">
        <v>1.7</v>
      </c>
      <c r="G13" s="11" t="n">
        <v>4.3</v>
      </c>
      <c r="H13" s="11" t="n">
        <v>1.6</v>
      </c>
      <c r="I13" s="11" t="n">
        <v>4.2</v>
      </c>
      <c r="J13" s="11" t="n">
        <v>2</v>
      </c>
      <c r="K13" s="11" t="n">
        <v>4</v>
      </c>
    </row>
    <row r="14">
      <c r="A14" t="inlineStr">
        <is>
          <t>Plasterer:</t>
        </is>
      </c>
      <c r="B14" t="inlineStr"/>
      <c r="C14" t="inlineStr"/>
      <c r="D14" t="inlineStr"/>
      <c r="E14" t="inlineStr"/>
      <c r="F14" t="inlineStr"/>
      <c r="G14" t="inlineStr"/>
      <c r="H14" t="inlineStr"/>
      <c r="I14" t="inlineStr"/>
      <c r="J14" t="inlineStr"/>
      <c r="K14" t="inlineStr"/>
    </row>
    <row r="15">
      <c r="A15" t="inlineStr">
        <is>
          <t>1935 Ave.</t>
        </is>
      </c>
      <c r="B15" s="11" t="n">
        <v>1.66</v>
      </c>
      <c r="C15" s="11" t="n">
        <v>3.5</v>
      </c>
      <c r="D15" s="11" t="n">
        <v>1.47</v>
      </c>
      <c r="E15" s="11" t="n">
        <v>3.42</v>
      </c>
      <c r="F15" s="11" t="n">
        <v>1.81</v>
      </c>
      <c r="G15" s="11" t="n">
        <v>3.95</v>
      </c>
      <c r="H15" s="11" t="n">
        <v>1.63</v>
      </c>
      <c r="I15" s="11" t="n">
        <v>3.33</v>
      </c>
      <c r="J15" t="inlineStr">
        <is>
          <t>—</t>
        </is>
      </c>
      <c r="K15" t="inlineStr">
        <is>
          <t>—</t>
        </is>
      </c>
    </row>
    <row r="16">
      <c r="A16" t="inlineStr">
        <is>
          <t>1936 "</t>
        </is>
      </c>
      <c r="B16" s="11" t="n">
        <v>1.52</v>
      </c>
      <c r="C16" s="11" t="n">
        <v>3.5</v>
      </c>
      <c r="D16" s="11" t="n">
        <v>1.77</v>
      </c>
      <c r="E16" s="11" t="n">
        <v>3.54</v>
      </c>
      <c r="F16" s="11" t="n">
        <v>1.77</v>
      </c>
      <c r="G16" s="11" t="n">
        <v>3.91</v>
      </c>
      <c r="H16" s="11" t="n">
        <v>1.71</v>
      </c>
      <c r="I16" s="11" t="n">
        <v>3.42</v>
      </c>
      <c r="J16" t="inlineStr">
        <is>
          <t>—</t>
        </is>
      </c>
      <c r="K16" t="inlineStr">
        <is>
          <t>—</t>
        </is>
      </c>
    </row>
    <row r="17">
      <c r="A17" t="inlineStr">
        <is>
          <t>1937 June</t>
        </is>
      </c>
      <c r="B17" s="11" t="n">
        <v>1.5</v>
      </c>
      <c r="C17" s="11" t="n">
        <v>3.5</v>
      </c>
      <c r="D17" s="11" t="n">
        <v>1.6</v>
      </c>
      <c r="E17" s="11" t="n">
        <v>4</v>
      </c>
      <c r="F17" s="11" t="n">
        <v>2.1</v>
      </c>
      <c r="G17" s="11" t="n">
        <v>4.5</v>
      </c>
      <c r="H17" s="11" t="n">
        <v>1.6</v>
      </c>
      <c r="I17" s="11" t="n">
        <v>3.6</v>
      </c>
      <c r="J17" s="11" t="n">
        <v>1.4</v>
      </c>
      <c r="K17" s="11" t="n">
        <v>3.2</v>
      </c>
    </row>
    <row r="18">
      <c r="A18" t="inlineStr">
        <is>
          <t>" Dec.</t>
        </is>
      </c>
      <c r="B18" s="11" t="n">
        <v>1.4</v>
      </c>
      <c r="C18" s="11" t="n">
        <v>3.5</v>
      </c>
      <c r="D18" s="11" t="n">
        <v>1.5</v>
      </c>
      <c r="E18" s="11" t="n">
        <v>4</v>
      </c>
      <c r="F18" s="11" t="n">
        <v>2</v>
      </c>
      <c r="G18" s="11" t="n">
        <v>4.2</v>
      </c>
      <c r="H18" s="11" t="n">
        <v>1.8</v>
      </c>
      <c r="I18" s="11" t="n">
        <v>3.5</v>
      </c>
      <c r="J18" s="11" t="n">
        <v>1.4</v>
      </c>
      <c r="K18" s="11" t="n">
        <v>3.2</v>
      </c>
    </row>
    <row r="19">
      <c r="A19" t="inlineStr">
        <is>
          <t>1938 June</t>
        </is>
      </c>
      <c r="B19" s="11" t="n">
        <v>1.6</v>
      </c>
      <c r="C19" s="11" t="n">
        <v>3.5</v>
      </c>
      <c r="D19" s="11" t="n">
        <v>1.9</v>
      </c>
      <c r="E19" s="11" t="n">
        <v>4.5</v>
      </c>
      <c r="F19" s="11" t="n">
        <v>1.75</v>
      </c>
      <c r="G19" s="11" t="n">
        <v>3.7</v>
      </c>
      <c r="H19" s="11" t="n">
        <v>1.7</v>
      </c>
      <c r="I19" s="11" t="n">
        <v>4</v>
      </c>
      <c r="J19" s="11" t="n">
        <v>1.6</v>
      </c>
      <c r="K19" s="11" t="n">
        <v>3.4</v>
      </c>
    </row>
    <row r="20">
      <c r="A20" t="inlineStr">
        <is>
          <t>" Dec.</t>
        </is>
      </c>
      <c r="B20" s="11" t="n">
        <v>1.5</v>
      </c>
      <c r="C20" s="11" t="n">
        <v>3.5</v>
      </c>
      <c r="D20" s="11" t="n">
        <v>2.1</v>
      </c>
      <c r="E20" s="11" t="n">
        <v>4.5</v>
      </c>
      <c r="F20" s="11" t="n">
        <v>1.75</v>
      </c>
      <c r="G20" s="11" t="n">
        <v>4</v>
      </c>
      <c r="H20" s="11" t="n">
        <v>1.7</v>
      </c>
      <c r="I20" s="11" t="n">
        <v>4.2</v>
      </c>
      <c r="J20" s="11" t="n">
        <v>2</v>
      </c>
      <c r="K20" s="11" t="n">
        <v>4.2</v>
      </c>
    </row>
    <row r="21">
      <c r="A21" t="inlineStr">
        <is>
          <t>Blacksmith:</t>
        </is>
      </c>
      <c r="B21" t="inlineStr"/>
      <c r="C21" t="inlineStr"/>
      <c r="D21" t="inlineStr"/>
      <c r="E21" t="inlineStr"/>
      <c r="F21" t="inlineStr"/>
      <c r="G21" t="inlineStr"/>
      <c r="H21" t="inlineStr"/>
      <c r="I21" t="inlineStr"/>
      <c r="J21" t="inlineStr"/>
      <c r="K21" t="inlineStr"/>
    </row>
    <row r="22">
      <c r="A22" t="inlineStr">
        <is>
          <t>1935 Ave.</t>
        </is>
      </c>
      <c r="B22" s="11" t="n">
        <v>1.18</v>
      </c>
      <c r="C22" s="11" t="n">
        <v>2.94</v>
      </c>
      <c r="D22" s="11" t="n">
        <v>1.38</v>
      </c>
      <c r="E22" s="11" t="n">
        <v>3.43</v>
      </c>
      <c r="F22" s="11" t="n">
        <v>1.78</v>
      </c>
      <c r="G22" s="11" t="n">
        <v>3.98</v>
      </c>
      <c r="H22" s="11" t="n">
        <v>2.07</v>
      </c>
      <c r="I22" s="11" t="n">
        <v>7</v>
      </c>
      <c r="J22" t="inlineStr">
        <is>
          <t>—</t>
        </is>
      </c>
      <c r="K22" t="inlineStr">
        <is>
          <t>—</t>
        </is>
      </c>
    </row>
    <row r="23">
      <c r="A23" t="inlineStr">
        <is>
          <t>1936 "</t>
        </is>
      </c>
      <c r="B23" s="11" t="n">
        <v>0.9399999999999999</v>
      </c>
      <c r="C23" s="11" t="n">
        <v>2.69</v>
      </c>
      <c r="D23" s="11" t="n">
        <v>1.5</v>
      </c>
      <c r="E23" s="11" t="n">
        <v>3.5</v>
      </c>
      <c r="F23" s="11" t="n">
        <v>1.78</v>
      </c>
      <c r="G23" s="11" t="n">
        <v>3.72</v>
      </c>
      <c r="H23" s="11" t="n">
        <v>1.69</v>
      </c>
      <c r="I23" s="11" t="n">
        <v>3.76</v>
      </c>
      <c r="J23" t="inlineStr">
        <is>
          <t>—</t>
        </is>
      </c>
      <c r="K23" t="inlineStr">
        <is>
          <t>—</t>
        </is>
      </c>
    </row>
    <row r="24">
      <c r="A24" t="inlineStr">
        <is>
          <t>1937 June</t>
        </is>
      </c>
      <c r="B24" s="11" t="n">
        <v>1</v>
      </c>
      <c r="C24" s="11" t="n">
        <v>2.7</v>
      </c>
      <c r="D24" s="11" t="n">
        <v>1.5</v>
      </c>
      <c r="E24" s="11" t="n">
        <v>3.5</v>
      </c>
      <c r="F24" s="11" t="n">
        <v>2.1</v>
      </c>
      <c r="G24" s="11" t="n">
        <v>4.5</v>
      </c>
      <c r="H24" s="11" t="n">
        <v>1.6</v>
      </c>
      <c r="I24" s="11" t="n">
        <v>3.2</v>
      </c>
      <c r="J24" s="11" t="n">
        <v>1.2</v>
      </c>
      <c r="K24" s="11" t="n">
        <v>3.2</v>
      </c>
    </row>
    <row r="25">
      <c r="A25" t="inlineStr">
        <is>
          <t>" Dec.</t>
        </is>
      </c>
      <c r="B25" s="11" t="n">
        <v>1</v>
      </c>
      <c r="C25" s="11" t="n">
        <v>2.7</v>
      </c>
      <c r="D25" s="11" t="n">
        <v>1.5</v>
      </c>
      <c r="E25" s="11" t="n">
        <v>3.5</v>
      </c>
      <c r="F25" s="11" t="n">
        <v>2.5</v>
      </c>
      <c r="G25" s="11" t="n">
        <v>4.4</v>
      </c>
      <c r="H25" s="11" t="n">
        <v>1.7</v>
      </c>
      <c r="I25" s="11" t="n">
        <v>3.4</v>
      </c>
      <c r="J25" s="11" t="n">
        <v>1.4</v>
      </c>
      <c r="K25" s="11" t="n">
        <v>3.2</v>
      </c>
    </row>
    <row r="26">
      <c r="A26" t="inlineStr">
        <is>
          <t>1938 June</t>
        </is>
      </c>
      <c r="B26" s="11" t="n">
        <v>1.6</v>
      </c>
      <c r="C26" s="11" t="n">
        <v>3.5</v>
      </c>
      <c r="D26" s="11" t="n">
        <v>1.6</v>
      </c>
      <c r="E26" s="11" t="n">
        <v>4</v>
      </c>
      <c r="F26" s="11" t="n">
        <v>1.9</v>
      </c>
      <c r="G26" s="11" t="n">
        <v>5</v>
      </c>
      <c r="H26" s="11" t="n">
        <v>1.7</v>
      </c>
      <c r="I26" s="11" t="n">
        <v>4</v>
      </c>
      <c r="J26" s="11" t="n">
        <v>1.2</v>
      </c>
      <c r="K26" s="11" t="n">
        <v>3.2</v>
      </c>
    </row>
    <row r="27">
      <c r="A27" t="inlineStr">
        <is>
          <t>" Dec.</t>
        </is>
      </c>
      <c r="B27" s="11" t="n">
        <v>1.7</v>
      </c>
      <c r="C27" s="11" t="n">
        <v>2.7</v>
      </c>
      <c r="D27" s="11" t="n">
        <v>1.8</v>
      </c>
      <c r="E27" s="11" t="n">
        <v>4</v>
      </c>
      <c r="F27" s="11" t="n">
        <v>2</v>
      </c>
      <c r="G27" s="11" t="n">
        <v>5</v>
      </c>
      <c r="H27" s="11" t="n">
        <v>2</v>
      </c>
      <c r="I27" s="11" t="n">
        <v>4.2</v>
      </c>
      <c r="J27" s="11" t="n">
        <v>1.8</v>
      </c>
      <c r="K27" s="11" t="n">
        <v>4</v>
      </c>
    </row>
    <row r="28">
      <c r="A28" t="inlineStr">
        <is>
          <t>Stone-mason:</t>
        </is>
      </c>
      <c r="B28" t="inlineStr"/>
      <c r="C28" t="inlineStr"/>
      <c r="D28" t="inlineStr"/>
      <c r="E28" t="inlineStr"/>
      <c r="F28" t="inlineStr"/>
      <c r="G28" t="inlineStr"/>
      <c r="H28" t="inlineStr"/>
      <c r="I28" t="inlineStr"/>
      <c r="J28" t="inlineStr"/>
      <c r="K28" t="inlineStr"/>
    </row>
    <row r="29">
      <c r="A29" t="inlineStr">
        <is>
          <t>1935 Ave.</t>
        </is>
      </c>
      <c r="B29" s="11" t="n">
        <v>1.29</v>
      </c>
      <c r="C29" s="11" t="n">
        <v>3.5</v>
      </c>
      <c r="D29" s="11" t="n">
        <v>1.52</v>
      </c>
      <c r="E29" s="11" t="n">
        <v>3.5</v>
      </c>
      <c r="F29" s="11" t="n">
        <v>1.55</v>
      </c>
      <c r="G29" s="11" t="n">
        <v>3.95</v>
      </c>
      <c r="H29" s="11" t="n">
        <v>1.63</v>
      </c>
      <c r="I29" s="11" t="n">
        <v>4.2</v>
      </c>
      <c r="J29" t="inlineStr">
        <is>
          <t>—</t>
        </is>
      </c>
      <c r="K29" t="inlineStr">
        <is>
          <t>—</t>
        </is>
      </c>
    </row>
    <row r="30">
      <c r="A30" t="inlineStr">
        <is>
          <t>1936 "</t>
        </is>
      </c>
      <c r="B30" s="11" t="n">
        <v>1.21</v>
      </c>
      <c r="C30" s="11" t="n">
        <v>3.5</v>
      </c>
      <c r="D30" s="11" t="n">
        <v>1.73</v>
      </c>
      <c r="E30" s="11" t="n">
        <v>3.5</v>
      </c>
      <c r="F30" s="11" t="n">
        <v>1.68</v>
      </c>
      <c r="G30" s="11" t="n">
        <v>3.67</v>
      </c>
      <c r="H30" s="11" t="n">
        <v>1.6</v>
      </c>
      <c r="I30" s="11" t="n">
        <v>4.5</v>
      </c>
      <c r="J30" t="inlineStr">
        <is>
          <t>—</t>
        </is>
      </c>
      <c r="K30" t="inlineStr">
        <is>
          <t>—</t>
        </is>
      </c>
    </row>
    <row r="31">
      <c r="A31" t="inlineStr">
        <is>
          <t>1937 June</t>
        </is>
      </c>
      <c r="B31" s="11" t="n">
        <v>1.2</v>
      </c>
      <c r="C31" s="11" t="n">
        <v>3.5</v>
      </c>
      <c r="D31" s="11" t="n">
        <v>1.6</v>
      </c>
      <c r="E31" s="11" t="n">
        <v>3.5</v>
      </c>
      <c r="F31" s="11" t="n">
        <v>1.6</v>
      </c>
      <c r="G31" s="11" t="n">
        <v>4</v>
      </c>
      <c r="H31" s="11" t="n">
        <v>1.6</v>
      </c>
      <c r="I31" t="inlineStr">
        <is>
          <t>—</t>
        </is>
      </c>
      <c r="J31" s="11" t="n">
        <v>1.2</v>
      </c>
      <c r="K31" s="11" t="n">
        <v>3.2</v>
      </c>
    </row>
    <row r="32">
      <c r="A32" t="inlineStr">
        <is>
          <t>" Dec.</t>
        </is>
      </c>
      <c r="B32" s="11" t="n">
        <v>1.2</v>
      </c>
      <c r="C32" s="11" t="n">
        <v>3.5</v>
      </c>
      <c r="D32" s="11" t="n">
        <v>1.6</v>
      </c>
      <c r="E32" s="11" t="n">
        <v>3.5</v>
      </c>
      <c r="F32" s="11" t="n">
        <v>1.8</v>
      </c>
      <c r="G32" s="11" t="n">
        <v>3.8</v>
      </c>
      <c r="H32" s="11" t="n">
        <v>1.6</v>
      </c>
      <c r="I32" t="inlineStr">
        <is>
          <t>—</t>
        </is>
      </c>
      <c r="J32" s="11" t="n">
        <v>1.4</v>
      </c>
      <c r="K32" s="11" t="n">
        <v>3.2</v>
      </c>
    </row>
    <row r="33">
      <c r="A33" t="inlineStr">
        <is>
          <t>1938 June</t>
        </is>
      </c>
      <c r="B33" s="11" t="n">
        <v>1.5</v>
      </c>
      <c r="C33" s="11" t="n">
        <v>4</v>
      </c>
      <c r="D33" s="11" t="n">
        <v>1.6</v>
      </c>
      <c r="E33" s="11" t="n">
        <v>3.5</v>
      </c>
      <c r="F33" s="11" t="n">
        <v>1.6</v>
      </c>
      <c r="G33" s="11" t="n">
        <v>4.3</v>
      </c>
      <c r="H33" s="11" t="n">
        <v>1.5</v>
      </c>
      <c r="I33" s="11" t="n">
        <v>4</v>
      </c>
      <c r="J33" s="11" t="n">
        <v>1.2</v>
      </c>
      <c r="K33" s="11" t="n">
        <v>3</v>
      </c>
    </row>
    <row r="34">
      <c r="A34" t="inlineStr">
        <is>
          <t>" Dec.</t>
        </is>
      </c>
      <c r="B34" s="11" t="n">
        <v>1.2</v>
      </c>
      <c r="C34" s="11" t="n">
        <v>3.5</v>
      </c>
      <c r="D34" s="11" t="n">
        <v>1.6</v>
      </c>
      <c r="E34" s="11" t="n">
        <v>4</v>
      </c>
      <c r="F34" s="11" t="n">
        <v>1.7</v>
      </c>
      <c r="G34" s="11" t="n">
        <v>4</v>
      </c>
      <c r="H34" s="11" t="n">
        <v>2</v>
      </c>
      <c r="I34" s="11" t="n">
        <v>4.2</v>
      </c>
      <c r="J34" s="11" t="n">
        <v>1.8</v>
      </c>
      <c r="K34" s="11" t="n">
        <v>3.8</v>
      </c>
    </row>
    <row r="35">
      <c r="A35" t="inlineStr">
        <is>
          <t>Free Laborer:</t>
        </is>
      </c>
      <c r="B35" t="inlineStr"/>
      <c r="C35" t="inlineStr"/>
      <c r="D35" t="inlineStr"/>
      <c r="E35" t="inlineStr"/>
      <c r="F35" t="inlineStr"/>
      <c r="G35" t="inlineStr"/>
      <c r="H35" t="inlineStr"/>
      <c r="I35" t="inlineStr"/>
      <c r="J35" t="inlineStr"/>
      <c r="K35" t="inlineStr"/>
    </row>
    <row r="36">
      <c r="A36" t="inlineStr">
        <is>
          <t>1935 Ave.</t>
        </is>
      </c>
      <c r="B36" s="11" t="n">
        <v>0.84</v>
      </c>
      <c r="C36" s="11" t="n">
        <v>1.5</v>
      </c>
      <c r="D36" s="11" t="n">
        <v>0.6</v>
      </c>
      <c r="E36" s="11" t="n">
        <v>2.5</v>
      </c>
      <c r="F36" s="11" t="n">
        <v>0.7</v>
      </c>
      <c r="G36" s="11" t="n">
        <v>2.5</v>
      </c>
      <c r="H36" s="11" t="n">
        <v>0.8</v>
      </c>
      <c r="I36" s="11" t="n">
        <v>1.94</v>
      </c>
      <c r="J36" t="inlineStr">
        <is>
          <t>—</t>
        </is>
      </c>
      <c r="K36" t="inlineStr">
        <is>
          <t>—</t>
        </is>
      </c>
    </row>
    <row r="37">
      <c r="A37" t="inlineStr">
        <is>
          <t>1936 "</t>
        </is>
      </c>
      <c r="B37" s="11" t="n">
        <v>0.8</v>
      </c>
      <c r="C37" s="11" t="n">
        <v>2</v>
      </c>
      <c r="D37" s="11" t="n">
        <v>0.63</v>
      </c>
      <c r="E37" s="11" t="n">
        <v>2.67</v>
      </c>
      <c r="F37" s="11" t="n">
        <v>0.6899999999999999</v>
      </c>
      <c r="G37" s="11" t="n">
        <v>2.2</v>
      </c>
      <c r="H37" s="11" t="n">
        <v>0.99</v>
      </c>
      <c r="I37" s="11" t="n">
        <v>1.95</v>
      </c>
      <c r="J37" t="inlineStr">
        <is>
          <t>—</t>
        </is>
      </c>
      <c r="K37" t="inlineStr">
        <is>
          <t>—</t>
        </is>
      </c>
    </row>
    <row r="38">
      <c r="A38" t="inlineStr">
        <is>
          <t>1937 June</t>
        </is>
      </c>
      <c r="B38" s="11" t="n">
        <v>0.8</v>
      </c>
      <c r="C38" s="11" t="n">
        <v>2</v>
      </c>
      <c r="D38" s="11" t="n">
        <v>0.7</v>
      </c>
      <c r="E38" s="11" t="n">
        <v>2.5</v>
      </c>
      <c r="F38" s="11" t="n">
        <v>0.7</v>
      </c>
      <c r="G38" s="11" t="n">
        <v>2.5</v>
      </c>
      <c r="H38" s="11" t="n">
        <v>1</v>
      </c>
      <c r="I38" s="11" t="n">
        <v>1.8</v>
      </c>
      <c r="J38" s="11" t="n">
        <v>0.5</v>
      </c>
      <c r="K38" s="11" t="n">
        <v>1.1</v>
      </c>
    </row>
    <row r="39">
      <c r="A39" t="inlineStr">
        <is>
          <t>" Dec.</t>
        </is>
      </c>
      <c r="B39" s="11" t="n">
        <v>0.85</v>
      </c>
      <c r="C39" s="11" t="n">
        <v>2</v>
      </c>
      <c r="D39" s="11" t="n">
        <v>0.7</v>
      </c>
      <c r="E39" s="11" t="n">
        <v>2.5</v>
      </c>
      <c r="F39" s="11" t="n">
        <v>0.8</v>
      </c>
      <c r="G39" s="11" t="n">
        <v>2.4</v>
      </c>
      <c r="H39" s="11" t="n">
        <v>1</v>
      </c>
      <c r="I39" s="11" t="n">
        <v>1.8</v>
      </c>
      <c r="J39" s="11" t="n">
        <v>1.1</v>
      </c>
      <c r="K39" s="11" t="n">
        <v>2</v>
      </c>
    </row>
    <row r="40">
      <c r="A40" t="inlineStr">
        <is>
          <t>1938 June</t>
        </is>
      </c>
      <c r="B40" s="11" t="n">
        <v>0.6</v>
      </c>
      <c r="C40" s="11" t="n">
        <v>2</v>
      </c>
      <c r="D40" s="11" t="n">
        <v>0.85</v>
      </c>
      <c r="E40" s="11" t="n">
        <v>3</v>
      </c>
      <c r="F40" s="11" t="n">
        <v>0.85</v>
      </c>
      <c r="G40" s="11" t="n">
        <v>2.6</v>
      </c>
      <c r="H40" s="11" t="n">
        <v>0.75</v>
      </c>
      <c r="I40" s="11" t="n">
        <v>2.5</v>
      </c>
      <c r="J40" s="11" t="n">
        <v>0.8</v>
      </c>
      <c r="K40" s="11" t="n">
        <v>1.5</v>
      </c>
    </row>
    <row r="41">
      <c r="A41" t="inlineStr">
        <is>
          <t>" Dec.</t>
        </is>
      </c>
      <c r="B41" s="11" t="n">
        <v>0.6</v>
      </c>
      <c r="C41" s="11" t="n">
        <v>2</v>
      </c>
      <c r="D41" s="11" t="n">
        <v>1.1</v>
      </c>
      <c r="E41" s="11" t="n">
        <v>3.5</v>
      </c>
      <c r="F41" s="11" t="n">
        <v>1</v>
      </c>
      <c r="G41" s="11" t="n">
        <v>2.7</v>
      </c>
      <c r="H41" s="11" t="n">
        <v>0.8</v>
      </c>
      <c r="I41" s="11" t="n">
        <v>2.8</v>
      </c>
      <c r="J41" s="11" t="n">
        <v>1</v>
      </c>
      <c r="K41" s="11" t="n">
        <v>2.6</v>
      </c>
    </row>
    <row r="42">
      <c r="A42" t="inlineStr">
        <is>
          <t>Shoe-maker:</t>
        </is>
      </c>
      <c r="B42" t="inlineStr"/>
      <c r="C42" t="inlineStr"/>
      <c r="D42" t="inlineStr"/>
      <c r="E42" t="inlineStr"/>
      <c r="F42" t="inlineStr"/>
      <c r="G42" t="inlineStr"/>
      <c r="H42" t="inlineStr"/>
      <c r="I42" t="inlineStr"/>
      <c r="J42" t="inlineStr"/>
      <c r="K42" t="inlineStr"/>
    </row>
    <row r="43">
      <c r="A43" t="inlineStr">
        <is>
          <t>1935 Ave.</t>
        </is>
      </c>
      <c r="B43" s="11" t="n">
        <v>1.38</v>
      </c>
      <c r="C43" s="11" t="n">
        <v>2.58</v>
      </c>
      <c r="D43" s="11" t="n">
        <v>1.5</v>
      </c>
      <c r="E43" s="11" t="n">
        <v>2.28</v>
      </c>
      <c r="F43" s="11" t="n">
        <v>1.6</v>
      </c>
      <c r="G43" s="11" t="n">
        <v>2.5</v>
      </c>
      <c r="H43" t="inlineStr">
        <is>
          <t>60.00*</t>
        </is>
      </c>
      <c r="I43" t="inlineStr">
        <is>
          <t>120.00*</t>
        </is>
      </c>
      <c r="J43" t="inlineStr">
        <is>
          <t>—</t>
        </is>
      </c>
      <c r="K43" t="inlineStr">
        <is>
          <t>—</t>
        </is>
      </c>
    </row>
    <row r="44">
      <c r="A44" t="inlineStr">
        <is>
          <t>1936 "</t>
        </is>
      </c>
      <c r="B44" s="11" t="n">
        <v>1.45</v>
      </c>
      <c r="C44" s="11" t="n">
        <v>2.5</v>
      </c>
      <c r="D44" s="11" t="n">
        <v>1.5</v>
      </c>
      <c r="E44" s="11" t="n">
        <v>2.3</v>
      </c>
      <c r="F44" s="11" t="n">
        <v>1.6</v>
      </c>
      <c r="G44" s="11" t="n">
        <v>2.5</v>
      </c>
      <c r="H44" t="inlineStr">
        <is>
          <t>60.00*</t>
        </is>
      </c>
      <c r="I44" t="inlineStr">
        <is>
          <t>120.00*</t>
        </is>
      </c>
      <c r="J44" t="inlineStr">
        <is>
          <t>—</t>
        </is>
      </c>
      <c r="K44" t="inlineStr">
        <is>
          <t>—</t>
        </is>
      </c>
    </row>
    <row r="45">
      <c r="A45" t="inlineStr">
        <is>
          <t>1937 June</t>
        </is>
      </c>
      <c r="B45" s="11" t="n">
        <v>1.5</v>
      </c>
      <c r="C45" s="11" t="n">
        <v>2.5</v>
      </c>
      <c r="D45" s="11" t="n">
        <v>1.5</v>
      </c>
      <c r="E45" s="11" t="n">
        <v>2.3</v>
      </c>
      <c r="F45" s="11" t="n">
        <v>1.6</v>
      </c>
      <c r="G45" s="11" t="n">
        <v>2.5</v>
      </c>
      <c r="H45" t="inlineStr">
        <is>
          <t>60.00*</t>
        </is>
      </c>
      <c r="I45" t="inlineStr">
        <is>
          <t>120.00*</t>
        </is>
      </c>
      <c r="J45" s="11" t="n">
        <v>1</v>
      </c>
      <c r="K45" s="11" t="n">
        <v>2.4</v>
      </c>
    </row>
    <row r="46">
      <c r="A46" t="inlineStr">
        <is>
          <t>" Dec.</t>
        </is>
      </c>
      <c r="B46" s="11" t="n">
        <v>1.5</v>
      </c>
      <c r="C46" s="11" t="n">
        <v>2.5</v>
      </c>
      <c r="D46" s="11" t="n">
        <v>1.5</v>
      </c>
      <c r="E46" s="11" t="n">
        <v>2.5</v>
      </c>
      <c r="F46" s="11" t="n">
        <v>1.6</v>
      </c>
      <c r="G46" s="11" t="n">
        <v>2.5</v>
      </c>
      <c r="H46" t="inlineStr">
        <is>
          <t>60.00*</t>
        </is>
      </c>
      <c r="I46" t="inlineStr">
        <is>
          <t>120.00*</t>
        </is>
      </c>
      <c r="J46" s="11" t="n">
        <v>1.2</v>
      </c>
      <c r="K46" s="11" t="n">
        <v>2.2</v>
      </c>
    </row>
    <row r="47">
      <c r="A47" t="inlineStr">
        <is>
          <t>1938 June</t>
        </is>
      </c>
      <c r="B47" s="11" t="n">
        <v>1.5</v>
      </c>
      <c r="C47" s="11" t="n">
        <v>2.5</v>
      </c>
      <c r="D47" s="11" t="n">
        <v>1.5</v>
      </c>
      <c r="E47" s="11" t="n">
        <v>2.5</v>
      </c>
      <c r="F47" s="11" t="n">
        <v>1.7</v>
      </c>
      <c r="G47" s="11" t="n">
        <v>2.5</v>
      </c>
      <c r="H47" t="inlineStr">
        <is>
          <t>60.00*</t>
        </is>
      </c>
      <c r="I47" t="inlineStr">
        <is>
          <t>120.00*</t>
        </is>
      </c>
      <c r="J47" s="11" t="n">
        <v>1.4</v>
      </c>
      <c r="K47" s="11" t="n">
        <v>2.2</v>
      </c>
    </row>
    <row r="48">
      <c r="A48" t="inlineStr">
        <is>
          <t>" Dec.</t>
        </is>
      </c>
      <c r="B48" s="11" t="n">
        <v>1.5</v>
      </c>
      <c r="C48" s="11" t="n">
        <v>2</v>
      </c>
      <c r="D48" s="11" t="n">
        <v>1.5</v>
      </c>
      <c r="E48" s="11" t="n">
        <v>2.5</v>
      </c>
      <c r="F48" s="11" t="n">
        <v>1.7</v>
      </c>
      <c r="G48" s="11" t="n">
        <v>2.5</v>
      </c>
      <c r="H48" t="inlineStr">
        <is>
          <t>55.00*</t>
        </is>
      </c>
      <c r="I48" t="inlineStr">
        <is>
          <t>120.00*</t>
        </is>
      </c>
      <c r="J48" s="11" t="n">
        <v>2</v>
      </c>
      <c r="K48" s="11" t="n">
        <v>3.6</v>
      </c>
    </row>
    <row r="49">
      <c r="A49" t="inlineStr">
        <is>
          <t>Tailor:</t>
        </is>
      </c>
      <c r="B49" t="inlineStr"/>
      <c r="C49" t="inlineStr"/>
      <c r="D49" t="inlineStr"/>
      <c r="E49" t="inlineStr"/>
      <c r="F49" t="inlineStr"/>
      <c r="G49" t="inlineStr"/>
      <c r="H49" t="inlineStr"/>
      <c r="I49" t="inlineStr"/>
      <c r="J49" t="inlineStr"/>
      <c r="K49" t="inlineStr"/>
    </row>
    <row r="50">
      <c r="A50" t="inlineStr">
        <is>
          <t>1935 Ave.</t>
        </is>
      </c>
      <c r="B50" s="11" t="n">
        <v>1.84</v>
      </c>
      <c r="C50" s="11" t="n">
        <v>2.49</v>
      </c>
      <c r="D50" s="11" t="n">
        <v>1.96</v>
      </c>
      <c r="E50" s="11" t="n">
        <v>2.04</v>
      </c>
      <c r="F50" t="inlineStr">
        <is>
          <t>50.00*</t>
        </is>
      </c>
      <c r="G50" t="inlineStr">
        <is>
          <t>75.00*</t>
        </is>
      </c>
      <c r="H50" t="inlineStr">
        <is>
          <t>65.00*</t>
        </is>
      </c>
      <c r="I50" t="inlineStr">
        <is>
          <t>120.00*</t>
        </is>
      </c>
      <c r="J50" t="inlineStr">
        <is>
          <t>—</t>
        </is>
      </c>
      <c r="K50" t="inlineStr">
        <is>
          <t>—</t>
        </is>
      </c>
    </row>
    <row r="51">
      <c r="A51" t="inlineStr">
        <is>
          <t>1936 "</t>
        </is>
      </c>
      <c r="B51" s="11" t="n">
        <v>1.7</v>
      </c>
      <c r="C51" s="11" t="n">
        <v>2.28</v>
      </c>
      <c r="D51" s="11" t="n">
        <v>2</v>
      </c>
      <c r="E51" s="11" t="n">
        <v>2</v>
      </c>
      <c r="F51" t="inlineStr">
        <is>
          <t>52.50*</t>
        </is>
      </c>
      <c r="G51" t="inlineStr">
        <is>
          <t>59.17*</t>
        </is>
      </c>
      <c r="H51" t="inlineStr">
        <is>
          <t>65.00*</t>
        </is>
      </c>
      <c r="I51" t="inlineStr">
        <is>
          <t>120.00*</t>
        </is>
      </c>
      <c r="J51" t="inlineStr">
        <is>
          <t>—</t>
        </is>
      </c>
      <c r="K51" t="inlineStr">
        <is>
          <t>—</t>
        </is>
      </c>
    </row>
    <row r="52">
      <c r="A52" t="inlineStr">
        <is>
          <t>1937 June</t>
        </is>
      </c>
      <c r="B52" s="11" t="n">
        <v>1.4</v>
      </c>
      <c r="C52" s="11" t="n">
        <v>2.2</v>
      </c>
      <c r="D52" s="11" t="n">
        <v>2</v>
      </c>
      <c r="E52" s="11" t="n">
        <v>2</v>
      </c>
      <c r="F52" t="inlineStr">
        <is>
          <t>55.00*</t>
        </is>
      </c>
      <c r="G52" t="inlineStr">
        <is>
          <t>60.00*</t>
        </is>
      </c>
      <c r="H52" t="inlineStr">
        <is>
          <t>65.00*</t>
        </is>
      </c>
      <c r="I52" t="inlineStr">
        <is>
          <t>120.00*</t>
        </is>
      </c>
      <c r="J52" s="11" t="n">
        <v>1.2</v>
      </c>
      <c r="K52" s="11" t="n">
        <v>2.2</v>
      </c>
    </row>
    <row r="53">
      <c r="A53" t="inlineStr">
        <is>
          <t>" Dec.</t>
        </is>
      </c>
      <c r="B53" s="11" t="n">
        <v>1.5</v>
      </c>
      <c r="C53" s="11" t="n">
        <v>2.2</v>
      </c>
      <c r="D53" s="11" t="n">
        <v>2</v>
      </c>
      <c r="E53" s="11" t="n">
        <v>2</v>
      </c>
      <c r="F53" t="inlineStr">
        <is>
          <t>70.00*</t>
        </is>
      </c>
      <c r="G53" t="inlineStr">
        <is>
          <t>75.50*</t>
        </is>
      </c>
      <c r="H53" t="inlineStr">
        <is>
          <t>65.00*</t>
        </is>
      </c>
      <c r="I53" t="inlineStr">
        <is>
          <t>120.00*</t>
        </is>
      </c>
      <c r="J53" s="11" t="n">
        <v>1.2</v>
      </c>
      <c r="K53" s="11" t="n">
        <v>2.3</v>
      </c>
    </row>
    <row r="54">
      <c r="A54" t="inlineStr">
        <is>
          <t>1938 June</t>
        </is>
      </c>
      <c r="B54" s="11" t="n">
        <v>1.5</v>
      </c>
      <c r="C54" s="11" t="n">
        <v>2.3</v>
      </c>
      <c r="D54" s="11" t="n">
        <v>2</v>
      </c>
      <c r="E54" s="11" t="n">
        <v>2</v>
      </c>
      <c r="F54" t="inlineStr">
        <is>
          <t>60.00*</t>
        </is>
      </c>
      <c r="G54" t="inlineStr">
        <is>
          <t>65.00*</t>
        </is>
      </c>
      <c r="H54" t="inlineStr">
        <is>
          <t>65.00*</t>
        </is>
      </c>
      <c r="I54" t="inlineStr">
        <is>
          <t>120.00*</t>
        </is>
      </c>
      <c r="J54" s="11" t="n">
        <v>1.4</v>
      </c>
      <c r="K54" s="11" t="n">
        <v>3</v>
      </c>
    </row>
    <row r="55">
      <c r="A55" t="inlineStr">
        <is>
          <t>" Dec.</t>
        </is>
      </c>
      <c r="B55" s="11" t="n">
        <v>1.5</v>
      </c>
      <c r="C55" s="11" t="n">
        <v>2.5</v>
      </c>
      <c r="D55" s="11" t="n">
        <v>2</v>
      </c>
      <c r="E55" s="11" t="n">
        <v>2</v>
      </c>
      <c r="F55" t="inlineStr">
        <is>
          <t>100.00*</t>
        </is>
      </c>
      <c r="G55" t="inlineStr">
        <is>
          <t>—</t>
        </is>
      </c>
      <c r="H55" t="inlineStr">
        <is>
          <t>65.00*</t>
        </is>
      </c>
      <c r="I55" t="inlineStr">
        <is>
          <t>120.00*</t>
        </is>
      </c>
      <c r="J55" s="11" t="n">
        <v>2</v>
      </c>
      <c r="K55" s="11" t="n">
        <v>3.8</v>
      </c>
    </row>
    <row r="56">
      <c r="A56" t="inlineStr">
        <is>
          <t>Printer:</t>
        </is>
      </c>
      <c r="B56" t="inlineStr"/>
      <c r="C56" t="inlineStr"/>
      <c r="D56" t="inlineStr"/>
      <c r="E56" t="inlineStr"/>
      <c r="F56" t="inlineStr"/>
      <c r="G56" t="inlineStr"/>
      <c r="H56" t="inlineStr"/>
      <c r="I56" t="inlineStr"/>
      <c r="J56" t="inlineStr"/>
      <c r="K56" t="inlineStr"/>
    </row>
    <row r="57">
      <c r="A57" t="inlineStr">
        <is>
          <t>1935 Ave.</t>
        </is>
      </c>
      <c r="B57" s="11" t="n">
        <v>1.45</v>
      </c>
      <c r="C57" s="11" t="n">
        <v>2.84</v>
      </c>
      <c r="D57" s="11" t="n">
        <v>0.88</v>
      </c>
      <c r="E57" s="11" t="n">
        <v>1.5</v>
      </c>
      <c r="F57" s="11" t="n">
        <v>1.15</v>
      </c>
      <c r="G57" s="11" t="n">
        <v>3.31</v>
      </c>
      <c r="H57" t="inlineStr">
        <is>
          <t>60.00*</t>
        </is>
      </c>
      <c r="I57" t="inlineStr">
        <is>
          <t>120.00*</t>
        </is>
      </c>
      <c r="J57" t="inlineStr">
        <is>
          <t>—</t>
        </is>
      </c>
      <c r="K57" t="inlineStr">
        <is>
          <t>—</t>
        </is>
      </c>
    </row>
    <row r="58">
      <c r="A58" t="inlineStr">
        <is>
          <t>1936 "</t>
        </is>
      </c>
      <c r="B58" s="11" t="n">
        <v>1.52</v>
      </c>
      <c r="C58" s="11" t="n">
        <v>2.79</v>
      </c>
      <c r="D58" s="11" t="n">
        <v>0.9</v>
      </c>
      <c r="E58" s="11" t="n">
        <v>1.5</v>
      </c>
      <c r="F58" s="11" t="n">
        <v>1.25</v>
      </c>
      <c r="G58" s="11" t="n">
        <v>2.88</v>
      </c>
      <c r="H58" t="inlineStr">
        <is>
          <t>60.00*</t>
        </is>
      </c>
      <c r="I58" t="inlineStr">
        <is>
          <t>120.00*</t>
        </is>
      </c>
      <c r="J58" t="inlineStr">
        <is>
          <t>—</t>
        </is>
      </c>
      <c r="K58" t="inlineStr">
        <is>
          <t>—</t>
        </is>
      </c>
    </row>
    <row r="59">
      <c r="A59" t="inlineStr">
        <is>
          <t>1937 June</t>
        </is>
      </c>
      <c r="B59" s="11" t="n">
        <v>1.4</v>
      </c>
      <c r="C59" s="11" t="n">
        <v>2.8</v>
      </c>
      <c r="D59" s="11" t="n">
        <v>0.9</v>
      </c>
      <c r="E59" s="11" t="n">
        <v>1.5</v>
      </c>
      <c r="F59" s="11" t="n">
        <v>1.22</v>
      </c>
      <c r="G59" s="11" t="n">
        <v>3.22</v>
      </c>
      <c r="H59" t="inlineStr">
        <is>
          <t>60.00*</t>
        </is>
      </c>
      <c r="I59" t="inlineStr">
        <is>
          <t>120.00*</t>
        </is>
      </c>
      <c r="J59" s="11" t="n">
        <v>1.2</v>
      </c>
      <c r="K59" s="11" t="n">
        <v>2.2</v>
      </c>
    </row>
    <row r="60">
      <c r="A60" t="inlineStr">
        <is>
          <t>" Dec.</t>
        </is>
      </c>
      <c r="B60" s="11" t="n">
        <v>1.4</v>
      </c>
      <c r="C60" s="11" t="n">
        <v>2.8</v>
      </c>
      <c r="D60" s="11" t="n">
        <v>0.9</v>
      </c>
      <c r="E60" s="11" t="n">
        <v>1.5</v>
      </c>
      <c r="F60" s="11" t="n">
        <v>1.37</v>
      </c>
      <c r="G60" s="11" t="n">
        <v>3.64</v>
      </c>
      <c r="H60" t="inlineStr">
        <is>
          <t>60.00*</t>
        </is>
      </c>
      <c r="I60" t="inlineStr">
        <is>
          <t>120.00*</t>
        </is>
      </c>
      <c r="J60" s="11" t="n">
        <v>1.2</v>
      </c>
      <c r="K60" s="11" t="n">
        <v>2.2</v>
      </c>
    </row>
    <row r="61">
      <c r="A61" t="inlineStr">
        <is>
          <t>1938 June</t>
        </is>
      </c>
      <c r="B61" s="11" t="n">
        <v>1.4</v>
      </c>
      <c r="C61" s="11" t="n">
        <v>2.7</v>
      </c>
      <c r="D61" s="11" t="n">
        <v>0.9</v>
      </c>
      <c r="E61" s="11" t="n">
        <v>1.5</v>
      </c>
      <c r="F61" s="11" t="n">
        <v>1.36</v>
      </c>
      <c r="G61" s="11" t="n">
        <v>3.49</v>
      </c>
      <c r="H61" t="inlineStr">
        <is>
          <t>60.00*</t>
        </is>
      </c>
      <c r="I61" t="inlineStr">
        <is>
          <t>120.00*</t>
        </is>
      </c>
      <c r="J61" s="11" t="n">
        <v>1.4</v>
      </c>
      <c r="K61" s="11" t="n">
        <v>2.4</v>
      </c>
    </row>
    <row r="62">
      <c r="A62" t="inlineStr">
        <is>
          <t>" Dec.</t>
        </is>
      </c>
      <c r="B62" s="11" t="n">
        <v>1.5</v>
      </c>
      <c r="C62" s="11" t="n">
        <v>3</v>
      </c>
      <c r="D62" s="11" t="n">
        <v>0.9</v>
      </c>
      <c r="E62" s="11" t="n">
        <v>1.5</v>
      </c>
      <c r="F62" s="11" t="n">
        <v>1.31</v>
      </c>
      <c r="G62" s="11" t="n">
        <v>2.93</v>
      </c>
      <c r="H62" t="inlineStr">
        <is>
          <t>60.00*</t>
        </is>
      </c>
      <c r="I62" t="inlineStr">
        <is>
          <t>120.00*</t>
        </is>
      </c>
      <c r="J62" s="11" t="n">
        <v>1.6</v>
      </c>
      <c r="K62" s="11" t="n">
        <v>3.4</v>
      </c>
    </row>
    <row r="64">
      <c r="A64" s="2" t="inlineStr">
        <is>
          <t>Transcriber's notes</t>
        </is>
      </c>
    </row>
    <row r="65">
      <c r="A65" t="inlineStr">
        <is>
          <t>M. = Manchurian (Manchoukuoan) workers, J. = Japanese workers (per text: 'wages ... extended to Japanese and Manchoukuoans').</t>
        </is>
      </c>
    </row>
    <row r="66">
      <c r="A66" t="inlineStr">
        <is>
          <t>Carpenter and Plasterer on p. 645; Blacksmith to Printer on p. 646 (IMG_5781, left page, headed '(Continued)'; page number not printed on that page — running head 'LABOR' only).</t>
        </is>
      </c>
    </row>
    <row r="67">
      <c r="A67" t="inlineStr">
        <is>
          <t>Stub ditto marks ('1936 "' = 1936 Ave.; '" Dec.' = Dec. of the year above) transcribed as '"'.</t>
        </is>
      </c>
    </row>
    <row r="68">
      <c r="A68" t="inlineStr">
        <is>
          <t>Figures marked * (e.g. 60.00*, 120.00*) are evidently monthly rates; no footnote explaining the asterisk is printed on either page.</t>
        </is>
      </c>
    </row>
    <row r="69">
      <c r="A69" t="inlineStr">
        <is>
          <t>Tsitsihar columns (and on p. 646 the Harbin J. column) are printed staggered up to one line lower than the other columns, crowding the gutter; aligned by order within each occupation (each has exactly 6 values).</t>
        </is>
      </c>
    </row>
    <row r="70">
      <c r="A70" t="inlineStr">
        <is>
          <t>No totals printed.</t>
        </is>
      </c>
    </row>
  </sheetData>
  <hyperlinks>
    <hyperlink xmlns:r="http://schemas.openxmlformats.org/officeDocument/2006/relationships" ref="A4" r:id="rId1"/>
  </hyperlink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Labor Disputes</t>
        </is>
      </c>
    </row>
    <row r="2">
      <c r="A2" t="inlineStr">
        <is>
          <t>Labor · printed pp. 647</t>
        </is>
      </c>
    </row>
    <row r="3">
      <c r="A3" s="3" t="inlineStr">
        <is>
          <t>← Contents</t>
        </is>
      </c>
    </row>
    <row r="5">
      <c r="A5" s="2" t="inlineStr">
        <is>
          <t>Number of Labor Disputes, Participants, etc.</t>
        </is>
      </c>
    </row>
    <row r="6">
      <c r="A6" s="5" t="inlineStr">
        <is>
          <t>Year</t>
        </is>
      </c>
      <c r="B6" s="5" t="inlineStr">
        <is>
          <t>Number of cases</t>
        </is>
      </c>
      <c r="C6" s="5" t="inlineStr">
        <is>
          <t>No. of participants</t>
        </is>
      </c>
      <c r="D6" s="5" t="inlineStr">
        <is>
          <t>No. of participants per case</t>
        </is>
      </c>
      <c r="E6" s="5" t="inlineStr">
        <is>
          <t>No. of days</t>
        </is>
      </c>
      <c r="F6" s="5" t="inlineStr">
        <is>
          <t>No. of days per case</t>
        </is>
      </c>
    </row>
    <row r="7">
      <c r="A7" s="9" t="n">
        <v>1930</v>
      </c>
      <c r="B7" s="9" t="n">
        <v>35</v>
      </c>
      <c r="C7" s="6" t="n">
        <v>2785</v>
      </c>
      <c r="D7" s="9" t="n">
        <v>80</v>
      </c>
      <c r="E7" s="9" t="n">
        <v>114</v>
      </c>
      <c r="F7" s="8" t="n">
        <v>3.3</v>
      </c>
    </row>
    <row r="8">
      <c r="A8" s="9" t="n">
        <v>1931</v>
      </c>
      <c r="B8" s="9" t="n">
        <v>20</v>
      </c>
      <c r="C8" s="6" t="n">
        <v>3031</v>
      </c>
      <c r="D8" s="9" t="n">
        <v>152</v>
      </c>
      <c r="E8" s="9" t="n">
        <v>92</v>
      </c>
      <c r="F8" s="8" t="n">
        <v>4.6</v>
      </c>
    </row>
    <row r="9">
      <c r="A9" s="9" t="n">
        <v>1932</v>
      </c>
      <c r="B9" s="9" t="n">
        <v>8</v>
      </c>
      <c r="C9" s="6" t="n">
        <v>1134</v>
      </c>
      <c r="D9" s="9" t="n">
        <v>142</v>
      </c>
      <c r="E9" s="9" t="n">
        <v>23</v>
      </c>
      <c r="F9" s="8" t="n">
        <v>2.9</v>
      </c>
    </row>
    <row r="10">
      <c r="A10" s="9" t="n">
        <v>1933</v>
      </c>
      <c r="B10" s="9" t="n">
        <v>29</v>
      </c>
      <c r="C10" s="6" t="n">
        <v>6345</v>
      </c>
      <c r="D10" s="9" t="n">
        <v>219</v>
      </c>
      <c r="E10" s="9" t="n">
        <v>81</v>
      </c>
      <c r="F10" s="8" t="n">
        <v>2.8</v>
      </c>
    </row>
    <row r="11">
      <c r="A11" s="9" t="n">
        <v>1934</v>
      </c>
      <c r="B11" s="9" t="n">
        <v>11</v>
      </c>
      <c r="C11" s="9" t="n">
        <v>863</v>
      </c>
      <c r="D11" s="9" t="n">
        <v>78</v>
      </c>
      <c r="E11" s="9" t="n">
        <v>52</v>
      </c>
      <c r="F11" s="8" t="n">
        <v>4.7</v>
      </c>
    </row>
    <row r="12">
      <c r="A12" s="9" t="n">
        <v>1935</v>
      </c>
      <c r="B12" s="9" t="n">
        <v>13</v>
      </c>
      <c r="C12" s="6" t="n">
        <v>1076</v>
      </c>
      <c r="D12" s="9" t="n">
        <v>83</v>
      </c>
      <c r="E12" s="9" t="n">
        <v>32</v>
      </c>
      <c r="F12" s="8" t="n">
        <v>2.5</v>
      </c>
    </row>
    <row r="13">
      <c r="A13" s="9" t="n">
        <v>1936</v>
      </c>
      <c r="B13" s="9" t="n">
        <v>13</v>
      </c>
      <c r="C13" s="6" t="n">
        <v>1129</v>
      </c>
      <c r="D13" s="9" t="n">
        <v>87</v>
      </c>
      <c r="E13" s="9" t="n">
        <v>46</v>
      </c>
      <c r="F13" s="8" t="n">
        <v>3.5</v>
      </c>
    </row>
    <row r="15">
      <c r="A15" s="2" t="inlineStr">
        <is>
          <t>(Continued) Labor Disputes by Industries</t>
        </is>
      </c>
    </row>
    <row r="16">
      <c r="A16" s="5" t="inlineStr">
        <is>
          <t>Year</t>
        </is>
      </c>
      <c r="B16" s="5" t="inlineStr">
        <is>
          <t>Mfg. Industry</t>
        </is>
      </c>
      <c r="C16" s="5" t="inlineStr">
        <is>
          <t>Mining</t>
        </is>
      </c>
      <c r="D16" s="5" t="inlineStr">
        <is>
          <t>Transportation</t>
        </is>
      </c>
      <c r="E16" s="5" t="inlineStr">
        <is>
          <t>Civil engineering</t>
        </is>
      </c>
      <c r="F16" s="5" t="inlineStr">
        <is>
          <t>Others</t>
        </is>
      </c>
      <c r="G16" s="5" t="inlineStr">
        <is>
          <t>Total</t>
        </is>
      </c>
    </row>
    <row r="17">
      <c r="A17" s="9" t="n">
        <v>1930</v>
      </c>
      <c r="B17" s="9" t="n">
        <v>16</v>
      </c>
      <c r="C17" s="9" t="n">
        <v>10</v>
      </c>
      <c r="D17" s="9" t="n">
        <v>5</v>
      </c>
      <c r="E17" s="9" t="n">
        <v>4</v>
      </c>
      <c r="F17" t="inlineStr">
        <is>
          <t>—</t>
        </is>
      </c>
      <c r="G17" s="9" t="n">
        <v>35</v>
      </c>
    </row>
    <row r="18">
      <c r="A18" s="9" t="n">
        <v>1931</v>
      </c>
      <c r="B18" s="9" t="n">
        <v>10</v>
      </c>
      <c r="C18" s="9" t="n">
        <v>2</v>
      </c>
      <c r="D18" s="9" t="n">
        <v>3</v>
      </c>
      <c r="E18" s="9" t="n">
        <v>3</v>
      </c>
      <c r="F18" s="9" t="n">
        <v>3</v>
      </c>
      <c r="G18" s="9" t="n">
        <v>20</v>
      </c>
    </row>
    <row r="19">
      <c r="A19" s="9" t="n">
        <v>1932</v>
      </c>
      <c r="B19" s="9" t="n">
        <v>5</v>
      </c>
      <c r="C19" t="inlineStr">
        <is>
          <t>—</t>
        </is>
      </c>
      <c r="D19" s="9" t="n">
        <v>1</v>
      </c>
      <c r="E19" t="inlineStr">
        <is>
          <t>—</t>
        </is>
      </c>
      <c r="F19" s="9" t="n">
        <v>2</v>
      </c>
      <c r="G19" s="9" t="n">
        <v>8</v>
      </c>
    </row>
    <row r="20">
      <c r="A20" s="9" t="n">
        <v>1933</v>
      </c>
      <c r="B20" s="9" t="n">
        <v>23</v>
      </c>
      <c r="C20" s="9" t="n">
        <v>1</v>
      </c>
      <c r="D20" s="9" t="n">
        <v>1</v>
      </c>
      <c r="E20" t="inlineStr">
        <is>
          <t>—</t>
        </is>
      </c>
      <c r="F20" s="9" t="n">
        <v>4</v>
      </c>
      <c r="G20" s="9" t="n">
        <v>29</v>
      </c>
    </row>
    <row r="21">
      <c r="A21" s="9" t="n">
        <v>1934</v>
      </c>
      <c r="B21" s="9" t="n">
        <v>9</v>
      </c>
      <c r="C21" t="inlineStr">
        <is>
          <t>—</t>
        </is>
      </c>
      <c r="D21" s="9" t="n">
        <v>1</v>
      </c>
      <c r="E21" t="inlineStr">
        <is>
          <t>—</t>
        </is>
      </c>
      <c r="F21" s="9" t="n">
        <v>1</v>
      </c>
      <c r="G21" s="9" t="n">
        <v>11</v>
      </c>
    </row>
    <row r="22">
      <c r="A22" s="9" t="n">
        <v>1935</v>
      </c>
      <c r="B22" s="9" t="n">
        <v>10</v>
      </c>
      <c r="C22" t="inlineStr">
        <is>
          <t>—</t>
        </is>
      </c>
      <c r="D22" s="9" t="n">
        <v>3</v>
      </c>
      <c r="E22" t="inlineStr">
        <is>
          <t>—</t>
        </is>
      </c>
      <c r="F22" t="inlineStr">
        <is>
          <t>—</t>
        </is>
      </c>
      <c r="G22" s="9" t="n">
        <v>13</v>
      </c>
    </row>
    <row r="23">
      <c r="A23" s="9" t="n">
        <v>1936</v>
      </c>
      <c r="B23" s="9" t="n">
        <v>7</v>
      </c>
      <c r="C23" t="inlineStr">
        <is>
          <t>—</t>
        </is>
      </c>
      <c r="D23" s="9" t="n">
        <v>4</v>
      </c>
      <c r="E23" t="inlineStr">
        <is>
          <t>—</t>
        </is>
      </c>
      <c r="F23" s="9" t="n">
        <v>2</v>
      </c>
      <c r="G23" s="9" t="n">
        <v>13</v>
      </c>
    </row>
    <row r="25">
      <c r="A25" s="2" t="inlineStr">
        <is>
          <t>Transcriber's notes</t>
        </is>
      </c>
    </row>
    <row r="26">
      <c r="A26" t="inlineStr">
        <is>
          <t>(a) 1930: participants/cases = 79.6 (printed 80); days/cases = 3.26 (printed 3.3)</t>
        </is>
      </c>
    </row>
    <row r="27">
      <c r="A27" t="inlineStr">
        <is>
          <t>(a) 1931: participants/cases = 151.6 (printed 152); days/cases = 4.60 (printed 4.6)</t>
        </is>
      </c>
    </row>
    <row r="28">
      <c r="A28" t="inlineStr">
        <is>
          <t>(a) 1932: participants/cases = 141.8 (printed 142); days/cases = 2.88 (printed 2.9)</t>
        </is>
      </c>
    </row>
    <row r="29">
      <c r="A29" t="inlineStr">
        <is>
          <t>(a) 1933: participants/cases = 218.8 (printed 219); days/cases = 2.79 (printed 2.8)</t>
        </is>
      </c>
    </row>
    <row r="30">
      <c r="A30" t="inlineStr">
        <is>
          <t>(a) 1934: participants/cases = 78.5 (printed 78); days/cases = 4.73 (printed 4.7)</t>
        </is>
      </c>
    </row>
    <row r="31">
      <c r="A31" t="inlineStr">
        <is>
          <t>(a) 1935: participants/cases = 82.8 (printed 83); days/cases = 2.46 (printed 2.5)</t>
        </is>
      </c>
    </row>
    <row r="32">
      <c r="A32" t="inlineStr">
        <is>
          <t>(a) 1936: participants/cases = 86.8 (printed 87); days/cases = 3.54 (printed 3.5)</t>
        </is>
      </c>
    </row>
    <row r="33">
      <c r="A33" t="inlineStr">
        <is>
          <t>(b) 1930: parts sum to 35 vs Total 35 — reconciles</t>
        </is>
      </c>
    </row>
    <row r="34">
      <c r="A34" t="inlineStr">
        <is>
          <t>(b) 1931: parts sum to 21 vs Total 20 — does NOT reconcile (diff -1)</t>
        </is>
      </c>
    </row>
    <row r="35">
      <c r="A35" t="inlineStr">
        <is>
          <t>(b) 1932: parts sum to 8 vs Total 8 — reconciles</t>
        </is>
      </c>
    </row>
    <row r="36">
      <c r="A36" t="inlineStr">
        <is>
          <t>(b) 1933: parts sum to 29 vs Total 29 — reconciles</t>
        </is>
      </c>
    </row>
    <row r="37">
      <c r="A37" t="inlineStr">
        <is>
          <t>(b) 1934: parts sum to 11 vs Total 11 — reconciles</t>
        </is>
      </c>
    </row>
    <row r="38">
      <c r="A38" t="inlineStr">
        <is>
          <t>(b) 1935: parts sum to 13 vs Total 13 — reconciles</t>
        </is>
      </c>
    </row>
    <row r="39">
      <c r="A39" t="inlineStr">
        <is>
          <t>(b) 1936: parts sum to 13 vs Total 13 — reconciles</t>
        </is>
      </c>
    </row>
    <row r="40">
      <c r="A40" t="inlineStr">
        <is>
          <t>(b) Totals equal the Number of cases in (a) for every year: yes</t>
        </is>
      </c>
    </row>
  </sheetData>
  <hyperlinks>
    <hyperlink xmlns:r="http://schemas.openxmlformats.org/officeDocument/2006/relationships" ref="A3" r:id="rId1"/>
  </hyperlink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Labor Disputes by Causes</t>
        </is>
      </c>
    </row>
    <row r="2">
      <c r="A2" t="inlineStr">
        <is>
          <t>Labor · printed pp. 647</t>
        </is>
      </c>
    </row>
    <row r="3">
      <c r="A3" s="3" t="inlineStr">
        <is>
          <t>← Contents</t>
        </is>
      </c>
    </row>
    <row r="5">
      <c r="A5" s="5" t="inlineStr">
        <is>
          <t>Year</t>
        </is>
      </c>
      <c r="B5" s="5" t="inlineStr">
        <is>
          <t>For higher wages</t>
        </is>
      </c>
      <c r="C5" s="5" t="inlineStr">
        <is>
          <t>Against wage decrease</t>
        </is>
      </c>
      <c r="D5" s="5" t="inlineStr">
        <is>
          <t>Demands for wage payment</t>
        </is>
      </c>
      <c r="E5" s="5" t="inlineStr">
        <is>
          <t>Complaint against treatment</t>
        </is>
      </c>
      <c r="F5" s="5" t="inlineStr">
        <is>
          <t>Complaint against system</t>
        </is>
      </c>
      <c r="G5" s="5" t="inlineStr">
        <is>
          <t>For shorter working hours</t>
        </is>
      </c>
      <c r="H5" s="5" t="inlineStr">
        <is>
          <t>Collision of feeling</t>
        </is>
      </c>
      <c r="I5" s="5" t="inlineStr">
        <is>
          <t>Total incl. others</t>
        </is>
      </c>
    </row>
    <row r="6">
      <c r="A6" s="9" t="n">
        <v>1930</v>
      </c>
      <c r="B6" s="9" t="n">
        <v>11</v>
      </c>
      <c r="C6" s="9" t="n">
        <v>4</v>
      </c>
      <c r="D6" s="9" t="n">
        <v>4</v>
      </c>
      <c r="E6" s="9" t="n">
        <v>2</v>
      </c>
      <c r="F6" s="9" t="n">
        <v>5</v>
      </c>
      <c r="G6" t="inlineStr">
        <is>
          <t>—</t>
        </is>
      </c>
      <c r="H6" s="9" t="n">
        <v>5</v>
      </c>
      <c r="I6" s="9" t="n">
        <v>35</v>
      </c>
    </row>
    <row r="7">
      <c r="A7" s="9" t="n">
        <v>1931</v>
      </c>
      <c r="B7" s="9" t="n">
        <v>6</v>
      </c>
      <c r="C7" s="9" t="n">
        <v>2</v>
      </c>
      <c r="D7" s="9" t="n">
        <v>3</v>
      </c>
      <c r="E7" s="9" t="n">
        <v>2</v>
      </c>
      <c r="F7" s="9" t="n">
        <v>2</v>
      </c>
      <c r="G7" t="inlineStr">
        <is>
          <t>—</t>
        </is>
      </c>
      <c r="H7" s="9" t="n">
        <v>4</v>
      </c>
      <c r="I7" s="9" t="n">
        <v>20</v>
      </c>
    </row>
    <row r="8">
      <c r="A8" s="9" t="n">
        <v>1932</v>
      </c>
      <c r="B8" s="9" t="n">
        <v>4</v>
      </c>
      <c r="C8" t="inlineStr">
        <is>
          <t>—</t>
        </is>
      </c>
      <c r="D8" s="9" t="n">
        <v>1</v>
      </c>
      <c r="E8" s="9" t="n">
        <v>2</v>
      </c>
      <c r="F8" s="9" t="n">
        <v>1</v>
      </c>
      <c r="G8" t="inlineStr">
        <is>
          <t>—</t>
        </is>
      </c>
      <c r="H8" t="inlineStr">
        <is>
          <t>—</t>
        </is>
      </c>
      <c r="I8" s="9" t="n">
        <v>8</v>
      </c>
    </row>
    <row r="9">
      <c r="A9" s="9" t="n">
        <v>1933</v>
      </c>
      <c r="B9" s="9" t="n">
        <v>12</v>
      </c>
      <c r="C9" s="9" t="n">
        <v>2</v>
      </c>
      <c r="D9" s="9" t="n">
        <v>4</v>
      </c>
      <c r="E9" s="9" t="n">
        <v>3</v>
      </c>
      <c r="F9" t="inlineStr">
        <is>
          <t>—</t>
        </is>
      </c>
      <c r="G9" s="9" t="n">
        <v>2</v>
      </c>
      <c r="H9" s="9" t="n">
        <v>3</v>
      </c>
      <c r="I9" s="9" t="n">
        <v>29</v>
      </c>
    </row>
    <row r="10">
      <c r="A10" s="9" t="n">
        <v>1934</v>
      </c>
      <c r="B10" s="9" t="n">
        <v>4</v>
      </c>
      <c r="C10" s="9" t="n">
        <v>3</v>
      </c>
      <c r="D10" t="inlineStr">
        <is>
          <t>—</t>
        </is>
      </c>
      <c r="E10" s="9" t="n">
        <v>1</v>
      </c>
      <c r="F10" s="9" t="n">
        <v>1</v>
      </c>
      <c r="G10" t="inlineStr">
        <is>
          <t>—</t>
        </is>
      </c>
      <c r="H10" s="9" t="n">
        <v>2</v>
      </c>
      <c r="I10" s="9" t="n">
        <v>11</v>
      </c>
    </row>
    <row r="11">
      <c r="A11" s="9" t="n">
        <v>1935</v>
      </c>
      <c r="B11" s="9" t="n">
        <v>5</v>
      </c>
      <c r="C11" t="inlineStr">
        <is>
          <t>—</t>
        </is>
      </c>
      <c r="D11" s="9" t="n">
        <v>2</v>
      </c>
      <c r="E11" t="inlineStr">
        <is>
          <t>—</t>
        </is>
      </c>
      <c r="F11" s="9" t="n">
        <v>4</v>
      </c>
      <c r="G11" t="inlineStr">
        <is>
          <t>—</t>
        </is>
      </c>
      <c r="H11" s="9" t="n">
        <v>2</v>
      </c>
      <c r="I11" s="9" t="n">
        <v>13</v>
      </c>
    </row>
    <row r="12">
      <c r="A12" s="9" t="n">
        <v>1936</v>
      </c>
      <c r="B12" s="9" t="n">
        <v>3</v>
      </c>
      <c r="C12" t="inlineStr">
        <is>
          <t>—</t>
        </is>
      </c>
      <c r="D12" s="9" t="n">
        <v>3</v>
      </c>
      <c r="E12" t="inlineStr">
        <is>
          <t>—</t>
        </is>
      </c>
      <c r="F12" s="9" t="n">
        <v>6</v>
      </c>
      <c r="G12" t="inlineStr">
        <is>
          <t>—</t>
        </is>
      </c>
      <c r="H12" s="9" t="n">
        <v>1</v>
      </c>
      <c r="I12" s="9" t="n">
        <v>13</v>
      </c>
    </row>
    <row r="14">
      <c r="A14" s="2" t="inlineStr">
        <is>
          <t>Transcriber's notes</t>
        </is>
      </c>
    </row>
    <row r="15">
      <c r="A15" t="inlineStr">
        <is>
          <t>1930: listed causes sum to 31 vs Total incl. others 35 — listed causes fall short by 4 (total includes others)</t>
        </is>
      </c>
    </row>
    <row r="16">
      <c r="A16" t="inlineStr">
        <is>
          <t>1931: listed causes sum to 19 vs Total incl. others 20 — listed causes fall short by 1 (total includes others)</t>
        </is>
      </c>
    </row>
    <row r="17">
      <c r="A17" t="inlineStr">
        <is>
          <t>1932: listed causes sum to 8 vs Total incl. others 8 — reconciles</t>
        </is>
      </c>
    </row>
    <row r="18">
      <c r="A18" t="inlineStr">
        <is>
          <t>1933: listed causes sum to 26 vs Total incl. others 29 — listed causes fall short by 3 (total includes others)</t>
        </is>
      </c>
    </row>
    <row r="19">
      <c r="A19" t="inlineStr">
        <is>
          <t>1934: listed causes sum to 11 vs Total incl. others 11 — reconciles</t>
        </is>
      </c>
    </row>
    <row r="20">
      <c r="A20" t="inlineStr">
        <is>
          <t>1935: listed causes sum to 13 vs Total incl. others 13 — reconciles</t>
        </is>
      </c>
    </row>
    <row r="21">
      <c r="A21" t="inlineStr">
        <is>
          <t>1936: listed causes sum to 13 vs Total incl. others 13 — reconciles</t>
        </is>
      </c>
    </row>
  </sheetData>
  <hyperlinks>
    <hyperlink xmlns:r="http://schemas.openxmlformats.org/officeDocument/2006/relationships" ref="A3" r:id="rId1"/>
  </hyperlink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[Educational institutions in Manchuria in 1929 (final statistics of the Northeastern regime)]</t>
        </is>
      </c>
    </row>
    <row r="2">
      <c r="A2" t="inlineStr">
        <is>
          <t>Cultural Activities · printed pp. 650</t>
        </is>
      </c>
    </row>
    <row r="3">
      <c r="A3" s="3" t="inlineStr">
        <is>
          <t>← Contents</t>
        </is>
      </c>
    </row>
    <row r="5">
      <c r="A5" s="5" t="inlineStr">
        <is>
          <t>Institution</t>
        </is>
      </c>
      <c r="B5" s="5" t="inlineStr">
        <is>
          <t>No. of institutions</t>
        </is>
      </c>
      <c r="C5" s="5" t="inlineStr">
        <is>
          <t>Enrollement</t>
        </is>
      </c>
    </row>
    <row r="6">
      <c r="A6" t="inlineStr">
        <is>
          <t>Elementary education</t>
        </is>
      </c>
      <c r="B6" t="inlineStr"/>
      <c r="C6" t="inlineStr"/>
    </row>
    <row r="7">
      <c r="A7" t="inlineStr">
        <is>
          <t>Lower and higher primary schools</t>
        </is>
      </c>
      <c r="B7" s="6" t="n">
        <v>12465</v>
      </c>
      <c r="C7" s="6" t="n">
        <v>752756</v>
      </c>
    </row>
    <row r="8">
      <c r="A8" t="inlineStr">
        <is>
          <t>Secondary education</t>
        </is>
      </c>
      <c r="B8" t="inlineStr"/>
      <c r="C8" t="inlineStr"/>
    </row>
    <row r="9">
      <c r="A9" t="inlineStr">
        <is>
          <t>Middle schools</t>
        </is>
      </c>
      <c r="B9" s="9" t="n">
        <v>173</v>
      </c>
      <c r="C9" s="6" t="n">
        <v>30140</v>
      </c>
    </row>
    <row r="10">
      <c r="A10" t="inlineStr">
        <is>
          <t>Normal schools</t>
        </is>
      </c>
      <c r="B10" s="9" t="n">
        <v>126</v>
      </c>
      <c r="C10" t="inlineStr">
        <is>
          <t>—</t>
        </is>
      </c>
    </row>
    <row r="11">
      <c r="A11" t="inlineStr">
        <is>
          <t>Vocational schools</t>
        </is>
      </c>
      <c r="B11" s="9" t="n">
        <v>56</v>
      </c>
      <c r="C11" s="6" t="n">
        <v>3523</v>
      </c>
    </row>
    <row r="12">
      <c r="A12" t="inlineStr">
        <is>
          <t>Higher education</t>
        </is>
      </c>
      <c r="B12" t="inlineStr"/>
      <c r="C12" t="inlineStr"/>
    </row>
    <row r="13">
      <c r="A13" t="inlineStr">
        <is>
          <t>Universities and colleges</t>
        </is>
      </c>
      <c r="B13" s="9" t="n">
        <v>9</v>
      </c>
      <c r="C13" s="6" t="n">
        <v>3617</v>
      </c>
    </row>
    <row r="15">
      <c r="A15" s="2" t="inlineStr">
        <is>
          <t>Transcriber's notes</t>
        </is>
      </c>
    </row>
    <row r="16">
      <c r="A16" t="inlineStr">
        <is>
          <t>Unnumbered in-text table; no totals printed.</t>
        </is>
      </c>
    </row>
    <row r="17">
      <c r="A17" t="inlineStr">
        <is>
          <t>Header 'Enrollement' spelt so in source.</t>
        </is>
      </c>
    </row>
    <row r="18">
      <c r="A18" t="inlineStr">
        <is>
          <t>Normal schools enrolment printed as a dash.</t>
        </is>
      </c>
    </row>
    <row r="19">
      <c r="A19" t="inlineStr">
        <is>
          <t>A stray dot follows 3,617.</t>
        </is>
      </c>
    </row>
  </sheetData>
  <hyperlinks>
    <hyperlink xmlns:r="http://schemas.openxmlformats.org/officeDocument/2006/relationships" ref="A3" r:id="rId1"/>
  </hyperlink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Statistics of Primary Educational Organs</t>
        </is>
      </c>
    </row>
    <row r="2">
      <c r="A2" t="inlineStr">
        <is>
          <t>Cultural Activities · printed pp. 654, 655</t>
        </is>
      </c>
    </row>
    <row r="3">
      <c r="A3" s="3" t="inlineStr">
        <is>
          <t>← Contents</t>
        </is>
      </c>
    </row>
    <row r="5">
      <c r="A5" s="5" t="inlineStr">
        <is>
          <t>April</t>
        </is>
      </c>
      <c r="B5" s="5" t="inlineStr">
        <is>
          <t>No. of Schools</t>
        </is>
      </c>
      <c r="C5" s="5" t="inlineStr">
        <is>
          <t>Teachers — Male</t>
        </is>
      </c>
      <c r="D5" s="5" t="inlineStr">
        <is>
          <t>Teachers — Female</t>
        </is>
      </c>
      <c r="E5" s="5" t="inlineStr">
        <is>
          <t>Teachers — Total</t>
        </is>
      </c>
      <c r="F5" s="5" t="inlineStr">
        <is>
          <t>Pupils (1,000) — Male</t>
        </is>
      </c>
      <c r="G5" s="5" t="inlineStr">
        <is>
          <t>Pupils (1,000) — Female</t>
        </is>
      </c>
      <c r="H5" s="5" t="inlineStr">
        <is>
          <t>Pupils (1,000) — Total</t>
        </is>
      </c>
    </row>
    <row r="6">
      <c r="A6" s="9" t="n">
        <v>1932</v>
      </c>
      <c r="B6" s="6" t="n">
        <v>11595</v>
      </c>
      <c r="C6" t="inlineStr">
        <is>
          <t>—</t>
        </is>
      </c>
      <c r="D6" t="inlineStr">
        <is>
          <t>—</t>
        </is>
      </c>
      <c r="E6" s="6" t="n">
        <v>30548</v>
      </c>
      <c r="F6" t="inlineStr">
        <is>
          <t>—</t>
        </is>
      </c>
      <c r="G6" t="inlineStr">
        <is>
          <t>—</t>
        </is>
      </c>
      <c r="H6" s="8" t="n">
        <v>662.8</v>
      </c>
    </row>
    <row r="7">
      <c r="A7" s="9" t="n">
        <v>1933</v>
      </c>
      <c r="B7" s="6" t="n">
        <v>9128</v>
      </c>
      <c r="C7" s="6" t="n">
        <v>14762</v>
      </c>
      <c r="D7" s="6" t="n">
        <v>1532</v>
      </c>
      <c r="E7" s="6" t="n">
        <v>16294</v>
      </c>
      <c r="F7" s="8" t="n">
        <v>414.3</v>
      </c>
      <c r="G7" s="8" t="n">
        <v>88</v>
      </c>
      <c r="H7" s="8" t="n">
        <v>502.2</v>
      </c>
    </row>
    <row r="8">
      <c r="A8" s="9" t="n">
        <v>1934</v>
      </c>
      <c r="B8" s="6" t="n">
        <v>12896</v>
      </c>
      <c r="C8" s="6" t="n">
        <v>21824</v>
      </c>
      <c r="D8" s="6" t="n">
        <v>2441</v>
      </c>
      <c r="E8" s="6" t="n">
        <v>24265</v>
      </c>
      <c r="F8" s="8" t="n">
        <v>662.6</v>
      </c>
      <c r="G8" s="8" t="n">
        <v>168.4</v>
      </c>
      <c r="H8" s="8" t="n">
        <v>831</v>
      </c>
    </row>
    <row r="9">
      <c r="A9" s="9" t="n">
        <v>1935</v>
      </c>
      <c r="B9" s="6" t="n">
        <v>13468</v>
      </c>
      <c r="C9" t="inlineStr">
        <is>
          <t>—</t>
        </is>
      </c>
      <c r="D9" t="inlineStr">
        <is>
          <t>—</t>
        </is>
      </c>
      <c r="E9" s="6" t="n">
        <v>24832</v>
      </c>
      <c r="F9" t="inlineStr">
        <is>
          <t>—</t>
        </is>
      </c>
      <c r="G9" t="inlineStr">
        <is>
          <t>—</t>
        </is>
      </c>
      <c r="H9" s="8" t="n">
        <v>897.8</v>
      </c>
    </row>
    <row r="10">
      <c r="A10" s="9" t="n">
        <v>1936</v>
      </c>
      <c r="B10" s="6" t="n">
        <v>13674</v>
      </c>
      <c r="C10" s="6" t="n">
        <v>22956</v>
      </c>
      <c r="D10" s="6" t="n">
        <v>3121</v>
      </c>
      <c r="E10" s="6" t="n">
        <v>26077</v>
      </c>
      <c r="F10" s="8" t="n">
        <v>787.8</v>
      </c>
      <c r="G10" s="8" t="n">
        <v>224.7</v>
      </c>
      <c r="H10" s="7" t="n">
        <v>1012.5</v>
      </c>
    </row>
    <row r="11">
      <c r="A11" s="9" t="n">
        <v>1937</v>
      </c>
      <c r="B11" s="6" t="n">
        <v>14337</v>
      </c>
      <c r="C11" s="6" t="n">
        <v>25171</v>
      </c>
      <c r="D11" s="6" t="n">
        <v>3703</v>
      </c>
      <c r="E11" s="6" t="n">
        <v>28873</v>
      </c>
      <c r="F11" s="8" t="n">
        <v>952.1</v>
      </c>
      <c r="G11" s="8" t="n">
        <v>279</v>
      </c>
      <c r="H11" s="7" t="n">
        <v>1231.1</v>
      </c>
    </row>
    <row r="12">
      <c r="A12" s="9" t="n">
        <v>1938</v>
      </c>
      <c r="B12" s="6" t="n">
        <v>13990</v>
      </c>
      <c r="C12" s="6" t="n">
        <v>29443</v>
      </c>
      <c r="D12" s="6" t="n">
        <v>4391</v>
      </c>
      <c r="E12" s="6" t="n">
        <v>33834</v>
      </c>
      <c r="F12" s="7" t="n">
        <v>1115</v>
      </c>
      <c r="G12" s="8" t="n">
        <v>315.1</v>
      </c>
      <c r="H12" s="7" t="n">
        <v>1430.1</v>
      </c>
    </row>
    <row r="13">
      <c r="A13" s="9" t="n">
        <v>1939</v>
      </c>
      <c r="B13" s="6" t="n">
        <v>19348</v>
      </c>
      <c r="C13" s="6" t="n">
        <v>35443</v>
      </c>
      <c r="D13" s="6" t="n">
        <v>5732</v>
      </c>
      <c r="E13" s="6" t="n">
        <v>41175</v>
      </c>
      <c r="F13" s="7" t="n">
        <v>1309.1</v>
      </c>
      <c r="G13" s="8" t="n">
        <v>373</v>
      </c>
      <c r="H13" s="7" t="n">
        <v>1681.9</v>
      </c>
    </row>
    <row r="14">
      <c r="A14" s="9" t="n">
        <v>1940</v>
      </c>
      <c r="B14" s="6" t="n">
        <v>19908</v>
      </c>
      <c r="C14" s="6" t="n">
        <v>38585</v>
      </c>
      <c r="D14" s="6" t="n">
        <v>7063</v>
      </c>
      <c r="E14" s="6" t="n">
        <v>45648</v>
      </c>
      <c r="F14" s="7" t="n">
        <v>1507</v>
      </c>
      <c r="G14" s="8" t="n">
        <v>465.3</v>
      </c>
      <c r="H14" s="7" t="n">
        <v>1972.3</v>
      </c>
    </row>
    <row r="15">
      <c r="A15" t="inlineStr">
        <is>
          <t>" (June)</t>
        </is>
      </c>
      <c r="B15" t="inlineStr"/>
      <c r="C15" t="inlineStr"/>
      <c r="D15" t="inlineStr"/>
      <c r="E15" t="inlineStr"/>
      <c r="F15" t="inlineStr"/>
      <c r="G15" t="inlineStr"/>
      <c r="H15" t="inlineStr"/>
    </row>
    <row r="16">
      <c r="A16" t="inlineStr">
        <is>
          <t>Kuomin Hsu-sheh (public)</t>
        </is>
      </c>
      <c r="B16" s="6" t="n">
        <v>2395</v>
      </c>
      <c r="C16" t="inlineStr">
        <is>
          <t>—</t>
        </is>
      </c>
      <c r="D16" t="inlineStr">
        <is>
          <t>—</t>
        </is>
      </c>
      <c r="E16" s="6" t="n">
        <v>3608</v>
      </c>
      <c r="F16" t="inlineStr">
        <is>
          <t>—</t>
        </is>
      </c>
      <c r="G16" t="inlineStr">
        <is>
          <t>—</t>
        </is>
      </c>
      <c r="H16" s="8" t="n">
        <v>167.9</v>
      </c>
    </row>
    <row r="17">
      <c r="A17" t="inlineStr">
        <is>
          <t>Kuomin Ishu (private)</t>
        </is>
      </c>
      <c r="B17" s="6" t="n">
        <v>2161</v>
      </c>
      <c r="C17" t="inlineStr">
        <is>
          <t>—</t>
        </is>
      </c>
      <c r="D17" t="inlineStr">
        <is>
          <t>—</t>
        </is>
      </c>
      <c r="E17" s="6" t="n">
        <v>2203</v>
      </c>
      <c r="F17" t="inlineStr">
        <is>
          <t>—</t>
        </is>
      </c>
      <c r="G17" t="inlineStr">
        <is>
          <t>—</t>
        </is>
      </c>
      <c r="H17" s="8" t="n">
        <v>68.09999999999999</v>
      </c>
    </row>
    <row r="18">
      <c r="A18" t="inlineStr">
        <is>
          <t>Szushu (private)</t>
        </is>
      </c>
      <c r="B18" s="6" t="n">
        <v>1968</v>
      </c>
      <c r="C18" t="inlineStr">
        <is>
          <t>—</t>
        </is>
      </c>
      <c r="D18" t="inlineStr">
        <is>
          <t>—</t>
        </is>
      </c>
      <c r="E18" s="6" t="n">
        <v>2172</v>
      </c>
      <c r="F18" t="inlineStr">
        <is>
          <t>—</t>
        </is>
      </c>
      <c r="G18" t="inlineStr">
        <is>
          <t>—</t>
        </is>
      </c>
      <c r="H18" s="8" t="n">
        <v>47.9</v>
      </c>
    </row>
    <row r="19">
      <c r="A19" t="inlineStr">
        <is>
          <t>Kuomin School (public)</t>
        </is>
      </c>
      <c r="B19" s="6" t="n">
        <v>8323</v>
      </c>
      <c r="C19" t="inlineStr">
        <is>
          <t>—</t>
        </is>
      </c>
      <c r="D19" t="inlineStr">
        <is>
          <t>—</t>
        </is>
      </c>
      <c r="E19" s="6" t="n">
        <v>32598</v>
      </c>
      <c r="F19" t="inlineStr">
        <is>
          <t>—</t>
        </is>
      </c>
      <c r="G19" t="inlineStr">
        <is>
          <t>—</t>
        </is>
      </c>
      <c r="H19" s="7" t="n">
        <v>1462.5</v>
      </c>
    </row>
    <row r="20">
      <c r="A20" t="inlineStr">
        <is>
          <t>Kuomin School (private</t>
        </is>
      </c>
      <c r="B20" s="9" t="n">
        <v>155</v>
      </c>
      <c r="C20" t="inlineStr">
        <is>
          <t>—</t>
        </is>
      </c>
      <c r="D20" t="inlineStr">
        <is>
          <t>—</t>
        </is>
      </c>
      <c r="E20" s="9" t="n">
        <v>664</v>
      </c>
      <c r="F20" t="inlineStr">
        <is>
          <t>—</t>
        </is>
      </c>
      <c r="G20" t="inlineStr">
        <is>
          <t>—</t>
        </is>
      </c>
      <c r="H20" s="8" t="n">
        <v>28.1</v>
      </c>
    </row>
    <row r="21">
      <c r="A21" t="inlineStr">
        <is>
          <t>Kuomin Upper Class (public)</t>
        </is>
      </c>
      <c r="B21" s="6" t="n">
        <v>2142</v>
      </c>
      <c r="C21" t="inlineStr">
        <is>
          <t>—</t>
        </is>
      </c>
      <c r="D21" t="inlineStr">
        <is>
          <t>—</t>
        </is>
      </c>
      <c r="E21" s="6" t="n">
        <v>6918</v>
      </c>
      <c r="F21" t="inlineStr">
        <is>
          <t>—</t>
        </is>
      </c>
      <c r="G21" t="inlineStr">
        <is>
          <t>—</t>
        </is>
      </c>
      <c r="H21" s="8" t="n">
        <v>238</v>
      </c>
    </row>
    <row r="22">
      <c r="A22" t="inlineStr">
        <is>
          <t>Kuomin Upper Class (private)</t>
        </is>
      </c>
      <c r="B22" s="9" t="n">
        <v>67</v>
      </c>
      <c r="C22" t="inlineStr">
        <is>
          <t>—</t>
        </is>
      </c>
      <c r="D22" t="inlineStr">
        <is>
          <t>—</t>
        </is>
      </c>
      <c r="E22" s="9" t="n">
        <v>211</v>
      </c>
      <c r="F22" t="inlineStr">
        <is>
          <t>—</t>
        </is>
      </c>
      <c r="G22" t="inlineStr">
        <is>
          <t>—</t>
        </is>
      </c>
      <c r="H22" s="8" t="n">
        <v>7.6</v>
      </c>
    </row>
    <row r="23">
      <c r="A23" t="inlineStr">
        <is>
          <t>Special School (public)</t>
        </is>
      </c>
      <c r="B23" s="9" t="n">
        <v>10</v>
      </c>
      <c r="C23" t="inlineStr">
        <is>
          <t>—</t>
        </is>
      </c>
      <c r="D23" t="inlineStr">
        <is>
          <t>—</t>
        </is>
      </c>
      <c r="E23" s="9" t="n">
        <v>32</v>
      </c>
      <c r="F23" t="inlineStr">
        <is>
          <t>—</t>
        </is>
      </c>
      <c r="G23" t="inlineStr">
        <is>
          <t>—</t>
        </is>
      </c>
      <c r="H23" s="8" t="n">
        <v>1.1</v>
      </c>
    </row>
    <row r="24">
      <c r="A24" t="inlineStr">
        <is>
          <t>Special School (private)</t>
        </is>
      </c>
      <c r="B24" s="9" t="n">
        <v>6</v>
      </c>
      <c r="C24" t="inlineStr">
        <is>
          <t>—</t>
        </is>
      </c>
      <c r="D24" t="inlineStr">
        <is>
          <t>—</t>
        </is>
      </c>
      <c r="E24" s="9" t="n">
        <v>19</v>
      </c>
      <c r="F24" t="inlineStr">
        <is>
          <t>—</t>
        </is>
      </c>
      <c r="G24" t="inlineStr">
        <is>
          <t>—</t>
        </is>
      </c>
      <c r="H24" s="8" t="n">
        <v>0.5</v>
      </c>
    </row>
    <row r="25">
      <c r="A25" t="inlineStr">
        <is>
          <t>TOTAL</t>
        </is>
      </c>
      <c r="B25" s="6" t="n">
        <v>18227</v>
      </c>
      <c r="C25" t="inlineStr">
        <is>
          <t>—</t>
        </is>
      </c>
      <c r="D25" t="inlineStr">
        <is>
          <t>—</t>
        </is>
      </c>
      <c r="E25" s="6" t="n">
        <v>48425</v>
      </c>
      <c r="F25" t="inlineStr">
        <is>
          <t>—</t>
        </is>
      </c>
      <c r="G25" t="inlineStr">
        <is>
          <t>—</t>
        </is>
      </c>
      <c r="H25" s="7" t="n">
        <v>2021.7</v>
      </c>
    </row>
    <row r="27">
      <c r="A27" s="2" t="inlineStr">
        <is>
          <t>Transcriber's notes</t>
        </is>
      </c>
    </row>
    <row r="28">
      <c r="A28" t="inlineStr">
        <is>
          <t>1933 teachers M+F: parts sum to 16,294.0 vs 16,294 — reconciles</t>
        </is>
      </c>
    </row>
    <row r="29">
      <c r="A29" t="inlineStr">
        <is>
          <t>1933 pupils M+F: parts sum to 502.3 vs 502.2 — does NOT reconcile (diff -0.1)</t>
        </is>
      </c>
    </row>
    <row r="30">
      <c r="A30" t="inlineStr">
        <is>
          <t>1934 teachers M+F: parts sum to 24,265.0 vs 24,265 — reconciles</t>
        </is>
      </c>
    </row>
    <row r="31">
      <c r="A31" t="inlineStr">
        <is>
          <t>1934 pupils M+F: parts sum to 831.0 vs 831.0 — reconciles</t>
        </is>
      </c>
    </row>
    <row r="32">
      <c r="A32" t="inlineStr">
        <is>
          <t>1936 teachers M+F: parts sum to 26,077.0 vs 26,077 — reconciles</t>
        </is>
      </c>
    </row>
    <row r="33">
      <c r="A33" t="inlineStr">
        <is>
          <t>1936 pupils M+F: parts sum to 1,012.5 vs 1,012.5 — reconciles</t>
        </is>
      </c>
    </row>
    <row r="34">
      <c r="A34" t="inlineStr">
        <is>
          <t>1937 teachers M+F: parts sum to 28,874.0 vs 28,873 — does NOT reconcile (diff -1.0)</t>
        </is>
      </c>
    </row>
    <row r="35">
      <c r="A35" t="inlineStr">
        <is>
          <t>1937 pupils M+F: parts sum to 1,231.1 vs 1,231.1 — reconciles</t>
        </is>
      </c>
    </row>
    <row r="36">
      <c r="A36" t="inlineStr">
        <is>
          <t>1938 teachers M+F: parts sum to 33,834.0 vs 33,834 — reconciles</t>
        </is>
      </c>
    </row>
    <row r="37">
      <c r="A37" t="inlineStr">
        <is>
          <t>1938 pupils M+F: parts sum to 1,430.1 vs 1,430.1 — reconciles</t>
        </is>
      </c>
    </row>
    <row r="38">
      <c r="A38" t="inlineStr">
        <is>
          <t>1939 teachers M+F: parts sum to 41,175.0 vs 41,175 — reconciles</t>
        </is>
      </c>
    </row>
    <row r="39">
      <c r="A39" t="inlineStr">
        <is>
          <t>1939 pupils M+F: parts sum to 1,682.1 vs 1,681.9 — does NOT reconcile (diff -0.2)</t>
        </is>
      </c>
    </row>
    <row r="40">
      <c r="A40" t="inlineStr">
        <is>
          <t>1940 teachers M+F: parts sum to 45,648.0 vs 45,648 — reconciles</t>
        </is>
      </c>
    </row>
    <row r="41">
      <c r="A41" t="inlineStr">
        <is>
          <t>1940 pupils M+F: parts sum to 1,972.3 vs 1,972.3 — reconciles</t>
        </is>
      </c>
    </row>
    <row r="42">
      <c r="A42" t="inlineStr">
        <is>
          <t>1940 (June) TOTAL No. of Schools: parts sum to 17,227.0 vs 18,227 — does NOT reconcile (diff +1,000.0)</t>
        </is>
      </c>
    </row>
    <row r="43">
      <c r="A43" t="inlineStr">
        <is>
          <t>1940 (June) TOTAL Teachers: parts sum to 48,425.0 vs 48,425 — reconciles</t>
        </is>
      </c>
    </row>
    <row r="44">
      <c r="A44" t="inlineStr">
        <is>
          <t>1940 (June) TOTAL Pupils (1,000): parts sum to 2,021.7 vs 2,021.7 — reconciles</t>
        </is>
      </c>
    </row>
    <row r="45">
      <c r="A45" t="inlineStr">
        <is>
          <t>June 1940 No. of Schools: the nine types sum to 17,227 but TOTAL is printed 18,227 (diff exactly 1,000); figures re-read, transcribed as printed. Teachers and pupils TOTALs reconcile.</t>
        </is>
      </c>
    </row>
    <row r="46">
      <c r="A46" t="inlineStr">
        <is>
          <t>Stub labels written on two lines in the source (e.g. 'Kuomin Hsu-sheh' / '(public)') are joined into one label; 'Kuomin School (private' lacks the closing parenthesis in the source.</t>
        </is>
      </c>
    </row>
    <row r="47">
      <c r="A47" t="inlineStr">
        <is>
          <t>Row '" (June)' is a sub-heading (ditto = 1940): the rows below it are the June 1940 breakdown by type of school; TOTAL applies to them.</t>
        </is>
      </c>
    </row>
    <row r="48">
      <c r="A48" t="inlineStr">
        <is>
          <t>Left page p. 654 carries rows 1932 to 'Kuomin School (private'; continues on p. 655 (no '(Continued)' heading) with Kuomin Upper Class to TOTAL.</t>
        </is>
      </c>
    </row>
    <row r="49">
      <c r="A49" t="inlineStr">
        <is>
          <t>Pupils total column staggered slightly off the row baselines in the gutter; aligned by order.</t>
        </is>
      </c>
    </row>
  </sheetData>
  <hyperlinks>
    <hyperlink xmlns:r="http://schemas.openxmlformats.org/officeDocument/2006/relationships" ref="A3" r:id="rId1"/>
  </hyperlink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Children of Primary Education Age</t>
        </is>
      </c>
    </row>
    <row r="2">
      <c r="A2" t="inlineStr">
        <is>
          <t>Cultural Activities · printed pp. 655</t>
        </is>
      </c>
    </row>
    <row r="3">
      <c r="A3" t="inlineStr">
        <is>
          <t>(1938)</t>
        </is>
      </c>
    </row>
    <row r="4">
      <c r="A4" s="3" t="inlineStr">
        <is>
          <t>← Contents</t>
        </is>
      </c>
    </row>
    <row r="6">
      <c r="A6" s="5" t="inlineStr">
        <is>
          <t>Province</t>
        </is>
      </c>
      <c r="B6" s="5" t="inlineStr">
        <is>
          <t>Children of School Age — Male</t>
        </is>
      </c>
      <c r="C6" s="5" t="inlineStr">
        <is>
          <t>Children of School Age — Female</t>
        </is>
      </c>
      <c r="D6" s="5" t="inlineStr">
        <is>
          <t>Children Attending School — Male</t>
        </is>
      </c>
      <c r="E6" s="5" t="inlineStr">
        <is>
          <t>Children Attending School — Female</t>
        </is>
      </c>
      <c r="F6" s="5" t="inlineStr">
        <is>
          <t>Male %</t>
        </is>
      </c>
      <c r="G6" s="5" t="inlineStr">
        <is>
          <t>Female %</t>
        </is>
      </c>
      <c r="H6" s="5" t="inlineStr">
        <is>
          <t>Average %</t>
        </is>
      </c>
    </row>
    <row r="7">
      <c r="A7" t="inlineStr">
        <is>
          <t>Hsinking</t>
        </is>
      </c>
      <c r="B7" s="6" t="n">
        <v>10908</v>
      </c>
      <c r="C7" s="6" t="n">
        <v>5685</v>
      </c>
      <c r="D7" s="6" t="n">
        <v>9297</v>
      </c>
      <c r="E7" s="6" t="n">
        <v>4947</v>
      </c>
      <c r="F7" s="11" t="n">
        <v>85.23</v>
      </c>
      <c r="G7" s="11" t="n">
        <v>87.02</v>
      </c>
      <c r="H7" s="11" t="n">
        <v>85.84</v>
      </c>
    </row>
    <row r="8">
      <c r="A8" t="inlineStr">
        <is>
          <t>Kirin</t>
        </is>
      </c>
      <c r="B8" s="6" t="n">
        <v>426421</v>
      </c>
      <c r="C8" s="6" t="n">
        <v>268301</v>
      </c>
      <c r="D8" s="6" t="n">
        <v>176681</v>
      </c>
      <c r="E8" s="6" t="n">
        <v>50288</v>
      </c>
      <c r="F8" s="11" t="n">
        <v>41.43</v>
      </c>
      <c r="G8" s="11" t="n">
        <v>18.74</v>
      </c>
      <c r="H8" s="11" t="n">
        <v>32.67</v>
      </c>
    </row>
    <row r="9">
      <c r="A9" t="inlineStr">
        <is>
          <t>Lungkiang</t>
        </is>
      </c>
      <c r="B9" s="6" t="n">
        <v>185850</v>
      </c>
      <c r="C9" s="6" t="n">
        <v>138894</v>
      </c>
      <c r="D9" s="6" t="n">
        <v>87483</v>
      </c>
      <c r="E9" s="6" t="n">
        <v>21698</v>
      </c>
      <c r="F9" s="11" t="n">
        <v>47.07</v>
      </c>
      <c r="G9" s="11" t="n">
        <v>15.62</v>
      </c>
      <c r="H9" s="11" t="n">
        <v>33.62</v>
      </c>
    </row>
    <row r="10">
      <c r="A10" t="inlineStr">
        <is>
          <t>Heiho</t>
        </is>
      </c>
      <c r="B10" s="6" t="n">
        <v>4651</v>
      </c>
      <c r="C10" s="6" t="n">
        <v>2913</v>
      </c>
      <c r="D10" s="6" t="n">
        <v>3492</v>
      </c>
      <c r="E10" s="6" t="n">
        <v>1945</v>
      </c>
      <c r="F10" s="11" t="n">
        <v>75.08</v>
      </c>
      <c r="G10" s="11" t="n">
        <v>67.12</v>
      </c>
      <c r="H10" s="11" t="n">
        <v>71.87</v>
      </c>
    </row>
    <row r="11">
      <c r="A11" t="inlineStr">
        <is>
          <t>Sankiang</t>
        </is>
      </c>
      <c r="B11" s="6" t="n">
        <v>93390</v>
      </c>
      <c r="C11" s="6" t="n">
        <v>50663</v>
      </c>
      <c r="D11" s="6" t="n">
        <v>32621</v>
      </c>
      <c r="E11" s="6" t="n">
        <v>9033</v>
      </c>
      <c r="F11" s="11" t="n">
        <v>34.92</v>
      </c>
      <c r="G11" s="11" t="n">
        <v>17.83</v>
      </c>
      <c r="H11" s="11" t="n">
        <v>28.92</v>
      </c>
    </row>
    <row r="12">
      <c r="A12" t="inlineStr">
        <is>
          <t>Mutankiang</t>
        </is>
      </c>
      <c r="B12" s="6" t="n">
        <v>60875</v>
      </c>
      <c r="C12" s="6" t="n">
        <v>38479</v>
      </c>
      <c r="D12" s="6" t="n">
        <v>29416</v>
      </c>
      <c r="E12" s="6" t="n">
        <v>10331</v>
      </c>
      <c r="F12" s="11" t="n">
        <v>47.32</v>
      </c>
      <c r="G12" s="11" t="n">
        <v>26.85</v>
      </c>
      <c r="H12" s="11" t="n">
        <v>40</v>
      </c>
    </row>
    <row r="13">
      <c r="A13" t="inlineStr">
        <is>
          <t>Pingkiang</t>
        </is>
      </c>
      <c r="B13" s="6" t="n">
        <v>388896</v>
      </c>
      <c r="C13" s="6" t="n">
        <v>195090</v>
      </c>
      <c r="D13" s="6" t="n">
        <v>147409</v>
      </c>
      <c r="E13" s="6" t="n">
        <v>46464</v>
      </c>
      <c r="F13" s="11" t="n">
        <v>37.9</v>
      </c>
      <c r="G13" s="11" t="n">
        <v>23.82</v>
      </c>
      <c r="H13" s="11" t="n">
        <v>33.2</v>
      </c>
    </row>
    <row r="14">
      <c r="A14" t="inlineStr">
        <is>
          <t>Chientao</t>
        </is>
      </c>
      <c r="B14" s="6" t="n">
        <v>56565</v>
      </c>
      <c r="C14" s="6" t="n">
        <v>25233</v>
      </c>
      <c r="D14" s="6" t="n">
        <v>36439</v>
      </c>
      <c r="E14" s="6" t="n">
        <v>11093</v>
      </c>
      <c r="F14" s="11" t="n">
        <v>64.42</v>
      </c>
      <c r="G14" s="11" t="n">
        <v>43.96</v>
      </c>
      <c r="H14" s="11" t="n">
        <v>58.11</v>
      </c>
    </row>
    <row r="15">
      <c r="A15" t="inlineStr">
        <is>
          <t>Tunghua</t>
        </is>
      </c>
      <c r="B15" s="6" t="n">
        <v>59965</v>
      </c>
      <c r="C15" s="6" t="n">
        <v>40487</v>
      </c>
      <c r="D15" s="6" t="n">
        <v>37001</v>
      </c>
      <c r="E15" s="6" t="n">
        <v>9598</v>
      </c>
      <c r="F15" s="11" t="n">
        <v>61.7</v>
      </c>
      <c r="G15" s="11" t="n">
        <v>13.71</v>
      </c>
      <c r="H15" s="11" t="n">
        <v>46.39</v>
      </c>
    </row>
    <row r="16">
      <c r="A16" t="inlineStr">
        <is>
          <t>Antung</t>
        </is>
      </c>
      <c r="B16" s="6" t="n">
        <v>200912</v>
      </c>
      <c r="C16" s="6" t="n">
        <v>143061</v>
      </c>
      <c r="D16" s="6" t="n">
        <v>102305</v>
      </c>
      <c r="E16" s="6" t="n">
        <v>24263</v>
      </c>
      <c r="F16" s="11" t="n">
        <v>50.92</v>
      </c>
      <c r="G16" s="11" t="n">
        <v>16.96</v>
      </c>
      <c r="H16" s="11" t="n">
        <v>36.8</v>
      </c>
    </row>
    <row r="17">
      <c r="A17" t="inlineStr">
        <is>
          <t>Fengtien</t>
        </is>
      </c>
      <c r="B17" s="6" t="n">
        <v>603622</v>
      </c>
      <c r="C17" s="6" t="n">
        <v>601343</v>
      </c>
      <c r="D17" s="6" t="n">
        <v>405379</v>
      </c>
      <c r="E17" s="6" t="n">
        <v>161555</v>
      </c>
      <c r="F17" s="11" t="n">
        <v>67.16</v>
      </c>
      <c r="G17" s="11" t="n">
        <v>26.87</v>
      </c>
      <c r="H17" s="11" t="n">
        <v>47.05</v>
      </c>
    </row>
    <row r="18">
      <c r="A18" t="inlineStr">
        <is>
          <t>Chinchow</t>
        </is>
      </c>
      <c r="B18" s="6" t="n">
        <v>342036</v>
      </c>
      <c r="C18" s="6" t="n">
        <v>202512</v>
      </c>
      <c r="D18" s="6" t="n">
        <v>195838</v>
      </c>
      <c r="E18" s="6" t="n">
        <v>52242</v>
      </c>
      <c r="F18" s="11" t="n">
        <v>56.26</v>
      </c>
      <c r="G18" s="11" t="n">
        <v>25.8</v>
      </c>
      <c r="H18" s="11" t="n">
        <v>45.56</v>
      </c>
    </row>
    <row r="19">
      <c r="A19" t="inlineStr">
        <is>
          <t>Jehol</t>
        </is>
      </c>
      <c r="B19" s="6" t="n">
        <v>211423</v>
      </c>
      <c r="C19" s="6" t="n">
        <v>127931</v>
      </c>
      <c r="D19" s="6" t="n">
        <v>115828</v>
      </c>
      <c r="E19" s="6" t="n">
        <v>10938</v>
      </c>
      <c r="F19" s="11" t="n">
        <v>54.78</v>
      </c>
      <c r="G19" s="11" t="n">
        <v>8.550000000000001</v>
      </c>
      <c r="H19" s="11" t="n">
        <v>37.36</v>
      </c>
    </row>
    <row r="20">
      <c r="A20" t="inlineStr">
        <is>
          <t>Hsingan W.</t>
        </is>
      </c>
      <c r="B20" s="6" t="n">
        <v>114262</v>
      </c>
      <c r="C20" s="6" t="n">
        <v>7416</v>
      </c>
      <c r="D20" s="6" t="n">
        <v>10166</v>
      </c>
      <c r="E20" s="6" t="n">
        <v>1268</v>
      </c>
      <c r="F20" s="11" t="n">
        <v>8.9</v>
      </c>
      <c r="G20" s="11" t="n">
        <v>17.09</v>
      </c>
      <c r="H20" s="11" t="n">
        <v>9.4</v>
      </c>
    </row>
    <row r="21">
      <c r="A21" t="inlineStr">
        <is>
          <t>" S.</t>
        </is>
      </c>
      <c r="B21" s="6" t="n">
        <v>53843</v>
      </c>
      <c r="C21" s="6" t="n">
        <v>42816</v>
      </c>
      <c r="D21" s="6" t="n">
        <v>22313</v>
      </c>
      <c r="E21" s="6" t="n">
        <v>7999</v>
      </c>
      <c r="F21" s="11" t="n">
        <v>41.44</v>
      </c>
      <c r="G21" s="11" t="n">
        <v>18.68</v>
      </c>
      <c r="H21" s="11" t="n">
        <v>31.36</v>
      </c>
    </row>
    <row r="22">
      <c r="A22" t="inlineStr">
        <is>
          <t>" E.</t>
        </is>
      </c>
      <c r="B22" s="6" t="n">
        <v>10844</v>
      </c>
      <c r="C22" s="6" t="n">
        <v>7395</v>
      </c>
      <c r="D22" s="6" t="n">
        <v>3500</v>
      </c>
      <c r="E22" s="6" t="n">
        <v>1235</v>
      </c>
      <c r="F22" s="11" t="n">
        <v>11.39</v>
      </c>
      <c r="G22" s="11" t="n">
        <v>16.7</v>
      </c>
      <c r="H22" s="11" t="n">
        <v>25.96</v>
      </c>
    </row>
    <row r="23">
      <c r="A23" t="inlineStr">
        <is>
          <t>" N.</t>
        </is>
      </c>
      <c r="B23" s="6" t="n">
        <v>4096</v>
      </c>
      <c r="C23" s="6" t="n">
        <v>3220</v>
      </c>
      <c r="D23" s="6" t="n">
        <v>3195</v>
      </c>
      <c r="E23" s="6" t="n">
        <v>1696</v>
      </c>
      <c r="F23" s="11" t="n">
        <v>78</v>
      </c>
      <c r="G23" s="11" t="n">
        <v>52.67</v>
      </c>
      <c r="H23" s="11" t="n">
        <v>66.84999999999999</v>
      </c>
    </row>
    <row r="24">
      <c r="A24" t="inlineStr">
        <is>
          <t>Total</t>
        </is>
      </c>
      <c r="B24" s="6" t="n">
        <v>2828559</v>
      </c>
      <c r="C24" s="6" t="n">
        <v>1901439</v>
      </c>
      <c r="D24" s="6" t="n">
        <v>1418363</v>
      </c>
      <c r="E24" s="6" t="n">
        <v>426593</v>
      </c>
      <c r="F24" s="11" t="n">
        <v>50.14</v>
      </c>
      <c r="G24" s="11" t="n">
        <v>22.44</v>
      </c>
      <c r="H24" s="11" t="n">
        <v>39.01</v>
      </c>
    </row>
    <row r="26">
      <c r="A26" s="2" t="inlineStr">
        <is>
          <t>Transcriber's notes</t>
        </is>
      </c>
    </row>
    <row r="27">
      <c r="A27" t="inlineStr">
        <is>
          <t>Column School age male Total: parts sum to 2,828,559.0 vs 2,828,559 — reconciles</t>
        </is>
      </c>
    </row>
    <row r="28">
      <c r="A28" t="inlineStr">
        <is>
          <t>Column School age female Total: parts sum to 1,901,439.0 vs 1,901,439 — reconciles</t>
        </is>
      </c>
    </row>
    <row r="29">
      <c r="A29" t="inlineStr">
        <is>
          <t>Column Attending male Total: parts sum to 1,418,363.0 vs 1,418,363 — reconciles</t>
        </is>
      </c>
    </row>
    <row r="30">
      <c r="A30" t="inlineStr">
        <is>
          <t>Column Attending female Total: parts sum to 426,593.0 vs 426,593 — reconciles</t>
        </is>
      </c>
    </row>
    <row r="31">
      <c r="A31" t="inlineStr">
        <is>
          <t>Percentages (attending/school age) recomputed for every row; mismatches: Heiho Female %: computed 66.77 vs printed 67.12; Mutankiang Male %: computed 48.32 vs printed 47.32; Tunghua Female %: computed 23.71 vs printed 13.71; Chinchow Male %: computed 57.26 vs printed 56.26; " E. Male %: computed 32.28 vs printed 11.39</t>
        </is>
      </c>
    </row>
    <row r="32">
      <c r="A32" t="inlineStr">
        <is>
          <t>Ditto marks („) under 'Hsingan' transcribed as '"' (= Hsingan S., E., N.).</t>
        </is>
      </c>
    </row>
    <row r="33">
      <c r="A33" t="inlineStr">
        <is>
          <t>'Pingkiang' spelt so in source (elsewhere 'Pinkiang').</t>
        </is>
      </c>
    </row>
  </sheetData>
  <hyperlinks>
    <hyperlink xmlns:r="http://schemas.openxmlformats.org/officeDocument/2006/relationships" ref="A4" r:id="rId1"/>
  </hyperlink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Private Institutes</t>
        </is>
      </c>
    </row>
    <row r="2">
      <c r="A2" t="inlineStr">
        <is>
          <t>Cultural Activities · printed pp. 655</t>
        </is>
      </c>
    </row>
    <row r="3">
      <c r="A3" t="inlineStr">
        <is>
          <t>(Sussu)</t>
        </is>
      </c>
    </row>
    <row r="4">
      <c r="A4" s="3" t="inlineStr">
        <is>
          <t>← Contents</t>
        </is>
      </c>
    </row>
    <row r="6">
      <c r="A6" s="5" t="inlineStr">
        <is>
          <t>Year</t>
        </is>
      </c>
      <c r="B6" s="5" t="inlineStr">
        <is>
          <t>No.</t>
        </is>
      </c>
      <c r="C6" s="5" t="inlineStr">
        <is>
          <t>Teachers — Male</t>
        </is>
      </c>
      <c r="D6" s="5" t="inlineStr">
        <is>
          <t>Teachers — Female</t>
        </is>
      </c>
      <c r="E6" s="5" t="inlineStr">
        <is>
          <t>Teachers — Total</t>
        </is>
      </c>
      <c r="F6" s="5" t="inlineStr">
        <is>
          <t>Pupils — Male</t>
        </is>
      </c>
      <c r="G6" s="5" t="inlineStr">
        <is>
          <t>Pupils — Female</t>
        </is>
      </c>
      <c r="H6" s="5" t="inlineStr">
        <is>
          <t>Pupils — Total</t>
        </is>
      </c>
      <c r="I6" s="5" t="inlineStr">
        <is>
          <t>Per teacher annual income (M¥)</t>
        </is>
      </c>
    </row>
    <row r="7">
      <c r="A7" s="9" t="n">
        <v>1935</v>
      </c>
      <c r="B7" s="6" t="n">
        <v>7037</v>
      </c>
      <c r="C7" t="inlineStr">
        <is>
          <t>—</t>
        </is>
      </c>
      <c r="D7" t="inlineStr">
        <is>
          <t>—</t>
        </is>
      </c>
      <c r="E7" s="6" t="n">
        <v>7205</v>
      </c>
      <c r="F7" s="6" t="n">
        <v>12759</v>
      </c>
      <c r="G7" s="6" t="n">
        <v>7653</v>
      </c>
      <c r="H7" s="6" t="n">
        <v>128412</v>
      </c>
      <c r="I7" s="11" t="n">
        <v>109.28</v>
      </c>
    </row>
    <row r="8">
      <c r="A8" s="9" t="n">
        <v>1936</v>
      </c>
      <c r="B8" s="6" t="n">
        <v>8279</v>
      </c>
      <c r="C8" s="6" t="n">
        <v>8309</v>
      </c>
      <c r="D8" s="9" t="n">
        <v>59</v>
      </c>
      <c r="E8" s="6" t="n">
        <v>8368</v>
      </c>
      <c r="F8" s="6" t="n">
        <v>159634</v>
      </c>
      <c r="G8" s="6" t="n">
        <v>9982</v>
      </c>
      <c r="H8" s="6" t="n">
        <v>169616</v>
      </c>
      <c r="I8" s="11" t="n">
        <v>136</v>
      </c>
    </row>
    <row r="9">
      <c r="A9" s="9" t="n">
        <v>1937</v>
      </c>
      <c r="B9" s="6" t="n">
        <v>7808</v>
      </c>
      <c r="C9" s="6" t="n">
        <v>7899</v>
      </c>
      <c r="D9" s="9" t="n">
        <v>138</v>
      </c>
      <c r="E9" s="6" t="n">
        <v>8037</v>
      </c>
      <c r="F9" s="6" t="n">
        <v>158633</v>
      </c>
      <c r="G9" s="6" t="n">
        <v>12459</v>
      </c>
      <c r="H9" s="6" t="n">
        <v>171092</v>
      </c>
      <c r="I9" s="11" t="n">
        <v>143.67</v>
      </c>
    </row>
    <row r="10">
      <c r="A10" s="9" t="n">
        <v>1939</v>
      </c>
      <c r="B10" s="6" t="n">
        <v>5339</v>
      </c>
      <c r="C10" s="6" t="n">
        <v>5349</v>
      </c>
      <c r="D10" s="9" t="n">
        <v>80</v>
      </c>
      <c r="E10" s="6" t="n">
        <v>5429</v>
      </c>
      <c r="F10" s="6" t="n">
        <v>137055</v>
      </c>
      <c r="G10" s="6" t="n">
        <v>12521</v>
      </c>
      <c r="H10" s="6" t="n">
        <v>149576</v>
      </c>
      <c r="I10" t="inlineStr">
        <is>
          <t>—</t>
        </is>
      </c>
    </row>
    <row r="12">
      <c r="A12" s="2" t="inlineStr">
        <is>
          <t>Transcriber's notes</t>
        </is>
      </c>
    </row>
    <row r="13">
      <c r="A13" t="inlineStr">
        <is>
          <t>1935 pupils M+F: parts sum to 20,412.0 vs 128,412 — does NOT reconcile (diff +108,000.0)</t>
        </is>
      </c>
    </row>
    <row r="14">
      <c r="A14" t="inlineStr">
        <is>
          <t>1936 teachers M+F: parts sum to 8,368.0 vs 8,368 — reconciles</t>
        </is>
      </c>
    </row>
    <row r="15">
      <c r="A15" t="inlineStr">
        <is>
          <t>1936 pupils M+F: parts sum to 169,616.0 vs 169,616 — reconciles</t>
        </is>
      </c>
    </row>
    <row r="16">
      <c r="A16" t="inlineStr">
        <is>
          <t>1937 teachers M+F: parts sum to 8,037.0 vs 8,037 — reconciles</t>
        </is>
      </c>
    </row>
    <row r="17">
      <c r="A17" t="inlineStr">
        <is>
          <t>1937 pupils M+F: parts sum to 171,092.0 vs 171,092 — reconciles</t>
        </is>
      </c>
    </row>
    <row r="18">
      <c r="A18" t="inlineStr">
        <is>
          <t>1939 teachers M+F: parts sum to 5,429.0 vs 5,429 — reconciles</t>
        </is>
      </c>
    </row>
    <row r="19">
      <c r="A19" t="inlineStr">
        <is>
          <t>1939 pupils M+F: parts sum to 149,576.0 vs 149,576 — reconciles</t>
        </is>
      </c>
    </row>
    <row r="20">
      <c r="A20" t="inlineStr">
        <is>
          <t>1935: pupils Male 12,759 + Female 7,653 = 20,412 vs Total 128,412 — large discrepancy (108,000); figures re-read and clearly printed; the Male figure is probably a misprint for 120,759 — transcribed as printed.</t>
        </is>
      </c>
    </row>
    <row r="21">
      <c r="A21" t="inlineStr">
        <is>
          <t>No 1938 row printed (years 1935, 1936, 1937, 1939).</t>
        </is>
      </c>
    </row>
  </sheetData>
  <hyperlinks>
    <hyperlink xmlns:r="http://schemas.openxmlformats.org/officeDocument/2006/relationships" ref="A4" r:id="rId1"/>
  </hyperlink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Kindergartens</t>
        </is>
      </c>
    </row>
    <row r="2">
      <c r="A2" t="inlineStr">
        <is>
          <t>Cultural Activities · printed pp. 656</t>
        </is>
      </c>
    </row>
    <row r="3">
      <c r="A3" s="3" t="inlineStr">
        <is>
          <t>← Contents</t>
        </is>
      </c>
    </row>
    <row r="5">
      <c r="A5" s="5" t="inlineStr">
        <is>
          <t>Year</t>
        </is>
      </c>
      <c r="B5" s="5" t="inlineStr">
        <is>
          <t>Number — Public</t>
        </is>
      </c>
      <c r="C5" s="5" t="inlineStr">
        <is>
          <t>Number — Private</t>
        </is>
      </c>
      <c r="D5" s="5" t="inlineStr">
        <is>
          <t>Number — Total</t>
        </is>
      </c>
      <c r="E5" s="5" t="inlineStr">
        <is>
          <t>Teachers — Male</t>
        </is>
      </c>
      <c r="F5" s="5" t="inlineStr">
        <is>
          <t>Teachers — Female</t>
        </is>
      </c>
      <c r="G5" s="5" t="inlineStr">
        <is>
          <t>Teachers — Total</t>
        </is>
      </c>
      <c r="H5" s="5" t="inlineStr">
        <is>
          <t>Pupils — Male</t>
        </is>
      </c>
      <c r="I5" s="5" t="inlineStr">
        <is>
          <t>Pupils — Female</t>
        </is>
      </c>
      <c r="J5" s="5" t="inlineStr">
        <is>
          <t>Pupils — Total</t>
        </is>
      </c>
    </row>
    <row r="6">
      <c r="A6" s="9" t="n">
        <v>1935</v>
      </c>
      <c r="B6" s="9" t="n">
        <v>24</v>
      </c>
      <c r="C6" s="9" t="n">
        <v>21</v>
      </c>
      <c r="D6" s="9" t="n">
        <v>45</v>
      </c>
      <c r="E6" s="9" t="n">
        <v>16</v>
      </c>
      <c r="F6" s="9" t="n">
        <v>76</v>
      </c>
      <c r="G6" s="9" t="n">
        <v>82</v>
      </c>
      <c r="H6" s="6" t="n">
        <v>1398</v>
      </c>
      <c r="I6" s="9" t="n">
        <v>924</v>
      </c>
      <c r="J6" s="6" t="n">
        <v>2322</v>
      </c>
    </row>
    <row r="7">
      <c r="A7" s="9" t="n">
        <v>1936</v>
      </c>
      <c r="B7" s="9" t="n">
        <v>24</v>
      </c>
      <c r="C7" s="9" t="n">
        <v>7</v>
      </c>
      <c r="D7" s="9" t="n">
        <v>31</v>
      </c>
      <c r="E7" s="9" t="n">
        <v>4</v>
      </c>
      <c r="F7" s="9" t="n">
        <v>52</v>
      </c>
      <c r="G7" s="9" t="n">
        <v>56</v>
      </c>
      <c r="H7" s="9" t="n">
        <v>923</v>
      </c>
      <c r="I7" s="9" t="n">
        <v>709</v>
      </c>
      <c r="J7" s="6" t="n">
        <v>1632</v>
      </c>
    </row>
    <row r="8">
      <c r="A8" s="9" t="n">
        <v>1937</v>
      </c>
      <c r="B8" s="9" t="n">
        <v>28</v>
      </c>
      <c r="C8" s="9" t="n">
        <v>9</v>
      </c>
      <c r="D8" s="9" t="n">
        <v>37</v>
      </c>
      <c r="E8" s="9" t="n">
        <v>3</v>
      </c>
      <c r="F8" s="9" t="n">
        <v>60</v>
      </c>
      <c r="G8" s="9" t="n">
        <v>63</v>
      </c>
      <c r="H8" s="6" t="n">
        <v>1061</v>
      </c>
      <c r="I8" s="9" t="n">
        <v>734</v>
      </c>
      <c r="J8" s="6" t="n">
        <v>1795</v>
      </c>
    </row>
    <row r="9">
      <c r="A9" s="9" t="n">
        <v>1938</v>
      </c>
      <c r="B9" s="9" t="n">
        <v>19</v>
      </c>
      <c r="C9" s="9" t="n">
        <v>16</v>
      </c>
      <c r="D9" s="9" t="n">
        <v>35</v>
      </c>
      <c r="E9" t="inlineStr">
        <is>
          <t>—</t>
        </is>
      </c>
      <c r="F9" t="inlineStr">
        <is>
          <t>—</t>
        </is>
      </c>
      <c r="G9" s="9" t="n">
        <v>59</v>
      </c>
      <c r="H9" s="6" t="n">
        <v>1294</v>
      </c>
      <c r="I9" s="9" t="n">
        <v>849</v>
      </c>
      <c r="J9" s="6" t="n">
        <v>2143</v>
      </c>
    </row>
    <row r="11">
      <c r="A11" s="2" t="inlineStr">
        <is>
          <t>Transcriber's notes</t>
        </is>
      </c>
    </row>
    <row r="12">
      <c r="A12" t="inlineStr">
        <is>
          <t>1935 Teachers: Male 16 + Female 76 = 92 vs Total 82 — does NOT reconcile (diff -10); re-read, as printed.</t>
        </is>
      </c>
    </row>
    <row r="13">
      <c r="A13" t="inlineStr">
        <is>
          <t>1935 number public+private: parts sum to 45.0 vs 45 — reconciles</t>
        </is>
      </c>
    </row>
    <row r="14">
      <c r="A14" t="inlineStr">
        <is>
          <t>1935 teachers M+F: parts sum to 92.0 vs 82 — does NOT reconcile (diff -10.0)</t>
        </is>
      </c>
    </row>
    <row r="15">
      <c r="A15" t="inlineStr">
        <is>
          <t>1935 pupils M+F: parts sum to 2,322.0 vs 2,322 — reconciles</t>
        </is>
      </c>
    </row>
    <row r="16">
      <c r="A16" t="inlineStr">
        <is>
          <t>1936 number public+private: parts sum to 31.0 vs 31 — reconciles</t>
        </is>
      </c>
    </row>
    <row r="17">
      <c r="A17" t="inlineStr">
        <is>
          <t>1936 teachers M+F: parts sum to 56.0 vs 56 — reconciles</t>
        </is>
      </c>
    </row>
    <row r="18">
      <c r="A18" t="inlineStr">
        <is>
          <t>1936 pupils M+F: parts sum to 1,632.0 vs 1,632 — reconciles</t>
        </is>
      </c>
    </row>
    <row r="19">
      <c r="A19" t="inlineStr">
        <is>
          <t>1937 number public+private: parts sum to 37.0 vs 37 — reconciles</t>
        </is>
      </c>
    </row>
    <row r="20">
      <c r="A20" t="inlineStr">
        <is>
          <t>1937 teachers M+F: parts sum to 63.0 vs 63 — reconciles</t>
        </is>
      </c>
    </row>
    <row r="21">
      <c r="A21" t="inlineStr">
        <is>
          <t>1937 pupils M+F: parts sum to 1,795.0 vs 1,795 — reconciles</t>
        </is>
      </c>
    </row>
    <row r="22">
      <c r="A22" t="inlineStr">
        <is>
          <t>1938 number public+private: parts sum to 35.0 vs 35 — reconciles</t>
        </is>
      </c>
    </row>
    <row r="23">
      <c r="A23" t="inlineStr">
        <is>
          <t>1938 pupils M+F: parts sum to 2,143.0 vs 2,143 — reconciles</t>
        </is>
      </c>
    </row>
  </sheetData>
  <hyperlinks>
    <hyperlink xmlns:r="http://schemas.openxmlformats.org/officeDocument/2006/relationships" ref="A3" r:id="rId1"/>
  </hyperlink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Statistics of Secondary Schools</t>
        </is>
      </c>
    </row>
    <row r="2">
      <c r="A2" t="inlineStr">
        <is>
          <t>Cultural Activities · printed pp. 659</t>
        </is>
      </c>
    </row>
    <row r="3">
      <c r="A3" s="3" t="inlineStr">
        <is>
          <t>← Contents</t>
        </is>
      </c>
    </row>
    <row r="5">
      <c r="A5" s="5" t="inlineStr">
        <is>
          <t>April</t>
        </is>
      </c>
      <c r="B5" s="5" t="inlineStr">
        <is>
          <t>No. of Schools</t>
        </is>
      </c>
      <c r="C5" s="5" t="inlineStr">
        <is>
          <t>Teachers — Male</t>
        </is>
      </c>
      <c r="D5" s="5" t="inlineStr">
        <is>
          <t>Teachers — Female</t>
        </is>
      </c>
      <c r="E5" s="5" t="inlineStr">
        <is>
          <t>Teachers — Total</t>
        </is>
      </c>
      <c r="F5" s="5" t="inlineStr">
        <is>
          <t>Students (1,000) — Male</t>
        </is>
      </c>
      <c r="G5" s="5" t="inlineStr">
        <is>
          <t>Students (1,000) — Female</t>
        </is>
      </c>
      <c r="H5" s="5" t="inlineStr">
        <is>
          <t>Students (1,000) — Total</t>
        </is>
      </c>
    </row>
    <row r="6">
      <c r="A6" s="9" t="n">
        <v>1932</v>
      </c>
      <c r="B6" s="9" t="n">
        <v>380</v>
      </c>
      <c r="C6" t="inlineStr">
        <is>
          <t>—</t>
        </is>
      </c>
      <c r="D6" t="inlineStr">
        <is>
          <t>—</t>
        </is>
      </c>
      <c r="E6" s="6" t="n">
        <v>3466</v>
      </c>
      <c r="F6" t="inlineStr">
        <is>
          <t>—</t>
        </is>
      </c>
      <c r="G6" t="inlineStr">
        <is>
          <t>—</t>
        </is>
      </c>
      <c r="H6" s="8" t="n">
        <v>47.3</v>
      </c>
    </row>
    <row r="7">
      <c r="A7" s="9" t="n">
        <v>1933</v>
      </c>
      <c r="B7" s="9" t="n">
        <v>263</v>
      </c>
      <c r="C7" t="inlineStr">
        <is>
          <t>—</t>
        </is>
      </c>
      <c r="D7" t="inlineStr">
        <is>
          <t>—</t>
        </is>
      </c>
      <c r="E7" s="6" t="n">
        <v>2057</v>
      </c>
      <c r="F7" s="8" t="n">
        <v>23.6</v>
      </c>
      <c r="G7" s="8" t="n">
        <v>10</v>
      </c>
      <c r="H7" s="8" t="n">
        <v>33.6</v>
      </c>
    </row>
    <row r="8">
      <c r="A8" s="9" t="n">
        <v>1934</v>
      </c>
      <c r="B8" s="9" t="n">
        <v>346</v>
      </c>
      <c r="C8" s="6" t="n">
        <v>2552</v>
      </c>
      <c r="D8" s="9" t="n">
        <v>289</v>
      </c>
      <c r="E8" s="6" t="n">
        <v>2841</v>
      </c>
      <c r="F8" s="8" t="n">
        <v>30.3</v>
      </c>
      <c r="G8" s="8" t="n">
        <v>10.5</v>
      </c>
      <c r="H8" s="8" t="n">
        <v>40.8</v>
      </c>
    </row>
    <row r="9">
      <c r="A9" s="9" t="n">
        <v>1935</v>
      </c>
      <c r="B9" s="9" t="n">
        <v>324</v>
      </c>
      <c r="C9" s="6" t="n">
        <v>2262</v>
      </c>
      <c r="D9" s="9" t="n">
        <v>158</v>
      </c>
      <c r="E9" s="6" t="n">
        <v>2420</v>
      </c>
      <c r="F9" s="8" t="n">
        <v>30.5</v>
      </c>
      <c r="G9" s="8" t="n">
        <v>8.4</v>
      </c>
      <c r="H9" s="8" t="n">
        <v>39</v>
      </c>
    </row>
    <row r="10">
      <c r="A10" s="9" t="n">
        <v>1936</v>
      </c>
      <c r="B10" s="9" t="n">
        <v>308</v>
      </c>
      <c r="C10" s="6" t="n">
        <v>2023</v>
      </c>
      <c r="D10" s="9" t="n">
        <v>595</v>
      </c>
      <c r="E10" s="6" t="n">
        <v>2628</v>
      </c>
      <c r="F10" s="8" t="n">
        <v>31.2</v>
      </c>
      <c r="G10" s="8" t="n">
        <v>8.5</v>
      </c>
      <c r="H10" s="8" t="n">
        <v>39.7</v>
      </c>
    </row>
    <row r="11">
      <c r="A11" s="9" t="n">
        <v>1937</v>
      </c>
      <c r="B11" s="9" t="n">
        <v>251</v>
      </c>
      <c r="C11" s="6" t="n">
        <v>1884</v>
      </c>
      <c r="D11" s="9" t="n">
        <v>593</v>
      </c>
      <c r="E11" s="6" t="n">
        <v>2477</v>
      </c>
      <c r="F11" s="8" t="n">
        <v>36.1</v>
      </c>
      <c r="G11" s="8" t="n">
        <v>9.300000000000001</v>
      </c>
      <c r="H11" s="8" t="n">
        <v>45.5</v>
      </c>
    </row>
    <row r="12">
      <c r="A12" s="9" t="n">
        <v>1938</v>
      </c>
      <c r="B12" s="9" t="n">
        <v>250</v>
      </c>
      <c r="C12" t="inlineStr">
        <is>
          <t>—</t>
        </is>
      </c>
      <c r="D12" t="inlineStr">
        <is>
          <t>—</t>
        </is>
      </c>
      <c r="E12" s="6" t="n">
        <v>2741</v>
      </c>
      <c r="F12" s="8" t="n">
        <v>43.9</v>
      </c>
      <c r="G12" s="8" t="n">
        <v>11.2</v>
      </c>
      <c r="H12" s="8" t="n">
        <v>55</v>
      </c>
    </row>
    <row r="13">
      <c r="A13" s="9" t="n">
        <v>1939</v>
      </c>
      <c r="B13" s="9" t="n">
        <v>254</v>
      </c>
      <c r="C13" t="inlineStr">
        <is>
          <t>—</t>
        </is>
      </c>
      <c r="D13" t="inlineStr">
        <is>
          <t>—</t>
        </is>
      </c>
      <c r="E13" s="6" t="n">
        <v>2904</v>
      </c>
      <c r="F13" s="8" t="n">
        <v>47.8</v>
      </c>
      <c r="G13" s="8" t="n">
        <v>12.5</v>
      </c>
      <c r="H13" s="8" t="n">
        <v>60.4</v>
      </c>
    </row>
    <row r="14">
      <c r="A14" s="9" t="n">
        <v>1940</v>
      </c>
      <c r="B14" s="9" t="n">
        <v>215</v>
      </c>
      <c r="C14" t="inlineStr">
        <is>
          <t>—</t>
        </is>
      </c>
      <c r="D14" t="inlineStr">
        <is>
          <t>—</t>
        </is>
      </c>
      <c r="E14" s="6" t="n">
        <v>3116</v>
      </c>
      <c r="F14" s="8" t="n">
        <v>53.7</v>
      </c>
      <c r="G14" s="8" t="n">
        <v>15.2</v>
      </c>
      <c r="H14" s="8" t="n">
        <v>68.90000000000001</v>
      </c>
    </row>
    <row r="16">
      <c r="A16" s="2" t="inlineStr">
        <is>
          <t>Transcriber's notes</t>
        </is>
      </c>
    </row>
    <row r="17">
      <c r="A17" t="inlineStr">
        <is>
          <t>Row '1936': teachers parts sum 2,618 vs printed 2,628 — does NOT reconcile (diff -10)</t>
        </is>
      </c>
    </row>
    <row r="18">
      <c r="A18" t="inlineStr">
        <is>
          <t>Row '1935': students parts sum 38.9 vs printed 39.0 — does NOT reconcile (diff -0.1)</t>
        </is>
      </c>
    </row>
    <row r="19">
      <c r="A19" t="inlineStr">
        <is>
          <t>Row '1937': students parts sum 45.4 vs printed 45.5 — does NOT reconcile (diff -0.1)</t>
        </is>
      </c>
    </row>
    <row r="20">
      <c r="A20" t="inlineStr">
        <is>
          <t>Row '1938': students parts sum 55.1 vs printed 55.0 — does NOT reconcile (diff +0.1)</t>
        </is>
      </c>
    </row>
    <row r="21">
      <c r="A21" t="inlineStr">
        <is>
          <t>Row '1939': students parts sum 60.3 vs printed 60.4 — does NOT reconcile (diff -0.1)</t>
        </is>
      </c>
    </row>
    <row r="22">
      <c r="A22" t="inlineStr">
        <is>
          <t>Row totals Male+Female checked for teachers (1934-37) and students (1933-40); 0.1 differences in students (thousands) are presumably rounding; 1936 teachers cells re-read (2,023 + 595 vs 2,628)</t>
        </is>
      </c>
    </row>
  </sheetData>
  <hyperlinks>
    <hyperlink xmlns:r="http://schemas.openxmlformats.org/officeDocument/2006/relationships" ref="A3" r:id="rId1"/>
  </hyperlink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U5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Secondary Schools by Province</t>
        </is>
      </c>
    </row>
    <row r="2">
      <c r="A2" t="inlineStr">
        <is>
          <t>Cultural Activities · printed pp. 659, 660</t>
        </is>
      </c>
    </row>
    <row r="3">
      <c r="A3" t="inlineStr">
        <is>
          <t>(Inclusive of Private Schools) (As in June, 1941)</t>
        </is>
      </c>
    </row>
    <row r="4">
      <c r="A4" s="3" t="inlineStr">
        <is>
          <t>← Contents</t>
        </is>
      </c>
    </row>
    <row r="6">
      <c r="A6" s="5" t="inlineStr">
        <is>
          <t>Province</t>
        </is>
      </c>
      <c r="B6" s="5" t="inlineStr">
        <is>
          <t>Normal Schools — No.</t>
        </is>
      </c>
      <c r="C6" s="5" t="inlineStr">
        <is>
          <t>Normal Schools — Class</t>
        </is>
      </c>
      <c r="D6" s="5" t="inlineStr">
        <is>
          <t>Higher National Schools — Agriculture — No.</t>
        </is>
      </c>
      <c r="E6" s="5" t="inlineStr">
        <is>
          <t>Higher National Schools — Agriculture — Class</t>
        </is>
      </c>
      <c r="F6" s="5" t="inlineStr">
        <is>
          <t>Higher National Schools — Engineering — No.</t>
        </is>
      </c>
      <c r="G6" s="5" t="inlineStr">
        <is>
          <t>Higher National Schools — Engineering — Class</t>
        </is>
      </c>
      <c r="H6" s="5" t="inlineStr">
        <is>
          <t>Higher National Schools — Commerce — No.</t>
        </is>
      </c>
      <c r="I6" s="5" t="inlineStr">
        <is>
          <t>Higher National Schools — Commerce — Class</t>
        </is>
      </c>
      <c r="J6" s="5" t="inlineStr">
        <is>
          <t>Higher National Schools — Marine — No.</t>
        </is>
      </c>
      <c r="K6" s="5" t="inlineStr">
        <is>
          <t>Higher National Schools — Marine — Class</t>
        </is>
      </c>
      <c r="L6" s="5" t="inlineStr">
        <is>
          <t>Girls' Higher National Sch. — No.</t>
        </is>
      </c>
      <c r="M6" s="5" t="inlineStr">
        <is>
          <t>Girls' Higher National Sch. — Class</t>
        </is>
      </c>
      <c r="N6" s="5" t="inlineStr">
        <is>
          <t>Boys' Vocational Sch. — No.</t>
        </is>
      </c>
      <c r="O6" s="5" t="inlineStr">
        <is>
          <t>Boys' Vocational Sch. — Class</t>
        </is>
      </c>
      <c r="P6" s="5" t="inlineStr">
        <is>
          <t>Girls' Vocational Sch. — No.</t>
        </is>
      </c>
      <c r="Q6" s="5" t="inlineStr">
        <is>
          <t>Girls' Vocational Sch. — Class</t>
        </is>
      </c>
      <c r="R6" s="5" t="inlineStr">
        <is>
          <t>Special Sch. — No.</t>
        </is>
      </c>
      <c r="S6" s="5" t="inlineStr">
        <is>
          <t>Special Sch. — Class</t>
        </is>
      </c>
      <c r="T6" s="5" t="inlineStr">
        <is>
          <t>Grand Total — No.</t>
        </is>
      </c>
      <c r="U6" s="5" t="inlineStr">
        <is>
          <t>Grand Total — Class</t>
        </is>
      </c>
    </row>
    <row r="7">
      <c r="A7" t="inlineStr">
        <is>
          <t>Hsinking</t>
        </is>
      </c>
      <c r="B7" s="9" t="n">
        <v>1</v>
      </c>
      <c r="C7" s="9" t="n">
        <v>2</v>
      </c>
      <c r="D7" s="9" t="n">
        <v>1</v>
      </c>
      <c r="E7" s="9" t="n">
        <v>4</v>
      </c>
      <c r="F7" s="9" t="n">
        <v>1</v>
      </c>
      <c r="G7" s="9" t="n">
        <v>12</v>
      </c>
      <c r="H7" s="9" t="n">
        <v>3</v>
      </c>
      <c r="I7" s="9" t="n">
        <v>33</v>
      </c>
      <c r="J7" t="inlineStr">
        <is>
          <t>—</t>
        </is>
      </c>
      <c r="K7" t="inlineStr">
        <is>
          <t>—</t>
        </is>
      </c>
      <c r="L7" s="9" t="n">
        <v>2</v>
      </c>
      <c r="M7" s="9" t="n">
        <v>19</v>
      </c>
      <c r="N7" s="9" t="n">
        <v>3</v>
      </c>
      <c r="O7" s="9" t="n">
        <v>22</v>
      </c>
      <c r="P7" s="9" t="n">
        <v>2</v>
      </c>
      <c r="Q7" s="9" t="n">
        <v>5</v>
      </c>
      <c r="R7" s="9" t="n">
        <v>7</v>
      </c>
      <c r="S7" s="9" t="n">
        <v>35</v>
      </c>
      <c r="T7" s="9" t="n">
        <v>20</v>
      </c>
      <c r="U7" s="9" t="n">
        <v>132</v>
      </c>
    </row>
    <row r="8">
      <c r="A8" t="inlineStr">
        <is>
          <t>Kirin</t>
        </is>
      </c>
      <c r="B8" s="9" t="n">
        <v>1</v>
      </c>
      <c r="C8" s="9" t="n">
        <v>12</v>
      </c>
      <c r="D8" s="9" t="n">
        <v>10</v>
      </c>
      <c r="E8" s="9" t="n">
        <v>38</v>
      </c>
      <c r="F8" s="9" t="n">
        <v>3</v>
      </c>
      <c r="G8" s="9" t="n">
        <v>16</v>
      </c>
      <c r="H8" s="9" t="n">
        <v>2</v>
      </c>
      <c r="I8" s="9" t="n">
        <v>19</v>
      </c>
      <c r="J8" t="inlineStr">
        <is>
          <t>—</t>
        </is>
      </c>
      <c r="K8" t="inlineStr">
        <is>
          <t>—</t>
        </is>
      </c>
      <c r="L8" s="9" t="n">
        <v>2</v>
      </c>
      <c r="M8" s="9" t="n">
        <v>19</v>
      </c>
      <c r="N8" s="9" t="n">
        <v>11</v>
      </c>
      <c r="O8" s="9" t="n">
        <v>25</v>
      </c>
      <c r="P8" s="9" t="n">
        <v>1</v>
      </c>
      <c r="Q8" s="9" t="n">
        <v>3</v>
      </c>
      <c r="R8" s="9" t="n">
        <v>3</v>
      </c>
      <c r="S8" s="9" t="n">
        <v>7</v>
      </c>
      <c r="T8" s="9" t="n">
        <v>33</v>
      </c>
      <c r="U8" s="9" t="n">
        <v>139</v>
      </c>
    </row>
    <row r="9">
      <c r="A9" t="inlineStr">
        <is>
          <t>Lungkiang</t>
        </is>
      </c>
      <c r="B9" s="9" t="n">
        <v>1</v>
      </c>
      <c r="C9" s="9" t="n">
        <v>12</v>
      </c>
      <c r="D9" s="9" t="n">
        <v>7</v>
      </c>
      <c r="E9" s="9" t="n">
        <v>27</v>
      </c>
      <c r="F9" s="9" t="n">
        <v>2</v>
      </c>
      <c r="G9" s="9" t="n">
        <v>8</v>
      </c>
      <c r="H9" s="9" t="n">
        <v>1</v>
      </c>
      <c r="I9" s="9" t="n">
        <v>13</v>
      </c>
      <c r="J9" s="9" t="n">
        <v>1</v>
      </c>
      <c r="K9" s="9" t="n">
        <v>2</v>
      </c>
      <c r="L9" s="9" t="n">
        <v>3</v>
      </c>
      <c r="M9" s="9" t="n">
        <v>16</v>
      </c>
      <c r="N9" s="9" t="n">
        <v>2</v>
      </c>
      <c r="O9" s="9" t="n">
        <v>3</v>
      </c>
      <c r="P9" s="9" t="n">
        <v>1</v>
      </c>
      <c r="Q9" s="9" t="n">
        <v>2</v>
      </c>
      <c r="R9" s="9" t="n">
        <v>2</v>
      </c>
      <c r="S9" s="9" t="n">
        <v>3</v>
      </c>
      <c r="T9" s="9" t="n">
        <v>20</v>
      </c>
      <c r="U9" s="9" t="n">
        <v>86</v>
      </c>
    </row>
    <row r="10">
      <c r="A10" t="inlineStr">
        <is>
          <t>Peian</t>
        </is>
      </c>
      <c r="B10" s="9" t="n">
        <v>1</v>
      </c>
      <c r="C10" s="9" t="n">
        <v>9</v>
      </c>
      <c r="D10" s="9" t="n">
        <v>7</v>
      </c>
      <c r="E10" s="9" t="n">
        <v>35</v>
      </c>
      <c r="F10" t="inlineStr">
        <is>
          <t>—</t>
        </is>
      </c>
      <c r="G10" t="inlineStr">
        <is>
          <t>—</t>
        </is>
      </c>
      <c r="H10" t="inlineStr">
        <is>
          <t>—</t>
        </is>
      </c>
      <c r="I10" t="inlineStr">
        <is>
          <t>—</t>
        </is>
      </c>
      <c r="J10" t="inlineStr">
        <is>
          <t>—</t>
        </is>
      </c>
      <c r="K10" t="inlineStr">
        <is>
          <t>—</t>
        </is>
      </c>
      <c r="L10" s="9" t="n">
        <v>4</v>
      </c>
      <c r="M10" s="9" t="n">
        <v>14</v>
      </c>
      <c r="N10" s="9" t="n">
        <v>1</v>
      </c>
      <c r="O10" s="9" t="n">
        <v>1</v>
      </c>
      <c r="P10" t="inlineStr">
        <is>
          <t>—</t>
        </is>
      </c>
      <c r="Q10" t="inlineStr">
        <is>
          <t>—</t>
        </is>
      </c>
      <c r="R10" t="inlineStr">
        <is>
          <t>—</t>
        </is>
      </c>
      <c r="S10" t="inlineStr">
        <is>
          <t>—</t>
        </is>
      </c>
      <c r="T10" s="9" t="n">
        <v>13</v>
      </c>
      <c r="U10" s="9" t="n">
        <v>59</v>
      </c>
    </row>
    <row r="11">
      <c r="A11" t="inlineStr">
        <is>
          <t>Heiho</t>
        </is>
      </c>
      <c r="B11" t="inlineStr">
        <is>
          <t>—</t>
        </is>
      </c>
      <c r="C11" t="inlineStr">
        <is>
          <t>—</t>
        </is>
      </c>
      <c r="D11" s="9" t="n">
        <v>1</v>
      </c>
      <c r="E11" s="9" t="n">
        <v>4</v>
      </c>
      <c r="F11" t="inlineStr">
        <is>
          <t>—</t>
        </is>
      </c>
      <c r="G11" t="inlineStr">
        <is>
          <t>—</t>
        </is>
      </c>
      <c r="H11" s="9" t="n">
        <v>7</v>
      </c>
      <c r="I11" t="inlineStr">
        <is>
          <t>—</t>
        </is>
      </c>
      <c r="J11" t="inlineStr">
        <is>
          <t>—</t>
        </is>
      </c>
      <c r="K11" t="inlineStr">
        <is>
          <t>—</t>
        </is>
      </c>
      <c r="L11" s="9" t="n">
        <v>1</v>
      </c>
      <c r="M11" s="9" t="n">
        <v>3</v>
      </c>
      <c r="N11" t="inlineStr">
        <is>
          <t>—</t>
        </is>
      </c>
      <c r="O11" t="inlineStr">
        <is>
          <t>—</t>
        </is>
      </c>
      <c r="P11" t="inlineStr">
        <is>
          <t>—</t>
        </is>
      </c>
      <c r="Q11" t="inlineStr">
        <is>
          <t>—</t>
        </is>
      </c>
      <c r="R11" s="9" t="n">
        <v>1</v>
      </c>
      <c r="S11" s="9" t="n">
        <v>1</v>
      </c>
      <c r="T11" s="9" t="n">
        <v>3</v>
      </c>
      <c r="U11" s="9" t="n">
        <v>8</v>
      </c>
    </row>
    <row r="12">
      <c r="A12" t="inlineStr">
        <is>
          <t>Sankiang</t>
        </is>
      </c>
      <c r="B12" s="9" t="n">
        <v>1</v>
      </c>
      <c r="C12" s="9" t="n">
        <v>9</v>
      </c>
      <c r="D12" s="9" t="n">
        <v>3</v>
      </c>
      <c r="E12" s="9" t="n">
        <v>18</v>
      </c>
      <c r="F12" t="inlineStr">
        <is>
          <t>—</t>
        </is>
      </c>
      <c r="G12" t="inlineStr">
        <is>
          <t>—</t>
        </is>
      </c>
      <c r="H12" t="inlineStr">
        <is>
          <t>—</t>
        </is>
      </c>
      <c r="I12" t="inlineStr">
        <is>
          <t>—</t>
        </is>
      </c>
      <c r="J12" t="inlineStr">
        <is>
          <t>—</t>
        </is>
      </c>
      <c r="K12" t="inlineStr">
        <is>
          <t>—</t>
        </is>
      </c>
      <c r="L12" s="9" t="n">
        <v>1</v>
      </c>
      <c r="M12" s="9" t="n">
        <v>5</v>
      </c>
      <c r="N12" s="9" t="n">
        <v>2</v>
      </c>
      <c r="O12" s="9" t="n">
        <v>5</v>
      </c>
      <c r="P12" s="9" t="n">
        <v>1</v>
      </c>
      <c r="Q12" s="9" t="n">
        <v>2</v>
      </c>
      <c r="R12" t="inlineStr">
        <is>
          <t>—</t>
        </is>
      </c>
      <c r="S12" t="inlineStr">
        <is>
          <t>—</t>
        </is>
      </c>
      <c r="T12" s="9" t="n">
        <v>8</v>
      </c>
      <c r="U12" s="9" t="n">
        <v>39</v>
      </c>
    </row>
    <row r="13">
      <c r="A13" t="inlineStr">
        <is>
          <t>Tungan</t>
        </is>
      </c>
      <c r="B13" t="inlineStr">
        <is>
          <t>—</t>
        </is>
      </c>
      <c r="C13" t="inlineStr">
        <is>
          <t>—</t>
        </is>
      </c>
      <c r="D13" s="9" t="n">
        <v>2</v>
      </c>
      <c r="E13" s="9" t="n">
        <v>5</v>
      </c>
      <c r="F13" t="inlineStr">
        <is>
          <t>—</t>
        </is>
      </c>
      <c r="G13" t="inlineStr">
        <is>
          <t>—</t>
        </is>
      </c>
      <c r="H13" t="inlineStr">
        <is>
          <t>—</t>
        </is>
      </c>
      <c r="I13" t="inlineStr">
        <is>
          <t>—</t>
        </is>
      </c>
      <c r="J13" t="inlineStr">
        <is>
          <t>—</t>
        </is>
      </c>
      <c r="K13" t="inlineStr">
        <is>
          <t>—</t>
        </is>
      </c>
      <c r="L13" t="inlineStr">
        <is>
          <t>—</t>
        </is>
      </c>
      <c r="M13" t="inlineStr">
        <is>
          <t>—</t>
        </is>
      </c>
      <c r="N13" s="9" t="n">
        <v>1</v>
      </c>
      <c r="O13" s="9" t="n">
        <v>2</v>
      </c>
      <c r="P13" t="inlineStr">
        <is>
          <t>—</t>
        </is>
      </c>
      <c r="Q13" t="inlineStr">
        <is>
          <t>—</t>
        </is>
      </c>
      <c r="R13" s="9" t="n">
        <v>1</v>
      </c>
      <c r="S13" s="9" t="n">
        <v>1</v>
      </c>
      <c r="T13" s="9" t="n">
        <v>4</v>
      </c>
      <c r="U13" s="9" t="n">
        <v>8</v>
      </c>
    </row>
    <row r="14">
      <c r="A14" t="inlineStr">
        <is>
          <t>Mutankiang</t>
        </is>
      </c>
      <c r="B14" s="9" t="n">
        <v>1</v>
      </c>
      <c r="C14" s="9" t="n">
        <v>6</v>
      </c>
      <c r="D14" s="9" t="n">
        <v>1</v>
      </c>
      <c r="E14" s="9" t="n">
        <v>7</v>
      </c>
      <c r="F14" s="9" t="n">
        <v>1</v>
      </c>
      <c r="G14" s="9" t="n">
        <v>4</v>
      </c>
      <c r="H14" t="inlineStr">
        <is>
          <t>—</t>
        </is>
      </c>
      <c r="I14" t="inlineStr">
        <is>
          <t>—</t>
        </is>
      </c>
      <c r="J14" t="inlineStr">
        <is>
          <t>—</t>
        </is>
      </c>
      <c r="K14" t="inlineStr">
        <is>
          <t>—</t>
        </is>
      </c>
      <c r="L14" s="9" t="n">
        <v>1</v>
      </c>
      <c r="M14" s="9" t="n">
        <v>4</v>
      </c>
      <c r="N14" s="9" t="n">
        <v>1</v>
      </c>
      <c r="O14" s="9" t="n">
        <v>2</v>
      </c>
      <c r="P14" t="inlineStr">
        <is>
          <t>—</t>
        </is>
      </c>
      <c r="Q14" t="inlineStr">
        <is>
          <t>—</t>
        </is>
      </c>
      <c r="R14" t="inlineStr">
        <is>
          <t>—</t>
        </is>
      </c>
      <c r="S14" t="inlineStr">
        <is>
          <t>—</t>
        </is>
      </c>
      <c r="T14" s="9" t="n">
        <v>5</v>
      </c>
      <c r="U14" s="9" t="n">
        <v>23</v>
      </c>
    </row>
    <row r="15">
      <c r="A15" t="inlineStr">
        <is>
          <t>Pinkiang</t>
        </is>
      </c>
      <c r="B15" s="9" t="n">
        <v>1</v>
      </c>
      <c r="C15" s="9" t="n">
        <v>18</v>
      </c>
      <c r="D15" s="9" t="n">
        <v>10</v>
      </c>
      <c r="E15" s="9" t="n">
        <v>52</v>
      </c>
      <c r="F15" s="9" t="n">
        <v>1</v>
      </c>
      <c r="G15" s="9" t="n">
        <v>14</v>
      </c>
      <c r="H15" s="9" t="n">
        <v>3</v>
      </c>
      <c r="I15" s="9" t="n">
        <v>38</v>
      </c>
      <c r="J15" t="inlineStr">
        <is>
          <t>—</t>
        </is>
      </c>
      <c r="K15" t="inlineStr">
        <is>
          <t>—</t>
        </is>
      </c>
      <c r="L15" s="9" t="n">
        <v>5</v>
      </c>
      <c r="M15" s="9" t="n">
        <v>32</v>
      </c>
      <c r="N15" s="9" t="n">
        <v>7</v>
      </c>
      <c r="O15" s="9" t="n">
        <v>22</v>
      </c>
      <c r="P15" s="9" t="n">
        <v>4</v>
      </c>
      <c r="Q15" s="9" t="n">
        <v>7</v>
      </c>
      <c r="R15" s="9" t="n">
        <v>16</v>
      </c>
      <c r="S15" s="9" t="n">
        <v>56</v>
      </c>
      <c r="T15" s="9" t="n">
        <v>48</v>
      </c>
      <c r="U15" s="9" t="n">
        <v>239</v>
      </c>
    </row>
    <row r="16">
      <c r="A16" t="inlineStr">
        <is>
          <t>Chientao</t>
        </is>
      </c>
      <c r="B16" s="9" t="n">
        <v>1</v>
      </c>
      <c r="C16" s="9" t="n">
        <v>8</v>
      </c>
      <c r="D16" s="9" t="n">
        <v>3</v>
      </c>
      <c r="E16" t="inlineStr"/>
      <c r="F16" s="9" t="n">
        <v>1</v>
      </c>
      <c r="G16" s="9" t="n">
        <v>8</v>
      </c>
      <c r="H16" s="9" t="n">
        <v>2</v>
      </c>
      <c r="I16" s="9" t="n">
        <v>12</v>
      </c>
      <c r="J16" t="inlineStr">
        <is>
          <t>—</t>
        </is>
      </c>
      <c r="K16" t="inlineStr">
        <is>
          <t>—</t>
        </is>
      </c>
      <c r="L16" s="9" t="n">
        <v>3</v>
      </c>
      <c r="M16" s="9" t="n">
        <v>14</v>
      </c>
      <c r="N16" s="9" t="n">
        <v>2</v>
      </c>
      <c r="O16" s="9" t="n">
        <v>15</v>
      </c>
      <c r="P16" t="inlineStr">
        <is>
          <t>—</t>
        </is>
      </c>
      <c r="Q16" t="inlineStr">
        <is>
          <t>—</t>
        </is>
      </c>
      <c r="R16" s="9" t="n">
        <v>2</v>
      </c>
      <c r="S16" s="9" t="n">
        <v>2</v>
      </c>
      <c r="T16" s="9" t="n">
        <v>13</v>
      </c>
      <c r="U16" s="9" t="n">
        <v>78</v>
      </c>
    </row>
    <row r="17">
      <c r="A17" t="inlineStr">
        <is>
          <t>Tunghua</t>
        </is>
      </c>
      <c r="B17" s="9" t="n">
        <v>1</v>
      </c>
      <c r="C17" s="9" t="n">
        <v>7</v>
      </c>
      <c r="D17" s="9" t="n">
        <v>3</v>
      </c>
      <c r="E17" s="9" t="n">
        <v>12</v>
      </c>
      <c r="F17" s="9" t="n">
        <v>2</v>
      </c>
      <c r="G17" s="9" t="n">
        <v>8</v>
      </c>
      <c r="H17" t="inlineStr">
        <is>
          <t>—</t>
        </is>
      </c>
      <c r="I17" t="inlineStr">
        <is>
          <t>—</t>
        </is>
      </c>
      <c r="J17" t="inlineStr">
        <is>
          <t>—</t>
        </is>
      </c>
      <c r="K17" t="inlineStr">
        <is>
          <t>—</t>
        </is>
      </c>
      <c r="L17" s="9" t="n">
        <v>2</v>
      </c>
      <c r="M17" s="9" t="n">
        <v>5</v>
      </c>
      <c r="N17" s="9" t="n">
        <v>4</v>
      </c>
      <c r="O17" s="9" t="n">
        <v>7</v>
      </c>
      <c r="P17" t="inlineStr">
        <is>
          <t>—</t>
        </is>
      </c>
      <c r="Q17" t="inlineStr">
        <is>
          <t>—</t>
        </is>
      </c>
      <c r="R17" t="inlineStr">
        <is>
          <t>—</t>
        </is>
      </c>
      <c r="S17" t="inlineStr">
        <is>
          <t>—</t>
        </is>
      </c>
      <c r="T17" s="9" t="n">
        <v>12</v>
      </c>
      <c r="U17" s="9" t="n">
        <v>39</v>
      </c>
    </row>
    <row r="18">
      <c r="A18" t="inlineStr">
        <is>
          <t>Antung</t>
        </is>
      </c>
      <c r="B18" s="9" t="n">
        <v>1</v>
      </c>
      <c r="C18" s="9" t="n">
        <v>11</v>
      </c>
      <c r="D18" s="9" t="n">
        <v>7</v>
      </c>
      <c r="E18" s="9" t="n">
        <v>48</v>
      </c>
      <c r="F18" s="9" t="n">
        <v>1</v>
      </c>
      <c r="G18" s="9" t="n">
        <v>8</v>
      </c>
      <c r="H18" s="9" t="n">
        <v>3</v>
      </c>
      <c r="I18" s="9" t="n">
        <v>22</v>
      </c>
      <c r="J18" t="inlineStr">
        <is>
          <t>—</t>
        </is>
      </c>
      <c r="K18" t="inlineStr">
        <is>
          <t>—</t>
        </is>
      </c>
      <c r="L18" s="9" t="n">
        <v>6</v>
      </c>
      <c r="M18" s="9" t="n">
        <v>28</v>
      </c>
      <c r="N18" t="inlineStr">
        <is>
          <t>—</t>
        </is>
      </c>
      <c r="O18" t="inlineStr">
        <is>
          <t>—</t>
        </is>
      </c>
      <c r="P18" t="inlineStr">
        <is>
          <t>—</t>
        </is>
      </c>
      <c r="Q18" t="inlineStr">
        <is>
          <t>—</t>
        </is>
      </c>
      <c r="R18" s="9" t="n">
        <v>1</v>
      </c>
      <c r="S18" s="9" t="n">
        <v>1</v>
      </c>
      <c r="T18" s="9" t="n">
        <v>19</v>
      </c>
      <c r="U18" s="9" t="n">
        <v>118</v>
      </c>
    </row>
    <row r="19">
      <c r="A19" t="inlineStr">
        <is>
          <t>Fengtien</t>
        </is>
      </c>
      <c r="B19" s="9" t="n">
        <v>4</v>
      </c>
      <c r="C19" s="9" t="n">
        <v>56</v>
      </c>
      <c r="D19" s="9" t="n">
        <v>22</v>
      </c>
      <c r="E19" s="9" t="n">
        <v>174</v>
      </c>
      <c r="F19" s="9" t="n">
        <v>8</v>
      </c>
      <c r="G19" s="9" t="n">
        <v>51</v>
      </c>
      <c r="H19" s="9" t="n">
        <v>15</v>
      </c>
      <c r="I19" s="9" t="n">
        <v>128</v>
      </c>
      <c r="J19" s="9" t="n">
        <v>1</v>
      </c>
      <c r="K19" s="9" t="n">
        <v>4</v>
      </c>
      <c r="L19" s="9" t="n">
        <v>21</v>
      </c>
      <c r="M19" s="9" t="n">
        <v>108</v>
      </c>
      <c r="N19" s="9" t="n">
        <v>11</v>
      </c>
      <c r="O19" s="9" t="n">
        <v>40</v>
      </c>
      <c r="P19" s="9" t="n">
        <v>9</v>
      </c>
      <c r="Q19" s="9" t="n">
        <v>17</v>
      </c>
      <c r="R19" s="9" t="n">
        <v>20</v>
      </c>
      <c r="S19" s="9" t="n">
        <v>129</v>
      </c>
      <c r="T19" s="9" t="n">
        <v>111</v>
      </c>
      <c r="U19" s="9" t="n">
        <v>707</v>
      </c>
    </row>
    <row r="20">
      <c r="A20" t="inlineStr">
        <is>
          <t>Chinchow</t>
        </is>
      </c>
      <c r="B20" s="9" t="n">
        <v>1</v>
      </c>
      <c r="C20" s="9" t="n">
        <v>15</v>
      </c>
      <c r="D20" s="9" t="n">
        <v>9</v>
      </c>
      <c r="E20" s="9" t="n">
        <v>66</v>
      </c>
      <c r="F20" s="9" t="n">
        <v>1</v>
      </c>
      <c r="G20" s="9" t="n">
        <v>8</v>
      </c>
      <c r="H20" s="9" t="n">
        <v>2</v>
      </c>
      <c r="I20" s="9" t="n">
        <v>13</v>
      </c>
      <c r="J20" t="inlineStr">
        <is>
          <t>—</t>
        </is>
      </c>
      <c r="K20" t="inlineStr">
        <is>
          <t>—</t>
        </is>
      </c>
      <c r="L20" s="9" t="n">
        <v>5</v>
      </c>
      <c r="M20" s="9" t="n">
        <v>24</v>
      </c>
      <c r="N20" s="9" t="n">
        <v>4</v>
      </c>
      <c r="O20" s="9" t="n">
        <v>8</v>
      </c>
      <c r="P20" s="9" t="n">
        <v>2</v>
      </c>
      <c r="Q20" s="9" t="n">
        <v>4</v>
      </c>
      <c r="R20" s="9" t="n">
        <v>1</v>
      </c>
      <c r="S20" s="9" t="n">
        <v>2</v>
      </c>
      <c r="T20" s="9" t="n">
        <v>26</v>
      </c>
      <c r="U20" s="9" t="n">
        <v>140</v>
      </c>
    </row>
    <row r="21">
      <c r="A21" t="inlineStr">
        <is>
          <t>Jehol</t>
        </is>
      </c>
      <c r="B21" s="9" t="n">
        <v>1</v>
      </c>
      <c r="C21" s="9" t="n">
        <v>17</v>
      </c>
      <c r="D21" s="9" t="n">
        <v>9</v>
      </c>
      <c r="E21" s="9" t="n">
        <v>27</v>
      </c>
      <c r="F21" t="inlineStr">
        <is>
          <t>—</t>
        </is>
      </c>
      <c r="G21" t="inlineStr">
        <is>
          <t>—</t>
        </is>
      </c>
      <c r="H21" s="9" t="n">
        <v>1</v>
      </c>
      <c r="I21" s="9" t="n">
        <v>8</v>
      </c>
      <c r="J21" t="inlineStr">
        <is>
          <t>—</t>
        </is>
      </c>
      <c r="K21" t="inlineStr">
        <is>
          <t>—</t>
        </is>
      </c>
      <c r="L21" s="9" t="n">
        <v>1</v>
      </c>
      <c r="M21" s="9" t="n">
        <v>4</v>
      </c>
      <c r="N21" s="9" t="n">
        <v>2</v>
      </c>
      <c r="O21" s="9" t="n">
        <v>2</v>
      </c>
      <c r="P21" t="inlineStr">
        <is>
          <t>—</t>
        </is>
      </c>
      <c r="Q21" t="inlineStr">
        <is>
          <t>—</t>
        </is>
      </c>
      <c r="R21" s="9" t="n">
        <v>1</v>
      </c>
      <c r="S21" s="9" t="n">
        <v>4</v>
      </c>
      <c r="T21" s="9" t="n">
        <v>15</v>
      </c>
      <c r="U21" s="9" t="n">
        <v>62</v>
      </c>
    </row>
    <row r="22">
      <c r="A22" t="inlineStr">
        <is>
          <t>W. Hsingan</t>
        </is>
      </c>
      <c r="B22" t="inlineStr">
        <is>
          <t>—</t>
        </is>
      </c>
      <c r="C22" t="inlineStr">
        <is>
          <t>—</t>
        </is>
      </c>
      <c r="D22" s="9" t="n">
        <v>2</v>
      </c>
      <c r="E22" s="9" t="n">
        <v>7</v>
      </c>
      <c r="F22" t="inlineStr">
        <is>
          <t>—</t>
        </is>
      </c>
      <c r="G22" t="inlineStr">
        <is>
          <t>—</t>
        </is>
      </c>
      <c r="H22" t="inlineStr">
        <is>
          <t>—</t>
        </is>
      </c>
      <c r="I22" t="inlineStr">
        <is>
          <t>—</t>
        </is>
      </c>
      <c r="J22" t="inlineStr">
        <is>
          <t>—</t>
        </is>
      </c>
      <c r="K22" t="inlineStr">
        <is>
          <t>—</t>
        </is>
      </c>
      <c r="L22" t="inlineStr">
        <is>
          <t>—</t>
        </is>
      </c>
      <c r="M22" t="inlineStr">
        <is>
          <t>—</t>
        </is>
      </c>
      <c r="N22" s="9" t="n">
        <v>1</v>
      </c>
      <c r="O22" s="9" t="n">
        <v>3</v>
      </c>
      <c r="P22" t="inlineStr">
        <is>
          <t>—</t>
        </is>
      </c>
      <c r="Q22" t="inlineStr">
        <is>
          <t>—</t>
        </is>
      </c>
      <c r="R22" s="9" t="n">
        <v>1</v>
      </c>
      <c r="S22" s="9" t="n">
        <v>2</v>
      </c>
      <c r="T22" s="9" t="n">
        <v>4</v>
      </c>
      <c r="U22" s="9" t="n">
        <v>12</v>
      </c>
    </row>
    <row r="23">
      <c r="A23" t="inlineStr">
        <is>
          <t>S. Hsingan</t>
        </is>
      </c>
      <c r="B23" s="9" t="n">
        <v>1</v>
      </c>
      <c r="C23" s="9" t="n">
        <v>5</v>
      </c>
      <c r="D23" s="9" t="n">
        <v>3</v>
      </c>
      <c r="E23" s="9" t="n">
        <v>13</v>
      </c>
      <c r="F23" t="inlineStr">
        <is>
          <t>—</t>
        </is>
      </c>
      <c r="G23" t="inlineStr">
        <is>
          <t>—</t>
        </is>
      </c>
      <c r="H23" t="inlineStr">
        <is>
          <t>—</t>
        </is>
      </c>
      <c r="I23" t="inlineStr">
        <is>
          <t>—</t>
        </is>
      </c>
      <c r="J23" t="inlineStr">
        <is>
          <t>—</t>
        </is>
      </c>
      <c r="K23" t="inlineStr">
        <is>
          <t>—</t>
        </is>
      </c>
      <c r="L23" s="9" t="n">
        <v>1</v>
      </c>
      <c r="M23" s="9" t="n">
        <v>3</v>
      </c>
      <c r="N23" s="9" t="n">
        <v>4</v>
      </c>
      <c r="O23" s="9" t="n">
        <v>10</v>
      </c>
      <c r="P23" s="9" t="n">
        <v>1</v>
      </c>
      <c r="Q23" s="9" t="n">
        <v>2</v>
      </c>
      <c r="R23" t="inlineStr">
        <is>
          <t>—</t>
        </is>
      </c>
      <c r="S23" t="inlineStr">
        <is>
          <t>—</t>
        </is>
      </c>
      <c r="T23" s="9" t="n">
        <v>10</v>
      </c>
      <c r="U23" s="9" t="n">
        <v>33</v>
      </c>
    </row>
    <row r="24">
      <c r="A24" t="inlineStr">
        <is>
          <t>E. Hsingan</t>
        </is>
      </c>
      <c r="B24" s="9" t="n">
        <v>1</v>
      </c>
      <c r="C24" s="9" t="n">
        <v>6</v>
      </c>
      <c r="D24" s="9" t="n">
        <v>1</v>
      </c>
      <c r="E24" s="9" t="n">
        <v>4</v>
      </c>
      <c r="F24" t="inlineStr">
        <is>
          <t>—</t>
        </is>
      </c>
      <c r="G24" t="inlineStr">
        <is>
          <t>—</t>
        </is>
      </c>
      <c r="H24" t="inlineStr">
        <is>
          <t>—</t>
        </is>
      </c>
      <c r="I24" t="inlineStr">
        <is>
          <t>—</t>
        </is>
      </c>
      <c r="J24" t="inlineStr">
        <is>
          <t>—</t>
        </is>
      </c>
      <c r="K24" t="inlineStr">
        <is>
          <t>—</t>
        </is>
      </c>
      <c r="L24" t="inlineStr">
        <is>
          <t>—</t>
        </is>
      </c>
      <c r="M24" t="inlineStr">
        <is>
          <t>—</t>
        </is>
      </c>
      <c r="N24" s="9" t="n">
        <v>2</v>
      </c>
      <c r="O24" s="9" t="n">
        <v>5</v>
      </c>
      <c r="P24" t="inlineStr">
        <is>
          <t>—</t>
        </is>
      </c>
      <c r="Q24" t="inlineStr">
        <is>
          <t>—</t>
        </is>
      </c>
      <c r="R24" t="inlineStr">
        <is>
          <t>—</t>
        </is>
      </c>
      <c r="S24" t="inlineStr">
        <is>
          <t>—</t>
        </is>
      </c>
      <c r="T24" s="9" t="n">
        <v>4</v>
      </c>
      <c r="U24" s="9" t="n">
        <v>15</v>
      </c>
    </row>
    <row r="25">
      <c r="A25" t="inlineStr">
        <is>
          <t>N. Hsingan</t>
        </is>
      </c>
      <c r="B25" t="inlineStr">
        <is>
          <t>—</t>
        </is>
      </c>
      <c r="C25" t="inlineStr">
        <is>
          <t>—</t>
        </is>
      </c>
      <c r="D25" s="9" t="n">
        <v>2</v>
      </c>
      <c r="E25" s="9" t="n">
        <v>8</v>
      </c>
      <c r="F25" t="inlineStr">
        <is>
          <t>—</t>
        </is>
      </c>
      <c r="G25" t="inlineStr">
        <is>
          <t>—</t>
        </is>
      </c>
      <c r="H25" s="9" t="n">
        <v>1</v>
      </c>
      <c r="I25" s="9" t="n">
        <v>4</v>
      </c>
      <c r="J25" t="inlineStr">
        <is>
          <t>—</t>
        </is>
      </c>
      <c r="K25" t="inlineStr">
        <is>
          <t>—</t>
        </is>
      </c>
      <c r="L25" t="inlineStr">
        <is>
          <t>—</t>
        </is>
      </c>
      <c r="M25" t="inlineStr">
        <is>
          <t>—</t>
        </is>
      </c>
      <c r="N25" t="inlineStr">
        <is>
          <t>—</t>
        </is>
      </c>
      <c r="O25" t="inlineStr">
        <is>
          <t>—</t>
        </is>
      </c>
      <c r="P25" t="inlineStr">
        <is>
          <t>—</t>
        </is>
      </c>
      <c r="Q25" t="inlineStr">
        <is>
          <t>—</t>
        </is>
      </c>
      <c r="R25" s="9" t="n">
        <v>1</v>
      </c>
      <c r="S25" s="9" t="n">
        <v>2</v>
      </c>
      <c r="T25" s="9" t="n">
        <v>4</v>
      </c>
      <c r="U25" s="9" t="n">
        <v>14</v>
      </c>
    </row>
    <row r="26">
      <c r="A26" t="inlineStr">
        <is>
          <t>Total</t>
        </is>
      </c>
      <c r="B26" s="9" t="n">
        <v>18</v>
      </c>
      <c r="C26" s="9" t="n">
        <v>193</v>
      </c>
      <c r="D26" s="9" t="n">
        <v>103</v>
      </c>
      <c r="E26" s="9" t="n">
        <v>568</v>
      </c>
      <c r="F26" s="9" t="n">
        <v>21</v>
      </c>
      <c r="G26" s="9" t="n">
        <v>137</v>
      </c>
      <c r="H26" s="9" t="n">
        <v>34</v>
      </c>
      <c r="I26" s="9" t="n">
        <v>290</v>
      </c>
      <c r="J26" s="9" t="n">
        <v>2</v>
      </c>
      <c r="K26" s="9" t="n">
        <v>6</v>
      </c>
      <c r="L26" s="9" t="n">
        <v>58</v>
      </c>
      <c r="M26" s="9" t="n">
        <v>298</v>
      </c>
      <c r="N26" s="9" t="n">
        <v>58</v>
      </c>
      <c r="O26" s="9" t="n">
        <v>172</v>
      </c>
      <c r="P26" s="9" t="n">
        <v>21</v>
      </c>
      <c r="Q26" s="9" t="n">
        <v>42</v>
      </c>
      <c r="R26" s="9" t="n">
        <v>57</v>
      </c>
      <c r="S26" s="9" t="n">
        <v>245</v>
      </c>
      <c r="T26" s="9" t="n">
        <v>372</v>
      </c>
      <c r="U26" s="6" t="n">
        <v>1951</v>
      </c>
    </row>
    <row r="28">
      <c r="A28" s="2" t="inlineStr">
        <is>
          <t>Transcriber's notes</t>
        </is>
      </c>
    </row>
    <row r="29">
      <c r="A29" t="inlineStr">
        <is>
          <t>Total col 'Normal Schools — No.': printed 18, parts sum 18 — reconciles</t>
        </is>
      </c>
    </row>
    <row r="30">
      <c r="A30" t="inlineStr">
        <is>
          <t>Total col 'Normal Schools — Class': printed 193, parts sum 193 — reconciles</t>
        </is>
      </c>
    </row>
    <row r="31">
      <c r="A31" t="inlineStr">
        <is>
          <t>Total col 'Higher National Schools — Agriculture — No.': printed 103, parts sum 103 — reconciles</t>
        </is>
      </c>
    </row>
    <row r="32">
      <c r="A32" t="inlineStr">
        <is>
          <t>Total col 'Higher National Schools — Agriculture — Class': printed 568, parts sum 568 — reconciles</t>
        </is>
      </c>
    </row>
    <row r="33">
      <c r="A33" t="inlineStr">
        <is>
          <t>Total col 'Higher National Schools — Engineering — No.': printed 21, parts sum 21 — reconciles</t>
        </is>
      </c>
    </row>
    <row r="34">
      <c r="A34" t="inlineStr">
        <is>
          <t>Total col 'Higher National Schools — Engineering — Class': printed 137, parts sum 137 — reconciles</t>
        </is>
      </c>
    </row>
    <row r="35">
      <c r="A35" t="inlineStr">
        <is>
          <t>Total col 'Higher National Schools — Commerce — No.': printed 34, parts sum 40 — does NOT reconcile (diff +6)</t>
        </is>
      </c>
    </row>
    <row r="36">
      <c r="A36" t="inlineStr">
        <is>
          <t>Total col 'Higher National Schools — Commerce — Class': printed 290, parts sum 290 — reconciles</t>
        </is>
      </c>
    </row>
    <row r="37">
      <c r="A37" t="inlineStr">
        <is>
          <t>Total col 'Higher National Schools — Marine — No.': printed 2, parts sum 2 — reconciles</t>
        </is>
      </c>
    </row>
    <row r="38">
      <c r="A38" t="inlineStr">
        <is>
          <t>Total col 'Higher National Schools — Marine — Class': printed 6, parts sum 6 — reconciles</t>
        </is>
      </c>
    </row>
    <row r="39">
      <c r="A39" t="inlineStr">
        <is>
          <t>Total col 'Girls' Higher National Sch. — No.': printed 58, parts sum 58 — reconciles</t>
        </is>
      </c>
    </row>
    <row r="40">
      <c r="A40" t="inlineStr">
        <is>
          <t>Total col 'Girls' Higher National Sch. — Class': printed 298, parts sum 298 — reconciles</t>
        </is>
      </c>
    </row>
    <row r="41">
      <c r="A41" t="inlineStr">
        <is>
          <t>Total col 'Boys' Vocational Sch. — No.': printed 58, parts sum 58 — reconciles</t>
        </is>
      </c>
    </row>
    <row r="42">
      <c r="A42" t="inlineStr">
        <is>
          <t>Total col 'Boys' Vocational Sch. — Class': printed 172, parts sum 172 — reconciles</t>
        </is>
      </c>
    </row>
    <row r="43">
      <c r="A43" t="inlineStr">
        <is>
          <t>Total col 'Girls' Vocational Sch. — No.': printed 21, parts sum 21 — reconciles</t>
        </is>
      </c>
    </row>
    <row r="44">
      <c r="A44" t="inlineStr">
        <is>
          <t>Total col 'Girls' Vocational Sch. — Class': printed 42, parts sum 42 — reconciles</t>
        </is>
      </c>
    </row>
    <row r="45">
      <c r="A45" t="inlineStr">
        <is>
          <t>Total col 'Special Sch. — No.': printed 57, parts sum 57 — reconciles</t>
        </is>
      </c>
    </row>
    <row r="46">
      <c r="A46" t="inlineStr">
        <is>
          <t>Total col 'Special Sch. — Class': printed 245, parts sum 245 — reconciles</t>
        </is>
      </c>
    </row>
    <row r="47">
      <c r="A47" t="inlineStr">
        <is>
          <t>Total col 'Grand Total — No.': printed 372, parts sum 372 — reconciles</t>
        </is>
      </c>
    </row>
    <row r="48">
      <c r="A48" t="inlineStr">
        <is>
          <t>Total col 'Grand Total — Class': printed 1,951, parts sum 1,951 — reconciles</t>
        </is>
      </c>
    </row>
    <row r="49">
      <c r="A49" t="inlineStr">
        <is>
          <t>Row 'Heiho': Grand Total No. parts sum 10 vs printed 3 — does NOT reconcile (diff +7)</t>
        </is>
      </c>
    </row>
    <row r="50">
      <c r="A50" t="inlineStr">
        <is>
          <t>Row 'Pinkiang': Grand Total No. parts sum 47 vs printed 48 — does NOT reconcile (diff -1)</t>
        </is>
      </c>
    </row>
    <row r="51">
      <c r="A51" t="inlineStr">
        <is>
          <t>Row 'Chientao': Grand Total No. parts sum 14 vs printed 13 — does NOT reconcile (diff +1)</t>
        </is>
      </c>
    </row>
    <row r="52">
      <c r="A52" t="inlineStr">
        <is>
          <t>Row 'Chinchow': Grand Total No. parts sum 25 vs printed 26 — does NOT reconcile (diff -1)</t>
        </is>
      </c>
    </row>
    <row r="53">
      <c r="A53" t="inlineStr">
        <is>
          <t>Grand Total No./Class checked across rows against the sum of all school types</t>
        </is>
      </c>
    </row>
    <row r="54">
      <c r="A54" t="inlineStr">
        <is>
          <t>Table continues on p.660 (IMG_5788 left page, headed '(Continued)') with further columns; merged here as additional columns. Special Sch. Total No. printed '57' (first digit slightly broken; column sums to 57)</t>
        </is>
      </c>
    </row>
    <row r="55">
      <c r="A55" t="inlineStr">
        <is>
          <t>Agriculture Class for Chientao (19) and Tunghua (12): second digit broken/faint in print; read as 19 and 12 (column total reconciles with these readings)</t>
        </is>
      </c>
    </row>
    <row r="56">
      <c r="A56" t="inlineStr">
        <is>
          <t>Heiho Commerce No. clearly printed '7' with Class '—' (re-read under magnification); the Commerce No. total 34 would reconcile if this were 1 (diff 6), and Heiho Grand Total No. 3 likewise implies 7 is spurious — transcribed as printed</t>
        </is>
      </c>
    </row>
    <row r="57">
      <c r="A57" t="inlineStr">
        <is>
          <t>Coordinator re-check: Chientao Agriculture Class second digit is broken type (reads '1?'); left blank. The column total 568 implies 19. Tunghua '12' is legible.</t>
        </is>
      </c>
    </row>
  </sheetData>
  <hyperlinks>
    <hyperlink xmlns:r="http://schemas.openxmlformats.org/officeDocument/2006/relationships" ref="A4" r:id="rId1"/>
  </hyperlink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Normal Schools</t>
        </is>
      </c>
    </row>
    <row r="2">
      <c r="A2" t="inlineStr">
        <is>
          <t>Cultural Activities · printed pp. 661</t>
        </is>
      </c>
    </row>
    <row r="3">
      <c r="A3" t="inlineStr">
        <is>
          <t>(1941)</t>
        </is>
      </c>
    </row>
    <row r="4">
      <c r="A4" s="3" t="inlineStr">
        <is>
          <t>← Contents</t>
        </is>
      </c>
    </row>
    <row r="6">
      <c r="A6" s="5" t="inlineStr">
        <is>
          <t>Institution</t>
        </is>
      </c>
      <c r="B6" s="5" t="inlineStr">
        <is>
          <t>No. of Schools</t>
        </is>
      </c>
      <c r="C6" s="5" t="inlineStr">
        <is>
          <t>Teaching Staff</t>
        </is>
      </c>
      <c r="D6" s="5" t="inlineStr">
        <is>
          <t>Students — Male</t>
        </is>
      </c>
      <c r="E6" s="5" t="inlineStr">
        <is>
          <t>Students — Female</t>
        </is>
      </c>
      <c r="F6" s="5" t="inlineStr">
        <is>
          <t>Students — Total</t>
        </is>
      </c>
    </row>
    <row r="7">
      <c r="A7" t="inlineStr">
        <is>
          <t>Higher Normal School</t>
        </is>
      </c>
      <c r="B7" s="9" t="n">
        <v>1</v>
      </c>
      <c r="C7" s="9" t="n">
        <v>63</v>
      </c>
      <c r="D7" s="9" t="n">
        <v>354</v>
      </c>
      <c r="E7" t="inlineStr">
        <is>
          <t>—</t>
        </is>
      </c>
      <c r="F7" s="9" t="n">
        <v>354</v>
      </c>
    </row>
    <row r="8">
      <c r="A8" t="inlineStr">
        <is>
          <t>" " "</t>
        </is>
      </c>
      <c r="B8" s="9" t="n">
        <v>1</v>
      </c>
      <c r="C8" t="inlineStr">
        <is>
          <t>—</t>
        </is>
      </c>
      <c r="D8" t="inlineStr">
        <is>
          <t>—</t>
        </is>
      </c>
      <c r="E8" s="9" t="n">
        <v>110</v>
      </c>
      <c r="F8" s="9" t="n">
        <v>110</v>
      </c>
    </row>
    <row r="9">
      <c r="A9" t="inlineStr">
        <is>
          <t>Temporary Training Institute</t>
        </is>
      </c>
      <c r="B9" s="9" t="n">
        <v>8</v>
      </c>
      <c r="C9" s="9" t="n">
        <v>26</v>
      </c>
      <c r="D9" s="9" t="n">
        <v>490</v>
      </c>
      <c r="E9" t="inlineStr">
        <is>
          <t>—</t>
        </is>
      </c>
      <c r="F9" s="9" t="n">
        <v>490</v>
      </c>
    </row>
    <row r="10">
      <c r="A10" t="inlineStr">
        <is>
          <t>Normal Schools</t>
        </is>
      </c>
      <c r="B10" s="9" t="n">
        <v>18</v>
      </c>
      <c r="C10" s="9" t="n">
        <v>451</v>
      </c>
      <c r="D10" s="6" t="n">
        <v>6848</v>
      </c>
      <c r="E10" t="inlineStr">
        <is>
          <t>—</t>
        </is>
      </c>
      <c r="F10" s="6" t="n">
        <v>6848</v>
      </c>
    </row>
    <row r="11">
      <c r="A11" t="inlineStr">
        <is>
          <t>Central Training Institute</t>
        </is>
      </c>
      <c r="B11" s="9" t="n">
        <v>1</v>
      </c>
      <c r="C11" s="9" t="n">
        <v>22</v>
      </c>
      <c r="D11" s="9" t="n">
        <v>275</v>
      </c>
      <c r="E11" t="inlineStr">
        <is>
          <t>—</t>
        </is>
      </c>
      <c r="F11" s="9" t="n">
        <v>275</v>
      </c>
    </row>
    <row r="12">
      <c r="A12" t="inlineStr">
        <is>
          <t>Agricultural Training Institute</t>
        </is>
      </c>
      <c r="B12" s="9" t="n">
        <v>1</v>
      </c>
      <c r="C12" s="9" t="n">
        <v>4</v>
      </c>
      <c r="D12" s="9" t="n">
        <v>42</v>
      </c>
      <c r="E12" t="inlineStr">
        <is>
          <t>—</t>
        </is>
      </c>
      <c r="F12" s="9" t="n">
        <v>42</v>
      </c>
    </row>
    <row r="14">
      <c r="A14" s="2" t="inlineStr">
        <is>
          <t>Transcriber's notes</t>
        </is>
      </c>
    </row>
    <row r="15">
      <c r="A15" t="inlineStr">
        <is>
          <t>Students Male + Female = Total for every row — reconciles</t>
        </is>
      </c>
    </row>
    <row r="16">
      <c r="A16" t="inlineStr">
        <is>
          <t>Second row printed with ditto marks (" " ") under 'Higher Normal School'; kept as printed</t>
        </is>
      </c>
    </row>
  </sheetData>
  <hyperlinks>
    <hyperlink xmlns:r="http://schemas.openxmlformats.org/officeDocument/2006/relationships" ref="A4" r:id="rId1"/>
  </hyperlink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8. Yearly Comparison of Higher Educational Organs</t>
        </is>
      </c>
    </row>
    <row r="2">
      <c r="A2" t="inlineStr">
        <is>
          <t>Cultural Activities · printed pp. 664</t>
        </is>
      </c>
    </row>
    <row r="3">
      <c r="A3" s="3" t="inlineStr">
        <is>
          <t>← Contents</t>
        </is>
      </c>
    </row>
    <row r="5">
      <c r="A5" s="5" t="inlineStr">
        <is>
          <t>Year</t>
        </is>
      </c>
      <c r="B5" s="5" t="inlineStr">
        <is>
          <t>No. of Schools</t>
        </is>
      </c>
      <c r="C5" s="5" t="inlineStr">
        <is>
          <t>Teachers — Male</t>
        </is>
      </c>
      <c r="D5" s="5" t="inlineStr">
        <is>
          <t>Teachers — Female</t>
        </is>
      </c>
      <c r="E5" s="5" t="inlineStr">
        <is>
          <t>Teachers — Total</t>
        </is>
      </c>
      <c r="F5" s="5" t="inlineStr">
        <is>
          <t>Students — Male</t>
        </is>
      </c>
      <c r="G5" s="5" t="inlineStr">
        <is>
          <t>Students — Female</t>
        </is>
      </c>
      <c r="H5" s="5" t="inlineStr">
        <is>
          <t>Students — Total</t>
        </is>
      </c>
    </row>
    <row r="6">
      <c r="A6" s="9" t="n">
        <v>1932</v>
      </c>
      <c r="B6" s="9" t="n">
        <v>3</v>
      </c>
      <c r="C6" t="inlineStr">
        <is>
          <t>—</t>
        </is>
      </c>
      <c r="D6" t="inlineStr">
        <is>
          <t>—</t>
        </is>
      </c>
      <c r="E6" s="9" t="n">
        <v>34</v>
      </c>
      <c r="F6" t="inlineStr">
        <is>
          <t>—</t>
        </is>
      </c>
      <c r="G6" t="inlineStr">
        <is>
          <t>—</t>
        </is>
      </c>
      <c r="H6" s="9" t="n">
        <v>171</v>
      </c>
    </row>
    <row r="7">
      <c r="A7" s="9" t="n">
        <v>1933</v>
      </c>
      <c r="B7" s="9" t="n">
        <v>3</v>
      </c>
      <c r="C7" t="inlineStr">
        <is>
          <t>—</t>
        </is>
      </c>
      <c r="D7" t="inlineStr">
        <is>
          <t>—</t>
        </is>
      </c>
      <c r="E7" s="9" t="n">
        <v>35</v>
      </c>
      <c r="F7" t="inlineStr">
        <is>
          <t>—</t>
        </is>
      </c>
      <c r="G7" t="inlineStr">
        <is>
          <t>—</t>
        </is>
      </c>
      <c r="H7" s="9" t="n">
        <v>160</v>
      </c>
    </row>
    <row r="8">
      <c r="A8" s="9" t="n">
        <v>1934</v>
      </c>
      <c r="B8" s="9" t="n">
        <v>5</v>
      </c>
      <c r="C8" t="inlineStr">
        <is>
          <t>—</t>
        </is>
      </c>
      <c r="D8" t="inlineStr">
        <is>
          <t>—</t>
        </is>
      </c>
      <c r="E8" s="9" t="n">
        <v>95</v>
      </c>
      <c r="F8" t="inlineStr">
        <is>
          <t>—</t>
        </is>
      </c>
      <c r="G8" t="inlineStr">
        <is>
          <t>—</t>
        </is>
      </c>
      <c r="H8" s="9" t="n">
        <v>544</v>
      </c>
    </row>
    <row r="9">
      <c r="A9" s="9" t="n">
        <v>1935</v>
      </c>
      <c r="B9" s="9" t="n">
        <v>9</v>
      </c>
      <c r="C9" s="9" t="n">
        <v>235</v>
      </c>
      <c r="D9" s="9" t="n">
        <v>13</v>
      </c>
      <c r="E9" s="9" t="n">
        <v>248</v>
      </c>
      <c r="F9" s="6" t="n">
        <v>1033</v>
      </c>
      <c r="G9" s="9" t="n">
        <v>170</v>
      </c>
      <c r="H9" s="6" t="n">
        <v>1203</v>
      </c>
    </row>
    <row r="10">
      <c r="A10" s="9" t="n">
        <v>1936</v>
      </c>
      <c r="B10" s="9" t="n">
        <v>10</v>
      </c>
      <c r="C10" s="9" t="n">
        <v>239</v>
      </c>
      <c r="D10" s="9" t="n">
        <v>14</v>
      </c>
      <c r="E10" s="9" t="n">
        <v>258</v>
      </c>
      <c r="F10" s="6" t="n">
        <v>1604</v>
      </c>
      <c r="G10" s="9" t="n">
        <v>238</v>
      </c>
      <c r="H10" s="6" t="n">
        <v>1842</v>
      </c>
    </row>
    <row r="11">
      <c r="A11" s="9" t="n">
        <v>1937</v>
      </c>
      <c r="B11" s="9" t="n">
        <v>10</v>
      </c>
      <c r="C11" s="9" t="n">
        <v>250</v>
      </c>
      <c r="D11" s="9" t="n">
        <v>14</v>
      </c>
      <c r="E11" s="9" t="n">
        <v>264</v>
      </c>
      <c r="F11" s="6" t="n">
        <v>2215</v>
      </c>
      <c r="G11" s="9" t="n">
        <v>25</v>
      </c>
      <c r="H11" s="6" t="n">
        <v>2240</v>
      </c>
    </row>
    <row r="12">
      <c r="A12" s="9" t="n">
        <v>1938</v>
      </c>
      <c r="B12" s="9" t="n">
        <v>11</v>
      </c>
      <c r="C12" s="9" t="n">
        <v>370</v>
      </c>
      <c r="D12" s="9" t="n">
        <v>16</v>
      </c>
      <c r="E12" s="9" t="n">
        <v>386</v>
      </c>
      <c r="F12" s="6" t="n">
        <v>2786</v>
      </c>
      <c r="G12" s="9" t="n">
        <v>141</v>
      </c>
      <c r="H12" s="6" t="n">
        <v>2927</v>
      </c>
    </row>
    <row r="13">
      <c r="A13" s="9" t="n">
        <v>1939</v>
      </c>
      <c r="B13" s="9" t="n">
        <v>14</v>
      </c>
      <c r="C13" s="9" t="n">
        <v>558</v>
      </c>
      <c r="D13" s="9" t="n">
        <v>38</v>
      </c>
      <c r="E13" s="9" t="n">
        <v>596</v>
      </c>
      <c r="F13" s="6" t="n">
        <v>3988</v>
      </c>
      <c r="G13" s="9" t="n">
        <v>384</v>
      </c>
      <c r="H13" s="6" t="n">
        <v>4372</v>
      </c>
    </row>
    <row r="14">
      <c r="A14" s="9" t="n">
        <v>1940</v>
      </c>
      <c r="B14" s="9" t="n">
        <v>12</v>
      </c>
      <c r="C14" s="9" t="n">
        <v>479</v>
      </c>
      <c r="D14" s="9" t="n">
        <v>12</v>
      </c>
      <c r="E14" s="9" t="n">
        <v>491</v>
      </c>
      <c r="F14" s="6" t="n">
        <v>4420</v>
      </c>
      <c r="G14" s="9" t="n">
        <v>283</v>
      </c>
      <c r="H14" s="6" t="n">
        <v>4703</v>
      </c>
    </row>
    <row r="16">
      <c r="A16" s="2" t="inlineStr">
        <is>
          <t>Transcriber's notes</t>
        </is>
      </c>
    </row>
    <row r="17">
      <c r="A17" t="inlineStr">
        <is>
          <t>Row '1936': teachers parts sum 253 vs printed 258 — does NOT reconcile (diff -5)</t>
        </is>
      </c>
    </row>
    <row r="18">
      <c r="A18" t="inlineStr">
        <is>
          <t>Male + Female = Total checked for teachers and students 1935-40; only 1936 teachers fails (cells re-read: 239 + 14 vs 258)</t>
        </is>
      </c>
    </row>
    <row r="19">
      <c r="A19" t="inlineStr">
        <is>
          <t>Students Total column runs into the gutter; read from a crop spanning the gutter</t>
        </is>
      </c>
    </row>
  </sheetData>
  <hyperlinks>
    <hyperlink xmlns:r="http://schemas.openxmlformats.org/officeDocument/2006/relationships" ref="A3" r:id="rId1"/>
  </hyperlink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9. Higher Educational Organs</t>
        </is>
      </c>
    </row>
    <row r="2">
      <c r="A2" t="inlineStr">
        <is>
          <t>Cultural Activities · printed pp. 664</t>
        </is>
      </c>
    </row>
    <row r="3">
      <c r="A3" s="3" t="inlineStr">
        <is>
          <t>← Contents</t>
        </is>
      </c>
    </row>
    <row r="5">
      <c r="A5" s="5" t="inlineStr">
        <is>
          <t>Name</t>
        </is>
      </c>
      <c r="B5" s="5" t="inlineStr">
        <is>
          <t>Locality</t>
        </is>
      </c>
      <c r="C5" s="5" t="inlineStr">
        <is>
          <t>Term (years)</t>
        </is>
      </c>
    </row>
    <row r="6">
      <c r="A6" t="inlineStr">
        <is>
          <t>Higher Normal School</t>
        </is>
      </c>
      <c r="B6" t="inlineStr">
        <is>
          <t>Kirin</t>
        </is>
      </c>
      <c r="C6" t="inlineStr">
        <is>
          <t>three</t>
        </is>
      </c>
    </row>
    <row r="7">
      <c r="A7" t="inlineStr">
        <is>
          <t>Higher Normal School (Girls')</t>
        </is>
      </c>
      <c r="B7" t="inlineStr">
        <is>
          <t>Hsinking</t>
        </is>
      </c>
      <c r="C7" t="inlineStr">
        <is>
          <t>three</t>
        </is>
      </c>
    </row>
    <row r="8">
      <c r="A8" t="inlineStr">
        <is>
          <t>Fengtien Agricultural College</t>
        </is>
      </c>
      <c r="B8" t="inlineStr">
        <is>
          <t>Mukden</t>
        </is>
      </c>
      <c r="C8" t="inlineStr">
        <is>
          <t>three</t>
        </is>
      </c>
    </row>
    <row r="9">
      <c r="A9" t="inlineStr">
        <is>
          <t>Hsinking Veterinary College</t>
        </is>
      </c>
      <c r="B9" t="inlineStr">
        <is>
          <t>Hsinking</t>
        </is>
      </c>
      <c r="C9" t="inlineStr">
        <is>
          <t>three</t>
        </is>
      </c>
    </row>
    <row r="10">
      <c r="A10" t="inlineStr">
        <is>
          <t>Harbin Agricultural College</t>
        </is>
      </c>
      <c r="B10" t="inlineStr">
        <is>
          <t>Harbin</t>
        </is>
      </c>
      <c r="C10" t="inlineStr">
        <is>
          <t>three</t>
        </is>
      </c>
    </row>
    <row r="11">
      <c r="A11" t="inlineStr">
        <is>
          <t>Harbin Engineering College</t>
        </is>
      </c>
      <c r="B11" t="inlineStr">
        <is>
          <t>Harbin</t>
        </is>
      </c>
      <c r="C11" t="inlineStr">
        <is>
          <t>four</t>
        </is>
      </c>
    </row>
    <row r="12">
      <c r="A12" t="inlineStr">
        <is>
          <t>Hsinking Engineering College</t>
        </is>
      </c>
      <c r="B12" t="inlineStr">
        <is>
          <t>Hsinking</t>
        </is>
      </c>
      <c r="C12" t="inlineStr">
        <is>
          <t>four</t>
        </is>
      </c>
    </row>
    <row r="13">
      <c r="A13" t="inlineStr">
        <is>
          <t>Fengtien Engineering College</t>
        </is>
      </c>
      <c r="B13" t="inlineStr">
        <is>
          <t>Mukden</t>
        </is>
      </c>
      <c r="C13" t="inlineStr">
        <is>
          <t>four</t>
        </is>
      </c>
    </row>
    <row r="14">
      <c r="A14" t="inlineStr">
        <is>
          <t>Hsinking Medical College</t>
        </is>
      </c>
      <c r="B14" t="inlineStr">
        <is>
          <t>Hsinking</t>
        </is>
      </c>
      <c r="C14" t="inlineStr">
        <is>
          <t>four</t>
        </is>
      </c>
    </row>
    <row r="15">
      <c r="A15" t="inlineStr">
        <is>
          <t>Fengtien Pharmacist Training Institute</t>
        </is>
      </c>
      <c r="B15" t="inlineStr">
        <is>
          <t>Mukden</t>
        </is>
      </c>
      <c r="C15" t="inlineStr">
        <is>
          <t>three</t>
        </is>
      </c>
    </row>
    <row r="16">
      <c r="A16" t="inlineStr">
        <is>
          <t>Harbin Medical College</t>
        </is>
      </c>
      <c r="B16" t="inlineStr">
        <is>
          <t>Harbin</t>
        </is>
      </c>
      <c r="C16" t="inlineStr">
        <is>
          <t>four (medical); three (dental)</t>
        </is>
      </c>
    </row>
    <row r="17">
      <c r="A17" t="inlineStr">
        <is>
          <t>Chiamussu Medical College</t>
        </is>
      </c>
      <c r="B17" t="inlineStr">
        <is>
          <t>Chiamussu</t>
        </is>
      </c>
      <c r="C17" t="inlineStr">
        <is>
          <t>four</t>
        </is>
      </c>
    </row>
    <row r="18">
      <c r="A18" t="inlineStr">
        <is>
          <t>Hsinking Law (Hosei) College</t>
        </is>
      </c>
      <c r="B18" t="inlineStr">
        <is>
          <t>Hsinking</t>
        </is>
      </c>
      <c r="C18" t="inlineStr">
        <is>
          <t>three</t>
        </is>
      </c>
    </row>
    <row r="19">
      <c r="A19" t="inlineStr">
        <is>
          <t>Harbin Academy</t>
        </is>
      </c>
      <c r="B19" t="inlineStr">
        <is>
          <t>Harbin</t>
        </is>
      </c>
      <c r="C19" t="inlineStr">
        <is>
          <t>four</t>
        </is>
      </c>
    </row>
    <row r="20">
      <c r="A20" t="inlineStr">
        <is>
          <t>Harbin Land Development Medical Academy</t>
        </is>
      </c>
      <c r="B20" t="inlineStr">
        <is>
          <t>Harbin</t>
        </is>
      </c>
      <c r="C20" t="inlineStr">
        <is>
          <t>two</t>
        </is>
      </c>
    </row>
    <row r="21">
      <c r="A21" t="inlineStr">
        <is>
          <t>Tsitsihar Land Development Medical Academy</t>
        </is>
      </c>
      <c r="B21" t="inlineStr">
        <is>
          <t>Tsitsihar</t>
        </is>
      </c>
      <c r="C21" t="inlineStr">
        <is>
          <t>two</t>
        </is>
      </c>
    </row>
    <row r="22">
      <c r="A22" t="inlineStr">
        <is>
          <t>Lungtsing Land Development Medical Academy</t>
        </is>
      </c>
      <c r="B22" t="inlineStr">
        <is>
          <t>Lungtsing</t>
        </is>
      </c>
      <c r="C22" t="inlineStr">
        <is>
          <t>two</t>
        </is>
      </c>
    </row>
    <row r="23">
      <c r="A23" t="inlineStr">
        <is>
          <t>North Manchuria Academy</t>
        </is>
      </c>
      <c r="B23" t="inlineStr">
        <is>
          <t>Harbin</t>
        </is>
      </c>
      <c r="C23" t="inlineStr">
        <is>
          <t>three (commerce); four (engineering)</t>
        </is>
      </c>
    </row>
    <row r="24">
      <c r="A24" t="inlineStr">
        <is>
          <t>Chengkin Medical College</t>
        </is>
      </c>
      <c r="B24" t="inlineStr">
        <is>
          <t>Mukden</t>
        </is>
      </c>
      <c r="C24" t="inlineStr">
        <is>
          <t>four</t>
        </is>
      </c>
    </row>
    <row r="25">
      <c r="A25" t="inlineStr">
        <is>
          <t>Fengtien Commercial Academy</t>
        </is>
      </c>
      <c r="B25" t="inlineStr">
        <is>
          <t>Mukden</t>
        </is>
      </c>
      <c r="C25" t="inlineStr">
        <is>
          <t>three</t>
        </is>
      </c>
    </row>
    <row r="27">
      <c r="A27" s="2" t="inlineStr">
        <is>
          <t>Transcriber's notes</t>
        </is>
      </c>
    </row>
    <row r="28">
      <c r="A28" t="inlineStr">
        <is>
          <t>Two-line brace entries (Harbin Medical College, North Manchuria Academy) joined with '; '. Last word 'engineering)' partly lost in gutter; read as 'four (engineering)'</t>
        </is>
      </c>
    </row>
  </sheetData>
  <hyperlinks>
    <hyperlink xmlns:r="http://schemas.openxmlformats.org/officeDocument/2006/relationships" ref="A3" r:id="rId1"/>
  </hyperlink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10. Students Despatched for Further Study by the Manchoukuo Gov't</t>
        </is>
      </c>
    </row>
    <row r="2">
      <c r="A2" t="inlineStr">
        <is>
          <t>Cultural Activities · printed pp. 665</t>
        </is>
      </c>
    </row>
    <row r="3">
      <c r="A3" t="inlineStr">
        <is>
          <t>(Classified by Locality)</t>
        </is>
      </c>
    </row>
    <row r="4">
      <c r="A4" s="3" t="inlineStr">
        <is>
          <t>← Contents</t>
        </is>
      </c>
    </row>
    <row r="6">
      <c r="A6" s="5" t="inlineStr">
        <is>
          <t>Year</t>
        </is>
      </c>
      <c r="B6" s="5" t="inlineStr">
        <is>
          <t>Within Manchoukuo — Male</t>
        </is>
      </c>
      <c r="C6" s="5" t="inlineStr">
        <is>
          <t>Within Manchoukuo — Female</t>
        </is>
      </c>
      <c r="D6" s="5" t="inlineStr">
        <is>
          <t>Kwantung — Male</t>
        </is>
      </c>
      <c r="E6" s="5" t="inlineStr">
        <is>
          <t>Kwantung — Female</t>
        </is>
      </c>
      <c r="F6" s="5" t="inlineStr">
        <is>
          <t>Japan — Male</t>
        </is>
      </c>
      <c r="G6" s="5" t="inlineStr">
        <is>
          <t>Japan — Female</t>
        </is>
      </c>
      <c r="H6" s="5" t="inlineStr">
        <is>
          <t>incl. others</t>
        </is>
      </c>
    </row>
    <row r="7">
      <c r="A7" s="9" t="n">
        <v>1935</v>
      </c>
      <c r="B7" s="9" t="n">
        <v>78</v>
      </c>
      <c r="C7" t="inlineStr">
        <is>
          <t>—</t>
        </is>
      </c>
      <c r="D7" s="9" t="n">
        <v>31</v>
      </c>
      <c r="E7" t="inlineStr">
        <is>
          <t>—</t>
        </is>
      </c>
      <c r="F7" s="6" t="n">
        <v>1083</v>
      </c>
      <c r="G7" s="9" t="n">
        <v>131</v>
      </c>
      <c r="H7" s="6" t="n">
        <v>1324</v>
      </c>
    </row>
    <row r="8">
      <c r="A8" s="9" t="n">
        <v>1936</v>
      </c>
      <c r="B8" s="9" t="n">
        <v>931</v>
      </c>
      <c r="C8" s="9" t="n">
        <v>80</v>
      </c>
      <c r="D8" s="9" t="n">
        <v>31</v>
      </c>
      <c r="E8" t="inlineStr">
        <is>
          <t>—</t>
        </is>
      </c>
      <c r="F8" s="9" t="n">
        <v>955</v>
      </c>
      <c r="G8" s="9" t="n">
        <v>78</v>
      </c>
      <c r="H8" s="6" t="n">
        <v>2130</v>
      </c>
    </row>
    <row r="9">
      <c r="A9" s="9" t="n">
        <v>1937</v>
      </c>
      <c r="B9" s="9" t="n">
        <v>299</v>
      </c>
      <c r="C9" s="9" t="n">
        <v>5</v>
      </c>
      <c r="D9" s="9" t="n">
        <v>73</v>
      </c>
      <c r="E9" t="inlineStr">
        <is>
          <t>—</t>
        </is>
      </c>
      <c r="F9" s="6" t="n">
        <v>1670</v>
      </c>
      <c r="G9" s="9" t="n">
        <v>174</v>
      </c>
      <c r="H9" s="6" t="n">
        <v>2221</v>
      </c>
    </row>
    <row r="10">
      <c r="A10" s="9" t="n">
        <v>1939</v>
      </c>
      <c r="B10" s="9" t="n">
        <v>392</v>
      </c>
      <c r="C10" s="9" t="n">
        <v>6</v>
      </c>
      <c r="D10" s="9" t="n">
        <v>83</v>
      </c>
      <c r="E10" t="inlineStr">
        <is>
          <t>—</t>
        </is>
      </c>
      <c r="F10" s="6" t="n">
        <v>1077</v>
      </c>
      <c r="G10" s="9" t="n">
        <v>127</v>
      </c>
      <c r="H10" s="6" t="n">
        <v>1695</v>
      </c>
    </row>
    <row r="11">
      <c r="A11" s="9" t="n">
        <v>1940</v>
      </c>
      <c r="B11" s="9" t="n">
        <v>392</v>
      </c>
      <c r="C11" t="inlineStr">
        <is>
          <t>—</t>
        </is>
      </c>
      <c r="D11" s="9" t="n">
        <v>84</v>
      </c>
      <c r="E11" t="inlineStr">
        <is>
          <t>—</t>
        </is>
      </c>
      <c r="F11" s="6" t="n">
        <v>1077</v>
      </c>
      <c r="G11" s="9" t="n">
        <v>127</v>
      </c>
      <c r="H11" s="6" t="n">
        <v>1696</v>
      </c>
    </row>
    <row r="13">
      <c r="A13" s="2" t="inlineStr">
        <is>
          <t>Transcriber's notes</t>
        </is>
      </c>
    </row>
    <row r="14">
      <c r="A14" t="inlineStr">
        <is>
          <t>Row 1935: sum of six locality columns 1,323 vs 'incl. others' 1,324</t>
        </is>
      </c>
    </row>
    <row r="15">
      <c r="A15" t="inlineStr">
        <is>
          <t>Row 1936: sum of six locality columns 2,075 vs 'incl. others' 2,130</t>
        </is>
      </c>
    </row>
    <row r="16">
      <c r="A16" t="inlineStr">
        <is>
          <t>Row 1937: sum of six locality columns 2,221 vs 'incl. others' 2,221</t>
        </is>
      </c>
    </row>
    <row r="17">
      <c r="A17" t="inlineStr">
        <is>
          <t>Row 1939: sum of six locality columns 1,685 vs 'incl. others' 1,695</t>
        </is>
      </c>
    </row>
    <row r="18">
      <c r="A18" t="inlineStr">
        <is>
          <t>Row 1940: sum of six locality columns 1,680 vs 'incl. others' 1,696</t>
        </is>
      </c>
    </row>
    <row r="19">
      <c r="A19" t="inlineStr">
        <is>
          <t>Last column headed only 'incl. others' (apparently a total including others); it equals the sum of the listed columns only in 1937 (other years exceed the sum, presumably by 'others'; 1935 exceeds by 1). Year 1938 is not printed (rows jump 1937 to 1939)</t>
        </is>
      </c>
    </row>
  </sheetData>
  <hyperlinks>
    <hyperlink xmlns:r="http://schemas.openxmlformats.org/officeDocument/2006/relationships" ref="A4" r:id="rId1"/>
  </hyperlink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11. Students Studying in Japan Classified</t>
        </is>
      </c>
    </row>
    <row r="2">
      <c r="A2" t="inlineStr">
        <is>
          <t>Cultural Activities · printed pp. 665</t>
        </is>
      </c>
    </row>
    <row r="3">
      <c r="A3" t="inlineStr">
        <is>
          <t>(As in August, 1939)</t>
        </is>
      </c>
    </row>
    <row r="4">
      <c r="A4" s="3" t="inlineStr">
        <is>
          <t>← Contents</t>
        </is>
      </c>
    </row>
    <row r="6">
      <c r="A6" s="5" t="inlineStr">
        <is>
          <t>Course</t>
        </is>
      </c>
      <c r="B6" s="5" t="inlineStr">
        <is>
          <t>Universities &amp; Colleges</t>
        </is>
      </c>
      <c r="C6" s="5" t="inlineStr">
        <is>
          <t>Technical Schools</t>
        </is>
      </c>
      <c r="D6" s="5" t="inlineStr">
        <is>
          <t>Higher &amp; Preparatory Schools</t>
        </is>
      </c>
      <c r="E6" s="5" t="inlineStr">
        <is>
          <t>Middle Schools</t>
        </is>
      </c>
      <c r="F6" s="5" t="inlineStr">
        <is>
          <t>Total</t>
        </is>
      </c>
    </row>
    <row r="7">
      <c r="A7" t="inlineStr">
        <is>
          <t>Medical</t>
        </is>
      </c>
      <c r="B7" s="9" t="n">
        <v>56</v>
      </c>
      <c r="C7" s="9" t="n">
        <v>347</v>
      </c>
      <c r="D7" s="9" t="n">
        <v>111</v>
      </c>
      <c r="E7" t="inlineStr">
        <is>
          <t>—</t>
        </is>
      </c>
      <c r="F7" s="9" t="n">
        <v>514</v>
      </c>
    </row>
    <row r="8">
      <c r="A8" t="inlineStr">
        <is>
          <t>Engineering</t>
        </is>
      </c>
      <c r="B8" s="9" t="n">
        <v>55</v>
      </c>
      <c r="C8" s="9" t="n">
        <v>49</v>
      </c>
      <c r="D8" s="9" t="n">
        <v>86</v>
      </c>
      <c r="E8" s="9" t="n">
        <v>55</v>
      </c>
      <c r="F8" s="9" t="n">
        <v>245</v>
      </c>
    </row>
    <row r="9">
      <c r="A9" t="inlineStr">
        <is>
          <t>Science</t>
        </is>
      </c>
      <c r="B9" s="9" t="n">
        <v>5</v>
      </c>
      <c r="C9" t="inlineStr">
        <is>
          <t>—</t>
        </is>
      </c>
      <c r="D9" s="9" t="n">
        <v>1</v>
      </c>
      <c r="E9" t="inlineStr">
        <is>
          <t>—</t>
        </is>
      </c>
      <c r="F9" s="9" t="n">
        <v>6</v>
      </c>
    </row>
    <row r="10">
      <c r="A10" t="inlineStr">
        <is>
          <t>Agricultural</t>
        </is>
      </c>
      <c r="B10" s="9" t="n">
        <v>19</v>
      </c>
      <c r="C10" s="9" t="n">
        <v>49</v>
      </c>
      <c r="D10" s="9" t="n">
        <v>3</v>
      </c>
      <c r="E10" s="9" t="n">
        <v>6</v>
      </c>
      <c r="F10" s="9" t="n">
        <v>77</v>
      </c>
    </row>
    <row r="11">
      <c r="A11" t="inlineStr">
        <is>
          <t>Law</t>
        </is>
      </c>
      <c r="B11" s="9" t="n">
        <v>64</v>
      </c>
      <c r="C11" s="9" t="n">
        <v>122</v>
      </c>
      <c r="D11" t="inlineStr">
        <is>
          <t>—</t>
        </is>
      </c>
      <c r="E11" t="inlineStr">
        <is>
          <t>—</t>
        </is>
      </c>
      <c r="F11" s="9" t="n">
        <v>186</v>
      </c>
    </row>
    <row r="12">
      <c r="A12" t="inlineStr">
        <is>
          <t>Literature</t>
        </is>
      </c>
      <c r="B12" s="9" t="n">
        <v>33</v>
      </c>
      <c r="C12" s="9" t="n">
        <v>31</v>
      </c>
      <c r="D12" s="9" t="n">
        <v>5</v>
      </c>
      <c r="E12" s="9" t="n">
        <v>63</v>
      </c>
      <c r="F12" s="9" t="n">
        <v>132</v>
      </c>
    </row>
    <row r="13">
      <c r="A13" t="inlineStr">
        <is>
          <t>Commercial</t>
        </is>
      </c>
      <c r="B13" s="9" t="n">
        <v>58</v>
      </c>
      <c r="C13" s="9" t="n">
        <v>238</v>
      </c>
      <c r="D13" s="9" t="n">
        <v>13</v>
      </c>
      <c r="E13" s="9" t="n">
        <v>9</v>
      </c>
      <c r="F13" s="9" t="n">
        <v>318</v>
      </c>
    </row>
    <row r="14">
      <c r="A14" t="inlineStr">
        <is>
          <t>Literature &amp; Science</t>
        </is>
      </c>
      <c r="B14" t="inlineStr">
        <is>
          <t>—</t>
        </is>
      </c>
      <c r="C14" t="inlineStr">
        <is>
          <t>—</t>
        </is>
      </c>
      <c r="D14" s="9" t="n">
        <v>69</v>
      </c>
      <c r="E14" t="inlineStr">
        <is>
          <t>—</t>
        </is>
      </c>
      <c r="F14" s="9" t="n">
        <v>69</v>
      </c>
    </row>
    <row r="15">
      <c r="A15" t="inlineStr">
        <is>
          <t>Normal</t>
        </is>
      </c>
      <c r="B15" t="inlineStr">
        <is>
          <t>—</t>
        </is>
      </c>
      <c r="C15" s="9" t="n">
        <v>103</v>
      </c>
      <c r="D15" t="inlineStr">
        <is>
          <t>—</t>
        </is>
      </c>
      <c r="E15" s="9" t="n">
        <v>18</v>
      </c>
      <c r="F15" s="9" t="n">
        <v>121</v>
      </c>
    </row>
    <row r="16">
      <c r="A16" t="inlineStr">
        <is>
          <t>Others</t>
        </is>
      </c>
      <c r="B16" t="inlineStr">
        <is>
          <t>—</t>
        </is>
      </c>
      <c r="C16" s="9" t="n">
        <v>28</v>
      </c>
      <c r="D16" t="inlineStr">
        <is>
          <t>—</t>
        </is>
      </c>
      <c r="E16" t="inlineStr">
        <is>
          <t>—</t>
        </is>
      </c>
      <c r="F16" s="9" t="n">
        <v>28</v>
      </c>
    </row>
    <row r="17">
      <c r="A17" t="inlineStr">
        <is>
          <t>Total</t>
        </is>
      </c>
      <c r="B17" s="9" t="n">
        <v>290</v>
      </c>
      <c r="C17" s="9" t="n">
        <v>967</v>
      </c>
      <c r="D17" s="9" t="n">
        <v>288</v>
      </c>
      <c r="E17" s="9" t="n">
        <v>151</v>
      </c>
      <c r="F17" s="10" t="n">
        <v>1.696</v>
      </c>
    </row>
    <row r="19">
      <c r="A19" s="2" t="inlineStr">
        <is>
          <t>Transcriber's notes</t>
        </is>
      </c>
    </row>
    <row r="20">
      <c r="A20" t="inlineStr">
        <is>
          <t>Total col 'Universities &amp; Colleges': printed 290, parts sum 290 — reconciles</t>
        </is>
      </c>
    </row>
    <row r="21">
      <c r="A21" t="inlineStr">
        <is>
          <t>Total col 'Technical Schools': printed 967, parts sum 967 — reconciles</t>
        </is>
      </c>
    </row>
    <row r="22">
      <c r="A22" t="inlineStr">
        <is>
          <t>Total col 'Higher &amp; Preparatory Schools': printed 288, parts sum 288 — reconciles</t>
        </is>
      </c>
    </row>
    <row r="23">
      <c r="A23" t="inlineStr">
        <is>
          <t>Total col 'Middle Schools': printed 151, parts sum 151 — reconciles</t>
        </is>
      </c>
    </row>
    <row r="24">
      <c r="A24" t="inlineStr">
        <is>
          <t>Total col 'Total' printed 1.696: column parts sum 1,696 and row parts sum 1,696 — reconciles (reading the period as a comma)</t>
        </is>
      </c>
    </row>
    <row r="25">
      <c r="A25" t="inlineStr">
        <is>
          <t>All row totals Medical..Others reconcile</t>
        </is>
      </c>
    </row>
    <row r="26">
      <c r="A26" t="inlineStr">
        <is>
          <t>Grand total printed '1.696' (period, presumably for comma) — kept as printed</t>
        </is>
      </c>
    </row>
  </sheetData>
  <hyperlinks>
    <hyperlink xmlns:r="http://schemas.openxmlformats.org/officeDocument/2006/relationships" ref="A4" r:id="rId1"/>
  </hyperlink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12. Statistics of Religious Parties</t>
        </is>
      </c>
    </row>
    <row r="2">
      <c r="A2" t="inlineStr">
        <is>
          <t>Cultural Activities · printed pp. 666</t>
        </is>
      </c>
    </row>
    <row r="3">
      <c r="A3" t="inlineStr">
        <is>
          <t>(End of 1938)</t>
        </is>
      </c>
    </row>
    <row r="4">
      <c r="A4" s="3" t="inlineStr">
        <is>
          <t>← Contents</t>
        </is>
      </c>
    </row>
    <row r="6">
      <c r="A6" s="5" t="inlineStr">
        <is>
          <t>Religion</t>
        </is>
      </c>
      <c r="B6" s="5" t="inlineStr">
        <is>
          <t>No. of Temples, Shrines, Churches</t>
        </is>
      </c>
      <c r="C6" s="5" t="inlineStr">
        <is>
          <t>No. of Preachers, Priests</t>
        </is>
      </c>
      <c r="D6" s="5" t="inlineStr">
        <is>
          <t>Followers (1,000) — Male</t>
        </is>
      </c>
      <c r="E6" s="5" t="inlineStr">
        <is>
          <t>Followers (1,000) — Female</t>
        </is>
      </c>
      <c r="F6" s="5" t="inlineStr">
        <is>
          <t>Followers (1,000) — Total</t>
        </is>
      </c>
    </row>
    <row r="7">
      <c r="A7" t="inlineStr">
        <is>
          <t>Buddhism</t>
        </is>
      </c>
      <c r="B7" s="6" t="n">
        <v>1648</v>
      </c>
      <c r="C7" s="6" t="n">
        <v>3935</v>
      </c>
      <c r="D7" s="8" t="n">
        <v>895</v>
      </c>
      <c r="E7" s="8" t="n">
        <v>873.2</v>
      </c>
      <c r="F7" s="7" t="n">
        <v>1768.3</v>
      </c>
    </row>
    <row r="8">
      <c r="A8" t="inlineStr">
        <is>
          <t>Taoism</t>
        </is>
      </c>
      <c r="B8" s="6" t="n">
        <v>2000</v>
      </c>
      <c r="C8" s="6" t="n">
        <v>4127</v>
      </c>
      <c r="D8" s="8" t="n">
        <v>568.6</v>
      </c>
      <c r="E8" s="8" t="n">
        <v>370.6</v>
      </c>
      <c r="F8" s="8" t="n">
        <v>939.3</v>
      </c>
    </row>
    <row r="9">
      <c r="A9" t="inlineStr">
        <is>
          <t>Lamaism</t>
        </is>
      </c>
      <c r="B9" s="9" t="n">
        <v>995</v>
      </c>
      <c r="C9" s="6" t="n">
        <v>27841</v>
      </c>
      <c r="D9" s="8" t="n">
        <v>474.4</v>
      </c>
      <c r="E9" s="8" t="n">
        <v>358.3</v>
      </c>
      <c r="F9" s="8" t="n">
        <v>832.7</v>
      </c>
    </row>
    <row r="10">
      <c r="A10" t="inlineStr">
        <is>
          <t>Mohammedanism</t>
        </is>
      </c>
      <c r="B10" s="9" t="n">
        <v>233</v>
      </c>
      <c r="C10" s="9" t="n">
        <v>500</v>
      </c>
      <c r="D10" s="8" t="n">
        <v>96.09999999999999</v>
      </c>
      <c r="E10" s="8" t="n">
        <v>66.5</v>
      </c>
      <c r="F10" s="8" t="n">
        <v>162.6</v>
      </c>
    </row>
    <row r="11">
      <c r="A11" t="inlineStr">
        <is>
          <t>Roman Catholic</t>
        </is>
      </c>
      <c r="B11" s="9" t="n">
        <v>379</v>
      </c>
      <c r="C11" s="6" t="n">
        <v>1193</v>
      </c>
      <c r="D11" s="8" t="n">
        <v>68.2</v>
      </c>
      <c r="E11" s="8" t="n">
        <v>59.6</v>
      </c>
      <c r="F11" s="8" t="n">
        <v>127.7</v>
      </c>
    </row>
    <row r="12">
      <c r="A12" t="inlineStr">
        <is>
          <t>Other Christian Sects</t>
        </is>
      </c>
      <c r="B12" s="9" t="n">
        <v>717</v>
      </c>
      <c r="C12" s="6" t="n">
        <v>1313</v>
      </c>
      <c r="D12" s="8" t="n">
        <v>70.2</v>
      </c>
      <c r="E12" s="8" t="n">
        <v>52</v>
      </c>
      <c r="F12" s="8" t="n">
        <v>122.2</v>
      </c>
    </row>
    <row r="13">
      <c r="A13" t="inlineStr">
        <is>
          <t>Other Sects</t>
        </is>
      </c>
      <c r="B13" s="9" t="n">
        <v>65</v>
      </c>
      <c r="C13" s="9" t="n">
        <v>134</v>
      </c>
      <c r="D13" s="8" t="n">
        <v>42.9</v>
      </c>
      <c r="E13" s="8" t="n">
        <v>31.3</v>
      </c>
      <c r="F13" s="8" t="n">
        <v>74.3</v>
      </c>
    </row>
    <row r="15">
      <c r="A15" s="2" t="inlineStr">
        <is>
          <t>Transcriber's notes</t>
        </is>
      </c>
    </row>
    <row r="16">
      <c r="A16" t="inlineStr">
        <is>
          <t>Row 'Buddhism': followers parts sum 1,768.2 vs printed 1,768.3 — does NOT reconcile (diff -0.1)</t>
        </is>
      </c>
    </row>
    <row r="17">
      <c r="A17" t="inlineStr">
        <is>
          <t>Row 'Taoism': followers parts sum 939.2 vs printed 939.3 — does NOT reconcile (diff -0.1)</t>
        </is>
      </c>
    </row>
    <row r="18">
      <c r="A18" t="inlineStr">
        <is>
          <t>Row 'Roman Catholic': followers parts sum 127.8 vs printed 127.7 — does NOT reconcile (diff +0.1)</t>
        </is>
      </c>
    </row>
    <row r="19">
      <c r="A19" t="inlineStr">
        <is>
          <t>Row 'Other Sects': followers parts sum 74.2 vs printed 74.3 — does NOT reconcile (diff -0.1)</t>
        </is>
      </c>
    </row>
    <row r="20">
      <c r="A20" t="inlineStr">
        <is>
          <t>Male + Female = Total checked per row; differences of 0.1 are presumably rounding</t>
        </is>
      </c>
    </row>
  </sheetData>
  <hyperlinks>
    <hyperlink xmlns:r="http://schemas.openxmlformats.org/officeDocument/2006/relationships" ref="A4" r:id="rId1"/>
  </hyperlink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13. Motion Picture Films Censored</t>
        </is>
      </c>
    </row>
    <row r="2">
      <c r="A2" t="inlineStr">
        <is>
          <t>Cultural Activities · printed pp. 677</t>
        </is>
      </c>
    </row>
    <row r="3">
      <c r="A3" t="inlineStr">
        <is>
          <t>(1938)</t>
        </is>
      </c>
    </row>
    <row r="4">
      <c r="A4" s="3" t="inlineStr">
        <is>
          <t>← Contents</t>
        </is>
      </c>
    </row>
    <row r="6">
      <c r="A6" s="2" t="inlineStr">
        <is>
          <t>(A) Censored</t>
        </is>
      </c>
    </row>
    <row r="7">
      <c r="A7" s="5" t="inlineStr">
        <is>
          <t>Country of Origin</t>
        </is>
      </c>
      <c r="B7" s="5" t="inlineStr">
        <is>
          <t>Films Censored</t>
        </is>
      </c>
      <c r="C7" s="5" t="inlineStr">
        <is>
          <t>No. of Reels</t>
        </is>
      </c>
      <c r="D7" s="5" t="inlineStr">
        <is>
          <t>Length (meters)</t>
        </is>
      </c>
      <c r="E7" s="5" t="inlineStr">
        <is>
          <t>Censor Fee (M¥)</t>
        </is>
      </c>
      <c r="F7" s="5" t="inlineStr">
        <is>
          <t>Scenes Prohibited — No.</t>
        </is>
      </c>
      <c r="G7" s="5" t="inlineStr">
        <is>
          <t>Scenes Prohibited — Length (meters)</t>
        </is>
      </c>
    </row>
    <row r="8">
      <c r="A8" t="inlineStr">
        <is>
          <t>Domestic</t>
        </is>
      </c>
      <c r="B8" s="9" t="n">
        <v>227</v>
      </c>
      <c r="C8" s="9" t="n">
        <v>486</v>
      </c>
      <c r="D8" s="6" t="n">
        <v>117204</v>
      </c>
      <c r="E8" s="6" t="n">
        <v>1258</v>
      </c>
      <c r="F8" s="9" t="n">
        <v>3</v>
      </c>
      <c r="G8" s="9" t="n">
        <v>9</v>
      </c>
    </row>
    <row r="9">
      <c r="A9" t="inlineStr">
        <is>
          <t>Japan</t>
        </is>
      </c>
      <c r="B9" s="6" t="n">
        <v>1352</v>
      </c>
      <c r="C9" s="6" t="n">
        <v>5714</v>
      </c>
      <c r="D9" s="6" t="n">
        <v>1345293</v>
      </c>
      <c r="E9" s="6" t="n">
        <v>18994</v>
      </c>
      <c r="F9" s="9" t="n">
        <v>50</v>
      </c>
      <c r="G9" s="9" t="n">
        <v>835</v>
      </c>
    </row>
    <row r="10">
      <c r="A10" t="inlineStr">
        <is>
          <t>China</t>
        </is>
      </c>
      <c r="B10" s="9" t="n">
        <v>249</v>
      </c>
      <c r="C10" s="6" t="n">
        <v>2148</v>
      </c>
      <c r="D10" s="6" t="n">
        <v>459357</v>
      </c>
      <c r="E10" s="6" t="n">
        <v>4125</v>
      </c>
      <c r="F10" s="9" t="n">
        <v>139</v>
      </c>
      <c r="G10" s="6" t="n">
        <v>2368</v>
      </c>
    </row>
    <row r="11">
      <c r="A11" t="inlineStr">
        <is>
          <t>Germany</t>
        </is>
      </c>
      <c r="B11" s="9" t="n">
        <v>45</v>
      </c>
      <c r="C11" s="9" t="n">
        <v>276</v>
      </c>
      <c r="D11" s="6" t="n">
        <v>70963</v>
      </c>
      <c r="E11" s="6" t="n">
        <v>1004</v>
      </c>
      <c r="F11" s="9" t="n">
        <v>14</v>
      </c>
      <c r="G11" s="9" t="n">
        <v>114</v>
      </c>
    </row>
    <row r="12">
      <c r="A12" t="inlineStr">
        <is>
          <t>Italy</t>
        </is>
      </c>
      <c r="B12" s="9" t="n">
        <v>11</v>
      </c>
      <c r="C12" s="9" t="n">
        <v>45</v>
      </c>
      <c r="D12" s="6" t="n">
        <v>10448</v>
      </c>
      <c r="E12" s="9" t="n">
        <v>157</v>
      </c>
      <c r="F12" t="inlineStr">
        <is>
          <t>—</t>
        </is>
      </c>
      <c r="G12" t="inlineStr">
        <is>
          <t>—</t>
        </is>
      </c>
    </row>
    <row r="13">
      <c r="A13" t="inlineStr">
        <is>
          <t>France</t>
        </is>
      </c>
      <c r="B13" s="9" t="n">
        <v>19</v>
      </c>
      <c r="C13" s="9" t="n">
        <v>168</v>
      </c>
      <c r="D13" t="inlineStr"/>
      <c r="E13" s="9" t="n">
        <v>642</v>
      </c>
      <c r="F13" s="9" t="n">
        <v>7</v>
      </c>
      <c r="G13" s="9" t="n">
        <v>196</v>
      </c>
    </row>
    <row r="14">
      <c r="A14" t="inlineStr">
        <is>
          <t>U.S.A.</t>
        </is>
      </c>
      <c r="B14" s="9" t="n">
        <v>94</v>
      </c>
      <c r="C14" s="9" t="n">
        <v>296</v>
      </c>
      <c r="D14" s="6" t="n">
        <v>67123</v>
      </c>
      <c r="E14" s="9" t="n">
        <v>988</v>
      </c>
      <c r="F14" s="9" t="n">
        <v>1</v>
      </c>
      <c r="G14" s="9" t="n">
        <v>3</v>
      </c>
    </row>
    <row r="15">
      <c r="A15" t="inlineStr">
        <is>
          <t>Britain</t>
        </is>
      </c>
      <c r="B15" s="9" t="n">
        <v>12</v>
      </c>
      <c r="C15" s="9" t="n">
        <v>106</v>
      </c>
      <c r="D15" s="6" t="n">
        <v>25662</v>
      </c>
      <c r="E15" s="9" t="n">
        <v>378</v>
      </c>
      <c r="F15" s="9" t="n">
        <v>4</v>
      </c>
      <c r="G15" s="9" t="n">
        <v>15</v>
      </c>
    </row>
    <row r="16">
      <c r="A16" t="inlineStr">
        <is>
          <t>Others</t>
        </is>
      </c>
      <c r="B16" s="9" t="n">
        <v>5</v>
      </c>
      <c r="C16" s="9" t="n">
        <v>27</v>
      </c>
      <c r="D16" s="6" t="n">
        <v>6850</v>
      </c>
      <c r="E16" s="9" t="n">
        <v>103</v>
      </c>
      <c r="F16" t="inlineStr">
        <is>
          <t>—</t>
        </is>
      </c>
      <c r="G16" t="inlineStr">
        <is>
          <t>—</t>
        </is>
      </c>
    </row>
    <row r="17">
      <c r="A17" t="inlineStr">
        <is>
          <t>Total</t>
        </is>
      </c>
      <c r="B17" s="6" t="n">
        <v>2014</v>
      </c>
      <c r="C17" s="6" t="n">
        <v>9266</v>
      </c>
      <c r="D17" s="6" t="n">
        <v>2145715</v>
      </c>
      <c r="E17" s="6" t="n">
        <v>27650</v>
      </c>
      <c r="F17" s="9" t="n">
        <v>218</v>
      </c>
      <c r="G17" s="6" t="n">
        <v>3451</v>
      </c>
    </row>
    <row r="19">
      <c r="A19" s="2" t="inlineStr">
        <is>
          <t>(B) Classified by Kinds (No.)</t>
        </is>
      </c>
    </row>
    <row r="20">
      <c r="A20" s="5" t="inlineStr">
        <is>
          <t>Country of Origin</t>
        </is>
      </c>
      <c r="B20" s="5" t="inlineStr">
        <is>
          <t>Amusement</t>
        </is>
      </c>
      <c r="C20" s="5" t="inlineStr">
        <is>
          <t>Publicity</t>
        </is>
      </c>
      <c r="D20" s="5" t="inlineStr">
        <is>
          <t>Educational</t>
        </is>
      </c>
      <c r="E20" s="5" t="inlineStr">
        <is>
          <t>News</t>
        </is>
      </c>
      <c r="F20" s="5" t="inlineStr">
        <is>
          <t>Total incl. Others</t>
        </is>
      </c>
      <c r="G20" s="5" t="n"/>
    </row>
    <row r="21">
      <c r="A21" t="inlineStr">
        <is>
          <t>Domestic</t>
        </is>
      </c>
      <c r="B21" s="9" t="n">
        <v>12</v>
      </c>
      <c r="C21" s="9" t="n">
        <v>7</v>
      </c>
      <c r="D21" t="inlineStr">
        <is>
          <t>—</t>
        </is>
      </c>
      <c r="E21" s="9" t="n">
        <v>124</v>
      </c>
      <c r="F21" s="9" t="n">
        <v>277</v>
      </c>
    </row>
    <row r="22">
      <c r="A22" t="inlineStr">
        <is>
          <t>Japan</t>
        </is>
      </c>
      <c r="B22" s="9" t="n">
        <v>859</v>
      </c>
      <c r="C22" s="9" t="n">
        <v>52</v>
      </c>
      <c r="D22" s="9" t="n">
        <v>3</v>
      </c>
      <c r="E22" s="9" t="n">
        <v>460</v>
      </c>
      <c r="F22" s="6" t="n">
        <v>1302</v>
      </c>
    </row>
    <row r="23">
      <c r="A23" t="inlineStr">
        <is>
          <t>China</t>
        </is>
      </c>
      <c r="B23" s="9" t="n">
        <v>239</v>
      </c>
      <c r="C23" t="inlineStr">
        <is>
          <t>—</t>
        </is>
      </c>
      <c r="D23" t="inlineStr">
        <is>
          <t>—</t>
        </is>
      </c>
      <c r="E23" t="inlineStr">
        <is>
          <t>—</t>
        </is>
      </c>
      <c r="F23" s="9" t="n">
        <v>249</v>
      </c>
    </row>
    <row r="24">
      <c r="A24" t="inlineStr">
        <is>
          <t>Germany</t>
        </is>
      </c>
      <c r="B24" s="9" t="n">
        <v>27</v>
      </c>
      <c r="C24" t="inlineStr">
        <is>
          <t>—</t>
        </is>
      </c>
      <c r="D24" t="inlineStr">
        <is>
          <t>—</t>
        </is>
      </c>
      <c r="E24" s="9" t="n">
        <v>1</v>
      </c>
      <c r="F24" s="9" t="n">
        <v>45</v>
      </c>
    </row>
    <row r="25">
      <c r="A25" t="inlineStr">
        <is>
          <t>Italy</t>
        </is>
      </c>
      <c r="B25" s="9" t="n">
        <v>3</v>
      </c>
      <c r="C25" s="9" t="n">
        <v>1</v>
      </c>
      <c r="D25" t="inlineStr">
        <is>
          <t>—</t>
        </is>
      </c>
      <c r="E25" s="9" t="n">
        <v>3</v>
      </c>
      <c r="F25" s="9" t="n">
        <v>11</v>
      </c>
    </row>
    <row r="26">
      <c r="A26" t="inlineStr">
        <is>
          <t>France</t>
        </is>
      </c>
      <c r="B26" s="9" t="n">
        <v>19</v>
      </c>
      <c r="C26" t="inlineStr">
        <is>
          <t>—</t>
        </is>
      </c>
      <c r="D26" t="inlineStr">
        <is>
          <t>—</t>
        </is>
      </c>
      <c r="E26" t="inlineStr">
        <is>
          <t>—</t>
        </is>
      </c>
      <c r="F26" s="9" t="n">
        <v>19</v>
      </c>
    </row>
    <row r="27">
      <c r="A27" t="inlineStr">
        <is>
          <t>U.S.A.</t>
        </is>
      </c>
      <c r="B27" s="9" t="n">
        <v>30</v>
      </c>
      <c r="C27" s="9" t="n">
        <v>1</v>
      </c>
      <c r="D27" t="inlineStr">
        <is>
          <t>—</t>
        </is>
      </c>
      <c r="E27" s="9" t="n">
        <v>38</v>
      </c>
      <c r="F27" s="9" t="n">
        <v>94</v>
      </c>
    </row>
    <row r="28">
      <c r="A28" t="inlineStr">
        <is>
          <t>Britain</t>
        </is>
      </c>
      <c r="B28" s="9" t="n">
        <v>12</v>
      </c>
      <c r="C28" t="inlineStr">
        <is>
          <t>—</t>
        </is>
      </c>
      <c r="D28" t="inlineStr">
        <is>
          <t>—</t>
        </is>
      </c>
      <c r="E28" t="inlineStr">
        <is>
          <t>—</t>
        </is>
      </c>
      <c r="F28" s="9" t="n">
        <v>12</v>
      </c>
    </row>
    <row r="29">
      <c r="A29" t="inlineStr">
        <is>
          <t>Others</t>
        </is>
      </c>
      <c r="B29" s="9" t="n">
        <v>3</v>
      </c>
      <c r="C29" t="inlineStr">
        <is>
          <t>—</t>
        </is>
      </c>
      <c r="D29" t="inlineStr">
        <is>
          <t>—</t>
        </is>
      </c>
      <c r="E29" t="inlineStr">
        <is>
          <t>—</t>
        </is>
      </c>
      <c r="F29" s="9" t="n">
        <v>3</v>
      </c>
    </row>
    <row r="30">
      <c r="A30" t="inlineStr">
        <is>
          <t>Total</t>
        </is>
      </c>
      <c r="B30" s="9" t="n">
        <v>934</v>
      </c>
      <c r="C30" s="9" t="n">
        <v>61</v>
      </c>
      <c r="D30" s="9" t="n">
        <v>3</v>
      </c>
      <c r="E30" s="9" t="n">
        <v>626</v>
      </c>
      <c r="F30" s="6" t="n">
        <v>2014</v>
      </c>
    </row>
    <row r="32">
      <c r="A32" s="2" t="inlineStr">
        <is>
          <t>Transcriber's notes</t>
        </is>
      </c>
    </row>
    <row r="33">
      <c r="A33" t="inlineStr">
        <is>
          <t>(A) Total col 'Films Censored': printed 2,014, parts sum 2,014 — reconciles</t>
        </is>
      </c>
    </row>
    <row r="34">
      <c r="A34" t="inlineStr">
        <is>
          <t>(A) Total col 'No. of Reels': printed 9,266, parts sum 9,266 — reconciles</t>
        </is>
      </c>
    </row>
    <row r="35">
      <c r="A35" t="inlineStr">
        <is>
          <t>(A) Total col 'Length (meters)': printed 2,145,715, parts sum 2,145,715 — reconciles</t>
        </is>
      </c>
    </row>
    <row r="36">
      <c r="A36" t="inlineStr">
        <is>
          <t>(A) Total col 'Censor Fee (M¥)': printed 27,650, parts sum 27,649 — does NOT reconcile (diff -1)</t>
        </is>
      </c>
    </row>
    <row r="37">
      <c r="A37" t="inlineStr">
        <is>
          <t>(A) Total col 'Scenes Prohibited — No.': printed 218, parts sum 218 — reconciles</t>
        </is>
      </c>
    </row>
    <row r="38">
      <c r="A38" t="inlineStr">
        <is>
          <t>(A) Total col 'Scenes Prohibited — Length (meters)': printed 3,451, parts sum 3,540 — does NOT reconcile (diff +89)</t>
        </is>
      </c>
    </row>
    <row r="39">
      <c r="A39" t="inlineStr">
        <is>
          <t>(B) Total col 'Amusement': printed 934, parts sum 1,204 — does NOT reconcile (diff +270)</t>
        </is>
      </c>
    </row>
    <row r="40">
      <c r="A40" t="inlineStr">
        <is>
          <t>(B) Total col 'Publicity': printed 61, parts sum 61 — reconciles</t>
        </is>
      </c>
    </row>
    <row r="41">
      <c r="A41" t="inlineStr">
        <is>
          <t>(B) Total col 'Educational': printed 3, parts sum 3 — reconciles</t>
        </is>
      </c>
    </row>
    <row r="42">
      <c r="A42" t="inlineStr">
        <is>
          <t>(B) Total col 'News': printed 626, parts sum 626 — reconciles</t>
        </is>
      </c>
    </row>
    <row r="43">
      <c r="A43" t="inlineStr">
        <is>
          <t>(B) Total col 'Total incl. Others': printed 2,014, parts sum 2,012 — does NOT reconcile (diff -2)</t>
        </is>
      </c>
    </row>
    <row r="44">
      <c r="A44" t="inlineStr">
        <is>
          <t>(A) France Length: first digit damaged in print; the glyph shows a crossbar and reads as 4 (42,815); with this reading the column reconciles (reading it as 1 would leave the total 30,000 short)</t>
        </is>
      </c>
    </row>
    <row r="45">
      <c r="A45" t="inlineStr">
        <is>
          <t>(A) Censor Fee total 27,650 vs parts 27,649 and Scenes Prohibited Length total 3,451 vs parts 3,540: cells re-read under magnification, figures as printed</t>
        </is>
      </c>
    </row>
    <row r="46">
      <c r="A46" t="inlineStr">
        <is>
          <t>(B) Amusement total printed 934 but parts sum 1,204 (diff 270); cells re-read. (B) row figures differ from (A) Films Censored for Domestic (277 vs 227), Japan (1,302 vs 1,352) and Others (3 vs 5)</t>
        </is>
      </c>
    </row>
    <row r="47">
      <c r="A47" t="inlineStr">
        <is>
          <t>(B) 'Total incl. Others' exceeds the sum of the four kinds in several rows (by unlisted 'others'), so no row reconciliation; (B) Total incl. Others 2,014 equals (A) Films Censored total 2,014</t>
        </is>
      </c>
    </row>
    <row r="48">
      <c r="A48" t="inlineStr">
        <is>
          <t>Coordinator: France film-length cell left blank. The first digit is damaged and reads as 4 or 1; 42,815 would make the column total reconcile, 12,815 would leave it 30,000 short. Not filled from the total, by rule.</t>
        </is>
      </c>
    </row>
  </sheetData>
  <hyperlinks>
    <hyperlink xmlns:r="http://schemas.openxmlformats.org/officeDocument/2006/relationships" ref="A4" r:id="rId1"/>
  </hyperlink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14. Number of Publications</t>
        </is>
      </c>
    </row>
    <row r="2">
      <c r="A2" t="inlineStr">
        <is>
          <t>Cultural Activities · printed pp. 678</t>
        </is>
      </c>
    </row>
    <row r="3">
      <c r="A3" s="3" t="inlineStr">
        <is>
          <t>← Contents</t>
        </is>
      </c>
    </row>
    <row r="5">
      <c r="A5" s="5" t="inlineStr">
        <is>
          <t>Year</t>
        </is>
      </c>
      <c r="B5" s="5" t="inlineStr">
        <is>
          <t>Private</t>
        </is>
      </c>
      <c r="C5" s="5" t="inlineStr">
        <is>
          <t>Government</t>
        </is>
      </c>
      <c r="D5" s="5" t="inlineStr">
        <is>
          <t>Total</t>
        </is>
      </c>
    </row>
    <row r="6">
      <c r="A6" s="9" t="n">
        <v>1935</v>
      </c>
      <c r="B6" s="9" t="n">
        <v>533</v>
      </c>
      <c r="C6" s="9" t="n">
        <v>131</v>
      </c>
      <c r="D6" s="9" t="n">
        <v>664</v>
      </c>
    </row>
    <row r="7">
      <c r="A7" s="9" t="n">
        <v>1936</v>
      </c>
      <c r="B7" s="9" t="n">
        <v>771</v>
      </c>
      <c r="C7" s="9" t="n">
        <v>188</v>
      </c>
      <c r="D7" s="9" t="n">
        <v>957</v>
      </c>
    </row>
    <row r="8">
      <c r="A8" s="9" t="n">
        <v>1937</v>
      </c>
      <c r="B8" s="9" t="n">
        <v>813</v>
      </c>
      <c r="C8" s="9" t="n">
        <v>180</v>
      </c>
      <c r="D8" s="9" t="n">
        <v>993</v>
      </c>
    </row>
    <row r="9">
      <c r="A9" s="9" t="n">
        <v>1938</v>
      </c>
      <c r="B9" s="6" t="n">
        <v>1548</v>
      </c>
      <c r="C9" s="9" t="n">
        <v>154</v>
      </c>
      <c r="D9" s="6" t="n">
        <v>1702</v>
      </c>
    </row>
    <row r="10">
      <c r="A10" s="9" t="n">
        <v>1939</v>
      </c>
      <c r="B10" s="6" t="n">
        <v>1582</v>
      </c>
      <c r="C10" s="9" t="n">
        <v>99</v>
      </c>
      <c r="D10" s="6" t="n">
        <v>1681</v>
      </c>
    </row>
    <row r="11">
      <c r="A11" s="9" t="n">
        <v>1940</v>
      </c>
      <c r="B11" s="6" t="n">
        <v>1164</v>
      </c>
      <c r="C11" t="inlineStr">
        <is>
          <t>—</t>
        </is>
      </c>
      <c r="D11" t="inlineStr">
        <is>
          <t>—</t>
        </is>
      </c>
    </row>
    <row r="13">
      <c r="A13" s="2" t="inlineStr">
        <is>
          <t>Transcriber's notes</t>
        </is>
      </c>
    </row>
    <row r="14">
      <c r="A14" t="inlineStr">
        <is>
          <t>Row '1936': Private+Government parts sum 959 vs printed 957 — does NOT reconcile (diff +2)</t>
        </is>
      </c>
    </row>
    <row r="15">
      <c r="A15" t="inlineStr">
        <is>
          <t>Private + Government = Total checked 1935-39</t>
        </is>
      </c>
    </row>
  </sheetData>
  <hyperlinks>
    <hyperlink xmlns:r="http://schemas.openxmlformats.org/officeDocument/2006/relationships" ref="A3" r:id="rId1"/>
  </hyperlink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15. Publications Classified</t>
        </is>
      </c>
    </row>
    <row r="2">
      <c r="A2" t="inlineStr">
        <is>
          <t>Cultural Activities · printed pp. 678</t>
        </is>
      </c>
    </row>
    <row r="3">
      <c r="A3" t="inlineStr">
        <is>
          <t>(1938)</t>
        </is>
      </c>
    </row>
    <row r="4">
      <c r="A4" s="3" t="inlineStr">
        <is>
          <t>← Contents</t>
        </is>
      </c>
    </row>
    <row r="6">
      <c r="A6" s="5" t="inlineStr">
        <is>
          <t>Subject</t>
        </is>
      </c>
      <c r="B6" s="5" t="inlineStr">
        <is>
          <t>Japanese</t>
        </is>
      </c>
      <c r="C6" s="5" t="inlineStr">
        <is>
          <t>Manchou</t>
        </is>
      </c>
      <c r="D6" s="5" t="inlineStr">
        <is>
          <t>Japan &amp; Manchou</t>
        </is>
      </c>
      <c r="E6" s="5" t="inlineStr">
        <is>
          <t>Russian</t>
        </is>
      </c>
      <c r="F6" s="5" t="inlineStr">
        <is>
          <t>Total incl. others</t>
        </is>
      </c>
    </row>
    <row r="7">
      <c r="A7" t="inlineStr">
        <is>
          <t>Private Publications:</t>
        </is>
      </c>
      <c r="B7" s="9" t="n">
        <v>960</v>
      </c>
      <c r="C7" s="9" t="n">
        <v>359</v>
      </c>
      <c r="D7" s="9" t="n">
        <v>61</v>
      </c>
      <c r="E7" s="9" t="n">
        <v>149</v>
      </c>
      <c r="F7" s="6" t="n">
        <v>1548</v>
      </c>
    </row>
    <row r="8">
      <c r="A8" t="inlineStr">
        <is>
          <t>Politics</t>
        </is>
      </c>
      <c r="B8" s="9" t="n">
        <v>13</v>
      </c>
      <c r="C8" s="9" t="n">
        <v>14</v>
      </c>
      <c r="D8" t="inlineStr">
        <is>
          <t>—</t>
        </is>
      </c>
      <c r="E8" s="9" t="n">
        <v>1</v>
      </c>
      <c r="F8" s="9" t="n">
        <v>30</v>
      </c>
    </row>
    <row r="9">
      <c r="A9" t="inlineStr">
        <is>
          <t>Social</t>
        </is>
      </c>
      <c r="B9" s="9" t="n">
        <v>13</v>
      </c>
      <c r="C9" s="9" t="n">
        <v>7</v>
      </c>
      <c r="D9" s="9" t="n">
        <v>2</v>
      </c>
      <c r="E9" s="9" t="n">
        <v>40</v>
      </c>
      <c r="F9" s="9" t="n">
        <v>62</v>
      </c>
    </row>
    <row r="10">
      <c r="A10" t="inlineStr">
        <is>
          <t>Economics</t>
        </is>
      </c>
      <c r="B10" s="9" t="n">
        <v>2</v>
      </c>
      <c r="C10" s="9" t="n">
        <v>21</v>
      </c>
      <c r="D10" s="9" t="n">
        <v>1</v>
      </c>
      <c r="E10" s="9" t="n">
        <v>2</v>
      </c>
      <c r="F10" s="9" t="n">
        <v>26</v>
      </c>
    </row>
    <row r="11">
      <c r="A11" t="inlineStr">
        <is>
          <t>Law</t>
        </is>
      </c>
      <c r="B11" s="9" t="n">
        <v>39</v>
      </c>
      <c r="C11" s="9" t="n">
        <v>31</v>
      </c>
      <c r="D11" s="9" t="n">
        <v>26</v>
      </c>
      <c r="E11" s="9" t="n">
        <v>9</v>
      </c>
      <c r="F11" s="9" t="n">
        <v>105</v>
      </c>
    </row>
    <row r="12">
      <c r="A12" t="inlineStr">
        <is>
          <t>Science</t>
        </is>
      </c>
      <c r="B12" s="9" t="n">
        <v>27</v>
      </c>
      <c r="C12" s="9" t="n">
        <v>8</v>
      </c>
      <c r="D12" t="inlineStr">
        <is>
          <t>—</t>
        </is>
      </c>
      <c r="E12" s="9" t="n">
        <v>3</v>
      </c>
      <c r="F12" s="9" t="n">
        <v>39</v>
      </c>
    </row>
    <row r="13">
      <c r="A13" t="inlineStr">
        <is>
          <t>Religion</t>
        </is>
      </c>
      <c r="B13" s="9" t="n">
        <v>61</v>
      </c>
      <c r="C13" s="9" t="n">
        <v>4</v>
      </c>
      <c r="D13" t="inlineStr">
        <is>
          <t>—</t>
        </is>
      </c>
      <c r="E13" s="9" t="n">
        <v>17</v>
      </c>
      <c r="F13" s="9" t="n">
        <v>83</v>
      </c>
    </row>
    <row r="14">
      <c r="A14" t="inlineStr">
        <is>
          <t>Educational</t>
        </is>
      </c>
      <c r="B14" s="9" t="n">
        <v>183</v>
      </c>
      <c r="C14" s="9" t="n">
        <v>58</v>
      </c>
      <c r="D14" s="9" t="n">
        <v>12</v>
      </c>
      <c r="E14" s="9" t="n">
        <v>20</v>
      </c>
      <c r="F14" s="9" t="n">
        <v>283</v>
      </c>
    </row>
    <row r="15">
      <c r="A15" t="inlineStr">
        <is>
          <t>Literature</t>
        </is>
      </c>
      <c r="B15" s="9" t="n">
        <v>386</v>
      </c>
      <c r="C15" s="9" t="n">
        <v>22</v>
      </c>
      <c r="D15" s="9" t="n">
        <v>1</v>
      </c>
      <c r="E15" s="9" t="n">
        <v>21</v>
      </c>
      <c r="F15" s="9" t="n">
        <v>431</v>
      </c>
    </row>
    <row r="16">
      <c r="A16" t="inlineStr">
        <is>
          <t>Art</t>
        </is>
      </c>
      <c r="B16" s="9" t="n">
        <v>14</v>
      </c>
      <c r="C16" t="inlineStr">
        <is>
          <t>—</t>
        </is>
      </c>
      <c r="D16" t="inlineStr">
        <is>
          <t>—</t>
        </is>
      </c>
      <c r="E16" t="inlineStr">
        <is>
          <t>—</t>
        </is>
      </c>
      <c r="F16" s="9" t="n">
        <v>14</v>
      </c>
    </row>
    <row r="17">
      <c r="A17" t="inlineStr">
        <is>
          <t>Music</t>
        </is>
      </c>
      <c r="B17" s="9" t="n">
        <v>27</v>
      </c>
      <c r="C17" s="9" t="n">
        <v>1</v>
      </c>
      <c r="D17" s="9" t="n">
        <v>1</v>
      </c>
      <c r="E17" s="9" t="n">
        <v>1</v>
      </c>
      <c r="F17" s="9" t="n">
        <v>30</v>
      </c>
    </row>
    <row r="18">
      <c r="A18" t="inlineStr">
        <is>
          <t>Others</t>
        </is>
      </c>
      <c r="B18" s="9" t="n">
        <v>195</v>
      </c>
      <c r="C18" s="9" t="n">
        <v>193</v>
      </c>
      <c r="D18" s="9" t="n">
        <v>18</v>
      </c>
      <c r="E18" s="9" t="n">
        <v>35</v>
      </c>
      <c r="F18" s="9" t="n">
        <v>445</v>
      </c>
    </row>
    <row r="19">
      <c r="A19" t="inlineStr">
        <is>
          <t>Government Publications:</t>
        </is>
      </c>
      <c r="B19" s="9" t="n">
        <v>69</v>
      </c>
      <c r="C19" s="9" t="n">
        <v>66</v>
      </c>
      <c r="D19" s="9" t="n">
        <v>17</v>
      </c>
      <c r="E19" s="9" t="n">
        <v>1</v>
      </c>
      <c r="F19" s="9" t="n">
        <v>154</v>
      </c>
    </row>
    <row r="20">
      <c r="A20" t="inlineStr">
        <is>
          <t>Politics</t>
        </is>
      </c>
      <c r="B20" s="9" t="n">
        <v>19</v>
      </c>
      <c r="C20" s="9" t="n">
        <v>8</v>
      </c>
      <c r="D20" s="9" t="n">
        <v>1</v>
      </c>
      <c r="E20" t="inlineStr">
        <is>
          <t>—</t>
        </is>
      </c>
      <c r="F20" s="9" t="n">
        <v>29</v>
      </c>
    </row>
    <row r="21">
      <c r="A21" t="inlineStr">
        <is>
          <t>Economics</t>
        </is>
      </c>
      <c r="B21" s="9" t="n">
        <v>1</v>
      </c>
      <c r="C21" s="9" t="n">
        <v>5</v>
      </c>
      <c r="D21" t="inlineStr">
        <is>
          <t>—</t>
        </is>
      </c>
      <c r="E21" s="9" t="n">
        <v>1</v>
      </c>
      <c r="F21" s="9" t="n">
        <v>7</v>
      </c>
    </row>
    <row r="22">
      <c r="A22" t="inlineStr">
        <is>
          <t>Law</t>
        </is>
      </c>
      <c r="B22" s="9" t="n">
        <v>2</v>
      </c>
      <c r="C22" s="9" t="n">
        <v>7</v>
      </c>
      <c r="D22" s="9" t="n">
        <v>9</v>
      </c>
      <c r="E22" t="inlineStr">
        <is>
          <t>—</t>
        </is>
      </c>
      <c r="F22" s="9" t="n">
        <v>18</v>
      </c>
    </row>
    <row r="23">
      <c r="A23" t="inlineStr">
        <is>
          <t>Science</t>
        </is>
      </c>
      <c r="B23" t="inlineStr">
        <is>
          <t>—</t>
        </is>
      </c>
      <c r="C23" s="9" t="n">
        <v>12</v>
      </c>
      <c r="D23" t="inlineStr">
        <is>
          <t>—</t>
        </is>
      </c>
      <c r="E23" t="inlineStr">
        <is>
          <t>—</t>
        </is>
      </c>
      <c r="F23" s="9" t="n">
        <v>12</v>
      </c>
    </row>
    <row r="24">
      <c r="A24" t="inlineStr">
        <is>
          <t>Educational</t>
        </is>
      </c>
      <c r="B24" s="9" t="n">
        <v>3</v>
      </c>
      <c r="C24" s="9" t="n">
        <v>4</v>
      </c>
      <c r="D24" t="inlineStr">
        <is>
          <t>—</t>
        </is>
      </c>
      <c r="E24" t="inlineStr">
        <is>
          <t>—</t>
        </is>
      </c>
      <c r="F24" s="9" t="n">
        <v>7</v>
      </c>
    </row>
    <row r="25">
      <c r="A25" t="inlineStr">
        <is>
          <t>Music</t>
        </is>
      </c>
      <c r="B25" s="9" t="n">
        <v>1</v>
      </c>
      <c r="C25" t="inlineStr">
        <is>
          <t>—</t>
        </is>
      </c>
      <c r="D25" t="inlineStr">
        <is>
          <t>—</t>
        </is>
      </c>
      <c r="E25" t="inlineStr">
        <is>
          <t>—</t>
        </is>
      </c>
      <c r="F25" s="9" t="n">
        <v>1</v>
      </c>
    </row>
    <row r="26">
      <c r="A26" t="inlineStr">
        <is>
          <t>Others</t>
        </is>
      </c>
      <c r="B26" s="9" t="n">
        <v>43</v>
      </c>
      <c r="C26" s="9" t="n">
        <v>30</v>
      </c>
      <c r="D26" s="9" t="n">
        <v>7</v>
      </c>
      <c r="E26" t="inlineStr">
        <is>
          <t>—</t>
        </is>
      </c>
      <c r="F26" s="9" t="n">
        <v>80</v>
      </c>
    </row>
    <row r="28">
      <c r="A28" s="2" t="inlineStr">
        <is>
          <t>Transcriber's notes</t>
        </is>
      </c>
    </row>
    <row r="29">
      <c r="A29" t="inlineStr">
        <is>
          <t>Private Publications col 'Japanese': printed 960, subjects sum 960 — reconciles</t>
        </is>
      </c>
    </row>
    <row r="30">
      <c r="A30" t="inlineStr">
        <is>
          <t>Private Publications col 'Manchou': printed 359, subjects sum 359 — reconciles</t>
        </is>
      </c>
    </row>
    <row r="31">
      <c r="A31" t="inlineStr">
        <is>
          <t>Private Publications col 'Japan &amp; Manchou': printed 61, subjects sum 61 — reconciles</t>
        </is>
      </c>
    </row>
    <row r="32">
      <c r="A32" t="inlineStr">
        <is>
          <t>Private Publications col 'Russian': printed 149, subjects sum 149 — reconciles</t>
        </is>
      </c>
    </row>
    <row r="33">
      <c r="A33" t="inlineStr">
        <is>
          <t>Private Publications col 'Total incl. others': printed 1,548, subjects sum 1,548 — reconciles</t>
        </is>
      </c>
    </row>
    <row r="34">
      <c r="A34" t="inlineStr">
        <is>
          <t>Government Publications col 'Japanese': printed 69, subjects sum 69 — reconciles</t>
        </is>
      </c>
    </row>
    <row r="35">
      <c r="A35" t="inlineStr">
        <is>
          <t>Government Publications col 'Manchou': printed 66, subjects sum 66 — reconciles</t>
        </is>
      </c>
    </row>
    <row r="36">
      <c r="A36" t="inlineStr">
        <is>
          <t>Government Publications col 'Japan &amp; Manchou': printed 17, subjects sum 17 — reconciles</t>
        </is>
      </c>
    </row>
    <row r="37">
      <c r="A37" t="inlineStr">
        <is>
          <t>Government Publications col 'Russian': printed 1, subjects sum 1 — reconciles</t>
        </is>
      </c>
    </row>
    <row r="38">
      <c r="A38" t="inlineStr">
        <is>
          <t>Government Publications col 'Total incl. others': printed 154, subjects sum 154 — reconciles</t>
        </is>
      </c>
    </row>
    <row r="39">
      <c r="A39" t="inlineStr">
        <is>
          <t>Row 'Private Publications:': language columns parts sum 1,529 vs printed 1,548 — does NOT reconcile (diff -19)</t>
        </is>
      </c>
    </row>
    <row r="40">
      <c r="A40" t="inlineStr">
        <is>
          <t>Row 'Politics': language columns parts sum 28 vs printed 30 — does NOT reconcile (diff -2)</t>
        </is>
      </c>
    </row>
    <row r="41">
      <c r="A41" t="inlineStr">
        <is>
          <t>Row 'Science': language columns parts sum 38 vs printed 39 — does NOT reconcile (diff -1)</t>
        </is>
      </c>
    </row>
    <row r="42">
      <c r="A42" t="inlineStr">
        <is>
          <t>Row 'Religion': language columns parts sum 82 vs printed 83 — does NOT reconcile (diff -1)</t>
        </is>
      </c>
    </row>
    <row r="43">
      <c r="A43" t="inlineStr">
        <is>
          <t>Row 'Educational': language columns parts sum 273 vs printed 283 — does NOT reconcile (diff -10)</t>
        </is>
      </c>
    </row>
    <row r="44">
      <c r="A44" t="inlineStr">
        <is>
          <t>Row 'Literature': language columns parts sum 430 vs printed 431 — does NOT reconcile (diff -1)</t>
        </is>
      </c>
    </row>
    <row r="45">
      <c r="A45" t="inlineStr">
        <is>
          <t>Row 'Others': language columns parts sum 441 vs printed 445 — does NOT reconcile (diff -4)</t>
        </is>
      </c>
    </row>
    <row r="46">
      <c r="A46" t="inlineStr">
        <is>
          <t>Row 'Government Publications:': language columns parts sum 153 vs printed 154 — does NOT reconcile (diff -1)</t>
        </is>
      </c>
    </row>
    <row r="47">
      <c r="A47" t="inlineStr">
        <is>
          <t>Row 'Politics': language columns parts sum 28 vs printed 29 — does NOT reconcile (diff -1)</t>
        </is>
      </c>
    </row>
    <row r="48">
      <c r="A48" t="inlineStr">
        <is>
          <t>Row totals are 'Total incl. others', so a row sum below the total is not necessarily an error; rows listed above are those where the four language columns do not equal the total</t>
        </is>
      </c>
    </row>
    <row r="49">
      <c r="A49" t="inlineStr">
        <is>
          <t>Private Economics, Japanese: printed '2' with a stray mark; Russian '2' likewise; Private Religion, Manchou '4' partly damaged</t>
        </is>
      </c>
    </row>
  </sheetData>
  <hyperlinks>
    <hyperlink xmlns:r="http://schemas.openxmlformats.org/officeDocument/2006/relationships" ref="A4" r:id="rId1"/>
  </hyperlink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16. Leading Journals in Manchoukuo</t>
        </is>
      </c>
    </row>
    <row r="2">
      <c r="A2" t="inlineStr">
        <is>
          <t>Cultural Activities · printed pp. 679</t>
        </is>
      </c>
    </row>
    <row r="3">
      <c r="A3" t="inlineStr">
        <is>
          <t>(May, 1940)</t>
        </is>
      </c>
    </row>
    <row r="4">
      <c r="A4" s="3" t="inlineStr">
        <is>
          <t>← Contents</t>
        </is>
      </c>
    </row>
    <row r="6">
      <c r="A6" s="5" t="inlineStr">
        <is>
          <t>Name</t>
        </is>
      </c>
      <c r="B6" s="5" t="inlineStr">
        <is>
          <t>Location</t>
        </is>
      </c>
      <c r="C6" s="5" t="inlineStr">
        <is>
          <t>Publisher</t>
        </is>
      </c>
      <c r="D6" s="5" t="inlineStr">
        <is>
          <t>Editor</t>
        </is>
      </c>
      <c r="E6" s="5" t="inlineStr">
        <is>
          <t>Established</t>
        </is>
      </c>
      <c r="F6" s="5" t="inlineStr">
        <is>
          <t>Language</t>
        </is>
      </c>
    </row>
    <row r="7">
      <c r="A7" t="inlineStr">
        <is>
          <t>Manshu Shimbun</t>
        </is>
      </c>
      <c r="B7" t="inlineStr">
        <is>
          <t>Hsinking</t>
        </is>
      </c>
      <c r="C7" t="inlineStr">
        <is>
          <t>H. Wada</t>
        </is>
      </c>
      <c r="D7" t="inlineStr">
        <is>
          <t>S. Kasakami</t>
        </is>
      </c>
      <c r="E7" s="9" t="n">
        <v>1909</v>
      </c>
      <c r="F7" t="inlineStr">
        <is>
          <t>Japanese</t>
        </is>
      </c>
    </row>
    <row r="8">
      <c r="A8" t="inlineStr">
        <is>
          <t>Shinkyo Nichi-Nichi</t>
        </is>
      </c>
      <c r="B8" t="inlineStr">
        <is>
          <t>Hsinking</t>
        </is>
      </c>
      <c r="C8" t="inlineStr">
        <is>
          <t>T. Shiroshima</t>
        </is>
      </c>
      <c r="D8" t="inlineStr">
        <is>
          <t>E. Tokawa</t>
        </is>
      </c>
      <c r="E8" s="9" t="n">
        <v>1920</v>
      </c>
      <c r="F8" t="inlineStr">
        <is>
          <t>Japanese</t>
        </is>
      </c>
    </row>
    <row r="9">
      <c r="A9" t="inlineStr">
        <is>
          <t>Tatung Pao</t>
        </is>
      </c>
      <c r="B9" t="inlineStr">
        <is>
          <t>Hsinking</t>
        </is>
      </c>
      <c r="C9" t="inlineStr">
        <is>
          <t>Y. Someya</t>
        </is>
      </c>
      <c r="D9" t="inlineStr">
        <is>
          <t>T. Oishi</t>
        </is>
      </c>
      <c r="E9" s="9" t="n">
        <v>1933</v>
      </c>
      <c r="F9" t="inlineStr">
        <is>
          <t>Manchoukuoan</t>
        </is>
      </c>
    </row>
    <row r="10">
      <c r="A10" t="inlineStr">
        <is>
          <t>Man-Sen-Nippo</t>
        </is>
      </c>
      <c r="B10" t="inlineStr">
        <is>
          <t>Hsinking</t>
        </is>
      </c>
      <c r="C10" t="inlineStr">
        <is>
          <t>[?]. Ri</t>
        </is>
      </c>
      <c r="D10" t="inlineStr">
        <is>
          <t>G. Yamaguchi</t>
        </is>
      </c>
      <c r="E10" s="9" t="n">
        <v>1932</v>
      </c>
      <c r="F10" t="inlineStr">
        <is>
          <t>Chosenese</t>
        </is>
      </c>
    </row>
    <row r="11">
      <c r="A11" t="inlineStr">
        <is>
          <t>Manchuria Daily News</t>
        </is>
      </c>
      <c r="B11" t="inlineStr">
        <is>
          <t>Hsinking</t>
        </is>
      </c>
      <c r="C11" t="inlineStr">
        <is>
          <t>[?]. Ono</t>
        </is>
      </c>
      <c r="D11" t="inlineStr">
        <is>
          <t>N. Nakano</t>
        </is>
      </c>
      <c r="E11" s="9" t="n">
        <v>1908</v>
      </c>
      <c r="F11" t="inlineStr">
        <is>
          <t>English</t>
        </is>
      </c>
    </row>
    <row r="12">
      <c r="A12" t="inlineStr">
        <is>
          <t>Manshu Nichi-Nichi</t>
        </is>
      </c>
      <c r="B12" t="inlineStr">
        <is>
          <t>Mukden</t>
        </is>
      </c>
      <c r="C12" t="inlineStr">
        <is>
          <t>T. Matsumoto</t>
        </is>
      </c>
      <c r="D12" t="inlineStr">
        <is>
          <t>S. Yuhata</t>
        </is>
      </c>
      <c r="E12" s="9" t="n">
        <v>1905</v>
      </c>
      <c r="F12" t="inlineStr">
        <is>
          <t>Japanese</t>
        </is>
      </c>
    </row>
    <row r="13">
      <c r="A13" t="inlineStr">
        <is>
          <t>Hoten Mai-nichi</t>
        </is>
      </c>
      <c r="B13" t="inlineStr">
        <is>
          <t>Mukden</t>
        </is>
      </c>
      <c r="C13" t="inlineStr">
        <is>
          <t>K. Matsumiya</t>
        </is>
      </c>
      <c r="D13" t="inlineStr">
        <is>
          <t>S. Obama</t>
        </is>
      </c>
      <c r="E13" s="9" t="n">
        <v>1907</v>
      </c>
      <c r="F13" t="inlineStr">
        <is>
          <t>Japanese</t>
        </is>
      </c>
    </row>
    <row r="14">
      <c r="A14" t="inlineStr">
        <is>
          <t>Chengking Shihpao</t>
        </is>
      </c>
      <c r="B14" t="inlineStr">
        <is>
          <t>Mukden</t>
        </is>
      </c>
      <c r="C14" t="inlineStr">
        <is>
          <t>Y. Someya</t>
        </is>
      </c>
      <c r="D14" t="inlineStr">
        <is>
          <t>T. Kikuchi</t>
        </is>
      </c>
      <c r="E14" s="9" t="n">
        <v>1905</v>
      </c>
      <c r="F14" t="inlineStr">
        <is>
          <t>Manchoukuoan</t>
        </is>
      </c>
    </row>
    <row r="15">
      <c r="A15" t="inlineStr">
        <is>
          <t>Sing Shihpao</t>
        </is>
      </c>
      <c r="B15" t="inlineStr">
        <is>
          <t>Mukden</t>
        </is>
      </c>
      <c r="C15" t="inlineStr">
        <is>
          <t>—</t>
        </is>
      </c>
      <c r="D15" t="inlineStr">
        <is>
          <t>Chang You Lan</t>
        </is>
      </c>
      <c r="E15" s="9" t="n">
        <v>1909</v>
      </c>
      <c r="F15" t="inlineStr">
        <is>
          <t>Manchoukuoan</t>
        </is>
      </c>
    </row>
    <row r="16">
      <c r="A16" t="inlineStr">
        <is>
          <t>Taitung Nipao</t>
        </is>
      </c>
      <c r="B16" t="inlineStr">
        <is>
          <t>Dairen</t>
        </is>
      </c>
      <c r="C16" t="inlineStr">
        <is>
          <t>Y. Takayanagi</t>
        </is>
      </c>
      <c r="D16" t="inlineStr">
        <is>
          <t>S. Sato</t>
        </is>
      </c>
      <c r="E16" s="9" t="n">
        <v>1908</v>
      </c>
      <c r="F16" t="inlineStr">
        <is>
          <t>Manchoukuoan</t>
        </is>
      </c>
    </row>
    <row r="17">
      <c r="A17" t="inlineStr">
        <is>
          <t>Harbin Nichi-Nichi</t>
        </is>
      </c>
      <c r="B17" t="inlineStr">
        <is>
          <t>Harbin</t>
        </is>
      </c>
      <c r="C17" t="inlineStr">
        <is>
          <t>K. Samukawae</t>
        </is>
      </c>
      <c r="D17" t="inlineStr">
        <is>
          <t>R. Sugawara</t>
        </is>
      </c>
      <c r="E17" s="9" t="n">
        <v>1922</v>
      </c>
      <c r="F17" t="inlineStr">
        <is>
          <t>Japanese</t>
        </is>
      </c>
    </row>
    <row r="18">
      <c r="A18" t="inlineStr">
        <is>
          <t>Tapeh Shimpao</t>
        </is>
      </c>
      <c r="B18" t="inlineStr">
        <is>
          <t>Harbin</t>
        </is>
      </c>
      <c r="C18" t="inlineStr">
        <is>
          <t>S. Yamamoto</t>
        </is>
      </c>
      <c r="D18" t="inlineStr">
        <is>
          <t>T. Nakamura</t>
        </is>
      </c>
      <c r="E18" s="9" t="n">
        <v>1922</v>
      </c>
      <c r="F18" t="inlineStr">
        <is>
          <t>Manchoukuoan</t>
        </is>
      </c>
    </row>
    <row r="19">
      <c r="A19" t="inlineStr">
        <is>
          <t>Wupao</t>
        </is>
      </c>
      <c r="B19" t="inlineStr">
        <is>
          <t>Harbin</t>
        </is>
      </c>
      <c r="C19" t="inlineStr">
        <is>
          <t>"</t>
        </is>
      </c>
      <c r="D19" t="inlineStr">
        <is>
          <t>"</t>
        </is>
      </c>
      <c r="E19" s="9" t="n">
        <v>1937</v>
      </c>
      <c r="F19" t="inlineStr">
        <is>
          <t>Manchoukuoan</t>
        </is>
      </c>
    </row>
    <row r="20">
      <c r="A20" t="inlineStr">
        <is>
          <t>Pinkiang Nipao</t>
        </is>
      </c>
      <c r="B20" t="inlineStr">
        <is>
          <t>Harbin</t>
        </is>
      </c>
      <c r="C20" t="inlineStr">
        <is>
          <t>Wang Wei Chou</t>
        </is>
      </c>
      <c r="D20" t="inlineStr">
        <is>
          <t>Chao Tsiu Hung</t>
        </is>
      </c>
      <c r="E20" s="9" t="n">
        <v>1937</v>
      </c>
      <c r="F20" t="inlineStr">
        <is>
          <t>Manchoukuoan</t>
        </is>
      </c>
    </row>
    <row r="21">
      <c r="A21" t="inlineStr">
        <is>
          <t>Harbinskoe Vremya</t>
        </is>
      </c>
      <c r="B21" t="inlineStr">
        <is>
          <t>Harbin</t>
        </is>
      </c>
      <c r="C21" t="inlineStr">
        <is>
          <t>K. Furusawa</t>
        </is>
      </c>
      <c r="D21" t="inlineStr">
        <is>
          <t>G. Shibata</t>
        </is>
      </c>
      <c r="E21" s="9" t="n">
        <v>1931</v>
      </c>
      <c r="F21" t="inlineStr">
        <is>
          <t>Russian</t>
        </is>
      </c>
    </row>
    <row r="22">
      <c r="A22" t="inlineStr">
        <is>
          <t>Lungkiang Minpao</t>
        </is>
      </c>
      <c r="B22" t="inlineStr">
        <is>
          <t>Tsitsihar</t>
        </is>
      </c>
      <c r="C22" t="inlineStr">
        <is>
          <t>S Katayama</t>
        </is>
      </c>
      <c r="D22" t="inlineStr">
        <is>
          <t>—</t>
        </is>
      </c>
      <c r="E22" s="9" t="n">
        <v>1933</v>
      </c>
      <c r="F22" t="inlineStr">
        <is>
          <t>Manchoukuoan</t>
        </is>
      </c>
    </row>
    <row r="23">
      <c r="A23" t="inlineStr">
        <is>
          <t>Tsitsihar Shimbun</t>
        </is>
      </c>
      <c r="B23" t="inlineStr">
        <is>
          <t>Tsitsihar</t>
        </is>
      </c>
      <c r="C23" t="inlineStr">
        <is>
          <t>"</t>
        </is>
      </c>
      <c r="D23" t="inlineStr">
        <is>
          <t>"</t>
        </is>
      </c>
      <c r="E23" s="9" t="n">
        <v>1933</v>
      </c>
      <c r="F23" t="inlineStr">
        <is>
          <t>Japanese</t>
        </is>
      </c>
    </row>
    <row r="24">
      <c r="A24" t="inlineStr">
        <is>
          <t>Toman Nichi-Nichi</t>
        </is>
      </c>
      <c r="B24" t="inlineStr">
        <is>
          <t>Mutankiang</t>
        </is>
      </c>
      <c r="C24" t="inlineStr">
        <is>
          <t>Y. Susami</t>
        </is>
      </c>
      <c r="D24" t="inlineStr">
        <is>
          <t>S. Nakajima</t>
        </is>
      </c>
      <c r="E24" s="9" t="n">
        <v>1940</v>
      </c>
      <c r="F24" t="inlineStr">
        <is>
          <t>Japanese</t>
        </is>
      </c>
    </row>
    <row r="25">
      <c r="A25" t="inlineStr">
        <is>
          <t>Antung Shimbun</t>
        </is>
      </c>
      <c r="B25" t="inlineStr">
        <is>
          <t>Antung</t>
        </is>
      </c>
      <c r="C25" t="inlineStr">
        <is>
          <t>T. Sato</t>
        </is>
      </c>
      <c r="D25" t="inlineStr">
        <is>
          <t>—</t>
        </is>
      </c>
      <c r="E25" s="9" t="n">
        <v>1906</v>
      </c>
      <c r="F25" t="inlineStr">
        <is>
          <t>Japanese</t>
        </is>
      </c>
    </row>
    <row r="26">
      <c r="A26" t="inlineStr">
        <is>
          <t>Antung Shihpao</t>
        </is>
      </c>
      <c r="B26" t="inlineStr">
        <is>
          <t>Antung</t>
        </is>
      </c>
      <c r="C26" t="inlineStr">
        <is>
          <t>"</t>
        </is>
      </c>
      <c r="D26" t="inlineStr">
        <is>
          <t>—</t>
        </is>
      </c>
      <c r="E26" s="9" t="n">
        <v>1935</v>
      </c>
      <c r="F26" t="inlineStr">
        <is>
          <t>Manchoukuoan</t>
        </is>
      </c>
    </row>
    <row r="27">
      <c r="A27" t="inlineStr">
        <is>
          <t>Kirin Shimbun</t>
        </is>
      </c>
      <c r="B27" t="inlineStr">
        <is>
          <t>Kirin</t>
        </is>
      </c>
      <c r="C27" t="inlineStr">
        <is>
          <t>M. Mihashi</t>
        </is>
      </c>
      <c r="D27" t="inlineStr">
        <is>
          <t>K. Tokimasa</t>
        </is>
      </c>
      <c r="E27" s="9" t="n">
        <v>1922</v>
      </c>
      <c r="F27" t="inlineStr">
        <is>
          <t>Jap. &amp; Man.</t>
        </is>
      </c>
    </row>
    <row r="28">
      <c r="A28" t="inlineStr">
        <is>
          <t>Toman Shimbun</t>
        </is>
      </c>
      <c r="B28" t="inlineStr">
        <is>
          <t>Yenki</t>
        </is>
      </c>
      <c r="C28" t="inlineStr">
        <is>
          <t>H. Wada</t>
        </is>
      </c>
      <c r="D28" t="inlineStr">
        <is>
          <t>I. Yagi</t>
        </is>
      </c>
      <c r="E28" s="9" t="n">
        <v>1924</v>
      </c>
      <c r="F28" t="inlineStr">
        <is>
          <t>Japanese</t>
        </is>
      </c>
    </row>
    <row r="29">
      <c r="A29" t="inlineStr">
        <is>
          <t>Tung-Man Shihpao</t>
        </is>
      </c>
      <c r="B29" t="inlineStr">
        <is>
          <t>Yenki</t>
        </is>
      </c>
      <c r="C29" t="inlineStr">
        <is>
          <t>"</t>
        </is>
      </c>
      <c r="D29" t="inlineStr">
        <is>
          <t>"</t>
        </is>
      </c>
      <c r="E29" s="9" t="n">
        <v>1933</v>
      </c>
      <c r="F29" t="inlineStr">
        <is>
          <t>Manchoukuoan</t>
        </is>
      </c>
    </row>
    <row r="30">
      <c r="A30" t="inlineStr">
        <is>
          <t>Bujun Shimpo</t>
        </is>
      </c>
      <c r="B30" t="inlineStr">
        <is>
          <t>Fushin</t>
        </is>
      </c>
      <c r="C30" t="inlineStr">
        <is>
          <t>R. Kubota</t>
        </is>
      </c>
      <c r="D30" t="inlineStr">
        <is>
          <t>—</t>
        </is>
      </c>
      <c r="E30" s="9" t="n">
        <v>1921</v>
      </c>
      <c r="F30" t="inlineStr">
        <is>
          <t>Japanese</t>
        </is>
      </c>
    </row>
    <row r="31">
      <c r="A31" t="inlineStr">
        <is>
          <t>Fushin Minpao</t>
        </is>
      </c>
      <c r="B31" t="inlineStr">
        <is>
          <t>Fushin</t>
        </is>
      </c>
      <c r="C31" t="inlineStr">
        <is>
          <t>"</t>
        </is>
      </c>
      <c r="D31" t="inlineStr">
        <is>
          <t>—</t>
        </is>
      </c>
      <c r="E31" s="9" t="n">
        <v>1931</v>
      </c>
      <c r="F31" t="inlineStr">
        <is>
          <t>Manchoukuoan</t>
        </is>
      </c>
    </row>
    <row r="32">
      <c r="A32" t="inlineStr">
        <is>
          <t>Sankiang Pao</t>
        </is>
      </c>
      <c r="B32" t="inlineStr">
        <is>
          <t>Chiamussu</t>
        </is>
      </c>
      <c r="C32" t="inlineStr">
        <is>
          <t>T. Yasui</t>
        </is>
      </c>
      <c r="D32" t="inlineStr">
        <is>
          <t>—</t>
        </is>
      </c>
      <c r="E32" s="9" t="n">
        <v>1934</v>
      </c>
      <c r="F32" t="inlineStr">
        <is>
          <t>Manchoukuoan</t>
        </is>
      </c>
    </row>
    <row r="33">
      <c r="A33" t="inlineStr">
        <is>
          <t>Heiho Minpao</t>
        </is>
      </c>
      <c r="B33" t="inlineStr">
        <is>
          <t>Heiho</t>
        </is>
      </c>
      <c r="C33" t="inlineStr">
        <is>
          <t>Lan Si Hou</t>
        </is>
      </c>
      <c r="D33" t="inlineStr">
        <is>
          <t>Kuo Ching Fu</t>
        </is>
      </c>
      <c r="E33" s="9" t="n">
        <v>1932</v>
      </c>
      <c r="F33" t="inlineStr">
        <is>
          <t>Manchoukuoan</t>
        </is>
      </c>
    </row>
    <row r="34">
      <c r="A34" t="inlineStr">
        <is>
          <t>Yingkow Shimpo</t>
        </is>
      </c>
      <c r="B34" t="inlineStr">
        <is>
          <t>Yingkow</t>
        </is>
      </c>
      <c r="C34" t="inlineStr">
        <is>
          <t>Li Tzu Shih</t>
        </is>
      </c>
      <c r="D34" t="inlineStr">
        <is>
          <t>—</t>
        </is>
      </c>
      <c r="E34" s="9" t="n">
        <v>1908</v>
      </c>
      <c r="F34" t="inlineStr">
        <is>
          <t>Man. &amp; Jap.</t>
        </is>
      </c>
    </row>
    <row r="35">
      <c r="A35" t="inlineStr">
        <is>
          <t>Nekka Shimpo</t>
        </is>
      </c>
      <c r="B35" t="inlineStr">
        <is>
          <t>Chengteh</t>
        </is>
      </c>
      <c r="C35" t="inlineStr">
        <is>
          <t>T. Mori</t>
        </is>
      </c>
      <c r="D35" t="inlineStr">
        <is>
          <t>—</t>
        </is>
      </c>
      <c r="E35" s="9" t="n">
        <v>1935</v>
      </c>
      <c r="F35" t="inlineStr">
        <is>
          <t>Man. &amp; Jap.</t>
        </is>
      </c>
    </row>
    <row r="36">
      <c r="A36" t="inlineStr">
        <is>
          <t>Sankaikan Nippo</t>
        </is>
      </c>
      <c r="B36" t="inlineStr">
        <is>
          <t>Shanghaikwan</t>
        </is>
      </c>
      <c r="C36" t="inlineStr">
        <is>
          <t>S. Kurokawa</t>
        </is>
      </c>
      <c r="D36" t="inlineStr">
        <is>
          <t>—</t>
        </is>
      </c>
      <c r="E36" s="9" t="n">
        <v>1934</v>
      </c>
      <c r="F36" t="inlineStr">
        <is>
          <t>Manchoukuoan</t>
        </is>
      </c>
    </row>
    <row r="37">
      <c r="A37" t="inlineStr">
        <is>
          <t>Kinshu Nippo</t>
        </is>
      </c>
      <c r="B37" t="inlineStr">
        <is>
          <t>Chinchow</t>
        </is>
      </c>
      <c r="C37" t="inlineStr">
        <is>
          <t>Y. Shimotsuke</t>
        </is>
      </c>
      <c r="D37" t="inlineStr">
        <is>
          <t>J. Ogata</t>
        </is>
      </c>
      <c r="E37" s="9" t="n">
        <v>1932</v>
      </c>
      <c r="F37" t="inlineStr">
        <is>
          <t>Japanese</t>
        </is>
      </c>
    </row>
    <row r="38">
      <c r="A38" t="inlineStr">
        <is>
          <t>Liangsi Chenpao</t>
        </is>
      </c>
      <c r="B38" t="inlineStr">
        <is>
          <t>Chinchow</t>
        </is>
      </c>
      <c r="C38" t="inlineStr">
        <is>
          <t>"</t>
        </is>
      </c>
      <c r="D38" t="inlineStr">
        <is>
          <t>"</t>
        </is>
      </c>
      <c r="E38" s="9" t="n">
        <v>1938</v>
      </c>
      <c r="F38" t="inlineStr">
        <is>
          <t>Manchoukuoan</t>
        </is>
      </c>
    </row>
    <row r="39">
      <c r="A39" t="inlineStr">
        <is>
          <t>Anzan Nichi-Nichi</t>
        </is>
      </c>
      <c r="B39" t="inlineStr">
        <is>
          <t>Anshan</t>
        </is>
      </c>
      <c r="C39" t="inlineStr">
        <is>
          <t>R. Ueda</t>
        </is>
      </c>
      <c r="D39" t="inlineStr">
        <is>
          <t>Y. Nojiri</t>
        </is>
      </c>
      <c r="E39" s="9" t="n">
        <v>1932</v>
      </c>
      <c r="F39" t="inlineStr">
        <is>
          <t>Japanese</t>
        </is>
      </c>
    </row>
    <row r="40">
      <c r="A40" t="inlineStr">
        <is>
          <t>Ryoan Mainichi</t>
        </is>
      </c>
      <c r="B40" t="inlineStr">
        <is>
          <t>Liaoyang</t>
        </is>
      </c>
      <c r="C40" t="inlineStr">
        <is>
          <t>N. Watanabe</t>
        </is>
      </c>
      <c r="D40" t="inlineStr">
        <is>
          <t>—</t>
        </is>
      </c>
      <c r="E40" s="9" t="n">
        <v>1908</v>
      </c>
      <c r="F40" t="inlineStr">
        <is>
          <t>Japanese</t>
        </is>
      </c>
    </row>
    <row r="41">
      <c r="A41" t="inlineStr">
        <is>
          <t>Liaohai Kunpao</t>
        </is>
      </c>
      <c r="B41" t="inlineStr">
        <is>
          <t>Liaoyang</t>
        </is>
      </c>
      <c r="C41" t="inlineStr">
        <is>
          <t>"</t>
        </is>
      </c>
      <c r="D41" t="inlineStr">
        <is>
          <t>—</t>
        </is>
      </c>
      <c r="E41" s="9" t="n">
        <v>1933</v>
      </c>
      <c r="F41" t="inlineStr">
        <is>
          <t>Manchoukuoan</t>
        </is>
      </c>
    </row>
    <row r="42">
      <c r="A42" t="inlineStr">
        <is>
          <t>Tetsurei Jiho</t>
        </is>
      </c>
      <c r="B42" t="inlineStr">
        <is>
          <t>Tiehling</t>
        </is>
      </c>
      <c r="C42" t="inlineStr">
        <is>
          <t>S. Nishio</t>
        </is>
      </c>
      <c r="D42" t="inlineStr">
        <is>
          <t>—</t>
        </is>
      </c>
      <c r="E42" s="9" t="n">
        <v>1911</v>
      </c>
      <c r="F42" t="inlineStr">
        <is>
          <t>Japanese</t>
        </is>
      </c>
    </row>
    <row r="43">
      <c r="A43" t="inlineStr">
        <is>
          <t>Anpo Mainichi</t>
        </is>
      </c>
      <c r="B43" t="inlineStr">
        <is>
          <t>Penhsifu</t>
        </is>
      </c>
      <c r="C43" t="inlineStr">
        <is>
          <t>I. Nomura</t>
        </is>
      </c>
      <c r="D43" t="inlineStr">
        <is>
          <t>—</t>
        </is>
      </c>
      <c r="E43" s="9" t="n">
        <v>1926</v>
      </c>
      <c r="F43" t="inlineStr">
        <is>
          <t>Japanese</t>
        </is>
      </c>
    </row>
    <row r="44">
      <c r="A44" t="inlineStr">
        <is>
          <t>Shito Shimpo</t>
        </is>
      </c>
      <c r="B44" t="inlineStr">
        <is>
          <t>Ssupingkai</t>
        </is>
      </c>
      <c r="C44" t="inlineStr">
        <is>
          <t>N. Sakurai</t>
        </is>
      </c>
      <c r="D44" t="inlineStr">
        <is>
          <t>—</t>
        </is>
      </c>
      <c r="E44" s="9" t="n">
        <v>1934</v>
      </c>
      <c r="F44" t="inlineStr">
        <is>
          <t>Japanese</t>
        </is>
      </c>
    </row>
    <row r="46">
      <c r="A46" s="2" t="inlineStr">
        <is>
          <t>Transcriber's notes</t>
        </is>
      </c>
    </row>
    <row r="47">
      <c r="A47" t="inlineStr">
        <is>
          <t>Ditto marks (,,) transcribed as '"'; long rules in Publisher/Editor columns transcribed as '—'</t>
        </is>
      </c>
    </row>
    <row r="48">
      <c r="A48" t="inlineStr">
        <is>
          <t>Publisher initials for Man-Sen-Nippo ('[?]. Ri') and Manchuria Daily News ('[?]. Ono') are damaged/unreadable in print</t>
        </is>
      </c>
    </row>
    <row r="49">
      <c r="A49" t="inlineStr">
        <is>
          <t>'S Katayama' printed without a period</t>
        </is>
      </c>
    </row>
  </sheetData>
  <hyperlinks>
    <hyperlink xmlns:r="http://schemas.openxmlformats.org/officeDocument/2006/relationships" ref="A4" r:id="rId1"/>
  </hyperlink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Number of Medical Institutes</t>
        </is>
      </c>
    </row>
    <row r="2">
      <c r="A2" t="inlineStr">
        <is>
          <t>Sanitation · printed pp. 681</t>
        </is>
      </c>
    </row>
    <row r="3">
      <c r="A3" t="inlineStr">
        <is>
          <t>(1940)</t>
        </is>
      </c>
    </row>
    <row r="4">
      <c r="A4" s="3" t="inlineStr">
        <is>
          <t>← Contents</t>
        </is>
      </c>
    </row>
    <row r="6">
      <c r="A6" s="5" t="inlineStr">
        <is>
          <t>Province</t>
        </is>
      </c>
      <c r="B6" s="5" t="inlineStr">
        <is>
          <t>State Hospitals</t>
        </is>
      </c>
      <c r="C6" s="5" t="inlineStr">
        <is>
          <t>Public Hospital</t>
        </is>
      </c>
      <c r="D6" s="5" t="inlineStr">
        <is>
          <t>Public Clinics</t>
        </is>
      </c>
      <c r="E6" s="5" t="inlineStr">
        <is>
          <t>Total — No.</t>
        </is>
      </c>
      <c r="F6" s="5" t="inlineStr">
        <is>
          <t>Total — Beds</t>
        </is>
      </c>
    </row>
    <row r="7">
      <c r="A7" t="inlineStr">
        <is>
          <t>Hsinking</t>
        </is>
      </c>
      <c r="B7" t="inlineStr">
        <is>
          <t>—</t>
        </is>
      </c>
      <c r="C7" s="9" t="n">
        <v>5</v>
      </c>
      <c r="D7" s="9" t="n">
        <v>1</v>
      </c>
      <c r="E7" s="9" t="n">
        <v>6</v>
      </c>
      <c r="F7" s="9" t="n">
        <v>964</v>
      </c>
    </row>
    <row r="8">
      <c r="A8" t="inlineStr">
        <is>
          <t>Kirin</t>
        </is>
      </c>
      <c r="B8" s="9" t="n">
        <v>1</v>
      </c>
      <c r="C8" s="9" t="n">
        <v>3</v>
      </c>
      <c r="D8" s="9" t="n">
        <v>6</v>
      </c>
      <c r="E8" s="9" t="n">
        <v>10</v>
      </c>
      <c r="F8" s="9" t="n">
        <v>318</v>
      </c>
    </row>
    <row r="9">
      <c r="A9" t="inlineStr">
        <is>
          <t>Lungkiang</t>
        </is>
      </c>
      <c r="B9" t="inlineStr">
        <is>
          <t>—</t>
        </is>
      </c>
      <c r="C9" s="9" t="n">
        <v>0</v>
      </c>
      <c r="D9" s="9" t="n">
        <v>6</v>
      </c>
      <c r="E9" s="9" t="n">
        <v>15</v>
      </c>
      <c r="F9" s="9" t="n">
        <v>295</v>
      </c>
    </row>
    <row r="10">
      <c r="A10" t="inlineStr">
        <is>
          <t>Heiho</t>
        </is>
      </c>
      <c r="B10" t="inlineStr">
        <is>
          <t>—</t>
        </is>
      </c>
      <c r="C10" t="inlineStr">
        <is>
          <t>—</t>
        </is>
      </c>
      <c r="D10" s="9" t="n">
        <v>2</v>
      </c>
      <c r="E10" s="9" t="n">
        <v>2</v>
      </c>
      <c r="F10" s="9" t="n">
        <v>20</v>
      </c>
    </row>
    <row r="11">
      <c r="A11" t="inlineStr">
        <is>
          <t>Sankiang</t>
        </is>
      </c>
      <c r="B11" s="9" t="n">
        <v>1</v>
      </c>
      <c r="C11" s="9" t="n">
        <v>1</v>
      </c>
      <c r="D11" s="9" t="n">
        <v>1</v>
      </c>
      <c r="E11" s="9" t="n">
        <v>2</v>
      </c>
      <c r="F11" s="9" t="n">
        <v>100</v>
      </c>
    </row>
    <row r="12">
      <c r="A12" t="inlineStr">
        <is>
          <t>Mutankiang</t>
        </is>
      </c>
      <c r="B12" t="inlineStr">
        <is>
          <t>—</t>
        </is>
      </c>
      <c r="C12" s="9" t="n">
        <v>1</v>
      </c>
      <c r="D12" s="9" t="n">
        <v>1</v>
      </c>
      <c r="E12" s="9" t="n">
        <v>2</v>
      </c>
      <c r="F12" s="9" t="n">
        <v>57</v>
      </c>
    </row>
    <row r="13">
      <c r="A13" t="inlineStr">
        <is>
          <t>Pinkiang</t>
        </is>
      </c>
      <c r="B13" t="inlineStr">
        <is>
          <t>—</t>
        </is>
      </c>
      <c r="C13" s="9" t="n">
        <v>6</v>
      </c>
      <c r="D13" s="9" t="n">
        <v>9</v>
      </c>
      <c r="E13" s="9" t="n">
        <v>15</v>
      </c>
      <c r="F13" s="6" t="n">
        <v>1157</v>
      </c>
    </row>
    <row r="14">
      <c r="A14" t="inlineStr">
        <is>
          <t>Chientao</t>
        </is>
      </c>
      <c r="B14" s="9" t="n">
        <v>2</v>
      </c>
      <c r="C14" t="inlineStr">
        <is>
          <t>—</t>
        </is>
      </c>
      <c r="D14" s="9" t="n">
        <v>1</v>
      </c>
      <c r="E14" s="9" t="n">
        <v>3</v>
      </c>
      <c r="F14" s="9" t="n">
        <v>61</v>
      </c>
    </row>
    <row r="15">
      <c r="A15" t="inlineStr">
        <is>
          <t>Tunghua</t>
        </is>
      </c>
      <c r="B15" t="inlineStr">
        <is>
          <t>—</t>
        </is>
      </c>
      <c r="C15" s="9" t="n">
        <v>1</v>
      </c>
      <c r="D15" t="inlineStr">
        <is>
          <t>—</t>
        </is>
      </c>
      <c r="E15" s="9" t="n">
        <v>1</v>
      </c>
      <c r="F15" s="9" t="n">
        <v>3</v>
      </c>
    </row>
    <row r="16">
      <c r="A16" t="inlineStr">
        <is>
          <t>Antung</t>
        </is>
      </c>
      <c r="B16" t="inlineStr">
        <is>
          <t>—</t>
        </is>
      </c>
      <c r="C16" t="inlineStr">
        <is>
          <t>—</t>
        </is>
      </c>
      <c r="D16" s="9" t="n">
        <v>2</v>
      </c>
      <c r="E16" s="9" t="n">
        <v>2</v>
      </c>
      <c r="F16" s="9" t="n">
        <v>229</v>
      </c>
    </row>
    <row r="17">
      <c r="A17" t="inlineStr">
        <is>
          <t>Fengtien</t>
        </is>
      </c>
      <c r="B17" t="inlineStr">
        <is>
          <t>—</t>
        </is>
      </c>
      <c r="C17" s="9" t="n">
        <v>17</v>
      </c>
      <c r="D17" s="9" t="n">
        <v>17</v>
      </c>
      <c r="E17" s="9" t="n">
        <v>34</v>
      </c>
      <c r="F17" s="6" t="n">
        <v>2623</v>
      </c>
    </row>
    <row r="18">
      <c r="A18" t="inlineStr">
        <is>
          <t>Chinchow</t>
        </is>
      </c>
      <c r="B18" t="inlineStr">
        <is>
          <t>—</t>
        </is>
      </c>
      <c r="C18" s="9" t="n">
        <v>3</v>
      </c>
      <c r="D18" s="9" t="n">
        <v>5</v>
      </c>
      <c r="E18" s="9" t="n">
        <v>8</v>
      </c>
      <c r="F18" s="9" t="n">
        <v>162</v>
      </c>
    </row>
    <row r="19">
      <c r="A19" t="inlineStr">
        <is>
          <t>Jehol</t>
        </is>
      </c>
      <c r="B19" s="9" t="n">
        <v>1</v>
      </c>
      <c r="C19" t="inlineStr">
        <is>
          <t>—</t>
        </is>
      </c>
      <c r="D19" s="9" t="n">
        <v>2</v>
      </c>
      <c r="E19" s="9" t="n">
        <v>3</v>
      </c>
      <c r="F19" s="9" t="n">
        <v>71</v>
      </c>
    </row>
    <row r="20">
      <c r="A20" t="inlineStr">
        <is>
          <t>Hsingan E.</t>
        </is>
      </c>
      <c r="B20" t="inlineStr">
        <is>
          <t>—</t>
        </is>
      </c>
      <c r="C20" t="inlineStr">
        <is>
          <t>—</t>
        </is>
      </c>
      <c r="D20" s="9" t="n">
        <v>2</v>
      </c>
      <c r="E20" s="9" t="n">
        <v>2</v>
      </c>
      <c r="F20" s="9" t="n">
        <v>39</v>
      </c>
    </row>
    <row r="21">
      <c r="A21" t="inlineStr">
        <is>
          <t>Hsingan S.</t>
        </is>
      </c>
      <c r="B21" t="inlineStr">
        <is>
          <t>—</t>
        </is>
      </c>
      <c r="C21" t="inlineStr">
        <is>
          <t>—</t>
        </is>
      </c>
      <c r="D21" t="inlineStr">
        <is>
          <t>—</t>
        </is>
      </c>
      <c r="E21" t="inlineStr">
        <is>
          <t>—</t>
        </is>
      </c>
      <c r="F21" t="inlineStr">
        <is>
          <t>—</t>
        </is>
      </c>
    </row>
    <row r="22">
      <c r="A22" t="inlineStr">
        <is>
          <t>Hsingan W.</t>
        </is>
      </c>
      <c r="B22" t="inlineStr">
        <is>
          <t>—</t>
        </is>
      </c>
      <c r="C22" t="inlineStr">
        <is>
          <t>—</t>
        </is>
      </c>
      <c r="D22" s="9" t="n">
        <v>1</v>
      </c>
      <c r="E22" s="9" t="n">
        <v>1</v>
      </c>
      <c r="F22" s="9" t="n">
        <v>19</v>
      </c>
    </row>
    <row r="23">
      <c r="A23" t="inlineStr">
        <is>
          <t>Hsingan N.</t>
        </is>
      </c>
      <c r="B23" t="inlineStr">
        <is>
          <t>—</t>
        </is>
      </c>
      <c r="C23" s="9" t="n">
        <v>4</v>
      </c>
      <c r="D23" s="9" t="n">
        <v>1</v>
      </c>
      <c r="E23" s="9" t="n">
        <v>5</v>
      </c>
      <c r="F23" s="9" t="n">
        <v>81</v>
      </c>
    </row>
    <row r="24">
      <c r="A24" t="inlineStr">
        <is>
          <t>Total</t>
        </is>
      </c>
      <c r="B24" s="9" t="n">
        <v>4</v>
      </c>
      <c r="C24" s="9" t="n">
        <v>50</v>
      </c>
      <c r="D24" s="9" t="n">
        <v>57</v>
      </c>
      <c r="E24" s="9" t="n">
        <v>111</v>
      </c>
      <c r="F24" s="6" t="n">
        <v>6196</v>
      </c>
    </row>
    <row r="26">
      <c r="A26" s="2" t="inlineStr">
        <is>
          <t>Transcriber's notes</t>
        </is>
      </c>
    </row>
    <row r="27">
      <c r="A27" t="inlineStr">
        <is>
          <t>Total col 'State Hospitals': printed 4, parts sum 5 — does NOT reconcile (diff +1)</t>
        </is>
      </c>
    </row>
    <row r="28">
      <c r="A28" t="inlineStr">
        <is>
          <t>Total col 'Public Hospital': printed 50, parts sum 41 — does NOT reconcile (diff -9)</t>
        </is>
      </c>
    </row>
    <row r="29">
      <c r="A29" t="inlineStr">
        <is>
          <t>Total col 'Public Clinics': printed 57, parts sum 57 — reconciles</t>
        </is>
      </c>
    </row>
    <row r="30">
      <c r="A30" t="inlineStr">
        <is>
          <t>Total col 'Total — No.': printed 111, parts sum 111 — reconciles</t>
        </is>
      </c>
    </row>
    <row r="31">
      <c r="A31" t="inlineStr">
        <is>
          <t>Total col 'Total — Beds': printed 6,196, parts sum 6,199 — does NOT reconcile (diff +3)</t>
        </is>
      </c>
    </row>
    <row r="32">
      <c r="A32" t="inlineStr">
        <is>
          <t>Row 'Lungkiang': No. (State+Public Hospital+Public Clinics) parts sum 6 vs printed 15 — does NOT reconcile (diff -9)</t>
        </is>
      </c>
    </row>
    <row r="33">
      <c r="A33" t="inlineStr">
        <is>
          <t>Row 'Sankiang': No. (State+Public Hospital+Public Clinics) parts sum 3 vs printed 2 — does NOT reconcile (diff +1)</t>
        </is>
      </c>
    </row>
    <row r="34">
      <c r="A34" t="inlineStr">
        <is>
          <t>Total row printed in old-style numerals: '4', '50', '57', 'III' (=111), '6,I96' (=6,196); transcribed as Arabic digits</t>
        </is>
      </c>
    </row>
    <row r="35">
      <c r="A35" t="inlineStr">
        <is>
          <t>Lungkiang Public Hospital printed '0' (as printed; Total No. 15 would imply 9). Sankiang Beds '100' last digit slightly broken</t>
        </is>
      </c>
    </row>
  </sheetData>
  <hyperlinks>
    <hyperlink xmlns:r="http://schemas.openxmlformats.org/officeDocument/2006/relationships" ref="A4" r:id="rId1"/>
  </hyperlink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Number of Medical Practitioners</t>
        </is>
      </c>
    </row>
    <row r="2">
      <c r="A2" t="inlineStr">
        <is>
          <t>Sanitation · printed pp. 682</t>
        </is>
      </c>
    </row>
    <row r="3">
      <c r="A3" t="inlineStr">
        <is>
          <t>(1938)</t>
        </is>
      </c>
    </row>
    <row r="4">
      <c r="A4" s="3" t="inlineStr">
        <is>
          <t>← Contents</t>
        </is>
      </c>
    </row>
    <row r="6">
      <c r="A6" s="5" t="inlineStr">
        <is>
          <t>Province</t>
        </is>
      </c>
      <c r="B6" s="5" t="inlineStr">
        <is>
          <t>No. of Physicians — Western Style</t>
        </is>
      </c>
      <c r="C6" s="5" t="inlineStr">
        <is>
          <t>No. of Physicians — Chinese Style</t>
        </is>
      </c>
      <c r="D6" s="5" t="inlineStr">
        <is>
          <t>No. of Physicians — Total</t>
        </is>
      </c>
      <c r="E6" s="5" t="inlineStr">
        <is>
          <t>per 1,000 population</t>
        </is>
      </c>
    </row>
    <row r="7">
      <c r="A7" t="inlineStr">
        <is>
          <t>Hsinking</t>
        </is>
      </c>
      <c r="B7" s="9" t="n">
        <v>273</v>
      </c>
      <c r="C7" s="9" t="n">
        <v>457</v>
      </c>
      <c r="D7" s="9" t="n">
        <v>730</v>
      </c>
      <c r="E7" s="11" t="n">
        <v>2.15</v>
      </c>
    </row>
    <row r="8">
      <c r="A8" t="inlineStr">
        <is>
          <t>Kirin</t>
        </is>
      </c>
      <c r="B8" s="9" t="n">
        <v>171</v>
      </c>
      <c r="C8" s="6" t="n">
        <v>2982</v>
      </c>
      <c r="D8" s="6" t="n">
        <v>3153</v>
      </c>
      <c r="E8" s="11" t="n">
        <v>0.6</v>
      </c>
    </row>
    <row r="9">
      <c r="A9" t="inlineStr">
        <is>
          <t>Lungkiang</t>
        </is>
      </c>
      <c r="B9" s="9" t="n">
        <v>155</v>
      </c>
      <c r="C9" s="6" t="n">
        <v>1179</v>
      </c>
      <c r="D9" s="6" t="n">
        <v>1334</v>
      </c>
      <c r="E9" s="11" t="n">
        <v>0.55</v>
      </c>
    </row>
    <row r="10">
      <c r="A10" t="inlineStr">
        <is>
          <t>Heiho</t>
        </is>
      </c>
      <c r="B10" s="9" t="n">
        <v>8</v>
      </c>
      <c r="C10" s="9" t="n">
        <v>36</v>
      </c>
      <c r="D10" s="9" t="n">
        <v>44</v>
      </c>
      <c r="E10" s="11" t="n">
        <v>0.68</v>
      </c>
    </row>
    <row r="11">
      <c r="A11" t="inlineStr">
        <is>
          <t>Sankiang</t>
        </is>
      </c>
      <c r="B11" s="9" t="n">
        <v>115</v>
      </c>
      <c r="C11" s="9" t="n">
        <v>473</v>
      </c>
      <c r="D11" s="9" t="n">
        <v>588</v>
      </c>
      <c r="E11" s="11" t="n">
        <v>0.48</v>
      </c>
    </row>
    <row r="12">
      <c r="A12" t="inlineStr">
        <is>
          <t>Mutankiang</t>
        </is>
      </c>
      <c r="B12" s="9" t="n">
        <v>4</v>
      </c>
      <c r="C12" s="9" t="n">
        <v>20</v>
      </c>
      <c r="D12" s="9" t="n">
        <v>24</v>
      </c>
      <c r="E12" s="11" t="n">
        <v>0.05</v>
      </c>
    </row>
    <row r="13">
      <c r="A13" t="inlineStr">
        <is>
          <t>Pinkiang</t>
        </is>
      </c>
      <c r="B13" s="9" t="n">
        <v>457</v>
      </c>
      <c r="C13" s="6" t="n">
        <v>3046</v>
      </c>
      <c r="D13" s="6" t="n">
        <v>3503</v>
      </c>
      <c r="E13" s="11" t="n">
        <v>0.77</v>
      </c>
    </row>
    <row r="14">
      <c r="A14" t="inlineStr">
        <is>
          <t>Chientao</t>
        </is>
      </c>
      <c r="B14" s="9" t="n">
        <v>24</v>
      </c>
      <c r="C14" s="9" t="n">
        <v>674</v>
      </c>
      <c r="D14" s="9" t="n">
        <v>698</v>
      </c>
      <c r="E14" s="11" t="n">
        <v>1.06</v>
      </c>
    </row>
    <row r="15">
      <c r="A15" t="inlineStr">
        <is>
          <t>Tunghua</t>
        </is>
      </c>
      <c r="B15" s="9" t="n">
        <v>13</v>
      </c>
      <c r="C15" s="9" t="n">
        <v>20</v>
      </c>
      <c r="D15" s="9" t="n">
        <v>35</v>
      </c>
      <c r="E15" s="11" t="n">
        <v>0.04</v>
      </c>
    </row>
    <row r="16">
      <c r="A16" t="inlineStr">
        <is>
          <t>Antung</t>
        </is>
      </c>
      <c r="B16" s="9" t="n">
        <v>134</v>
      </c>
      <c r="C16" s="9" t="n">
        <v>900</v>
      </c>
      <c r="D16" s="6" t="n">
        <v>1034</v>
      </c>
      <c r="E16" s="11" t="n">
        <v>0.46</v>
      </c>
    </row>
    <row r="17">
      <c r="A17" t="inlineStr">
        <is>
          <t>Fengtien</t>
        </is>
      </c>
      <c r="B17" s="9" t="n">
        <v>947</v>
      </c>
      <c r="C17" s="6" t="n">
        <v>4652</v>
      </c>
      <c r="D17" s="6" t="n">
        <v>5599</v>
      </c>
      <c r="E17" s="11" t="n">
        <v>0.5600000000000001</v>
      </c>
    </row>
    <row r="18">
      <c r="A18" t="inlineStr">
        <is>
          <t>Chinchow</t>
        </is>
      </c>
      <c r="B18" s="9" t="n">
        <v>99</v>
      </c>
      <c r="C18" s="6" t="n">
        <v>2032</v>
      </c>
      <c r="D18" s="6" t="n">
        <v>2131</v>
      </c>
      <c r="E18" s="11" t="n">
        <v>0.52</v>
      </c>
    </row>
    <row r="19">
      <c r="A19" t="inlineStr">
        <is>
          <t>Jehol</t>
        </is>
      </c>
      <c r="B19" s="9" t="n">
        <v>77</v>
      </c>
      <c r="C19" s="9" t="n">
        <v>750</v>
      </c>
      <c r="D19" s="9" t="n">
        <v>827</v>
      </c>
      <c r="E19" s="11" t="n">
        <v>0.22</v>
      </c>
    </row>
    <row r="20">
      <c r="A20" t="inlineStr">
        <is>
          <t>Hsingan W.</t>
        </is>
      </c>
      <c r="B20" s="9" t="n">
        <v>4</v>
      </c>
      <c r="C20" s="9" t="n">
        <v>55</v>
      </c>
      <c r="D20" s="9" t="n">
        <v>59</v>
      </c>
      <c r="E20" s="11" t="n">
        <v>0.11</v>
      </c>
    </row>
    <row r="21">
      <c r="A21" t="inlineStr">
        <is>
          <t>Hsingan S.</t>
        </is>
      </c>
      <c r="B21" s="9" t="n">
        <v>8</v>
      </c>
      <c r="C21" s="9" t="n">
        <v>64</v>
      </c>
      <c r="D21" s="9" t="n">
        <v>72</v>
      </c>
      <c r="E21" s="11" t="n">
        <v>0.09</v>
      </c>
    </row>
    <row r="22">
      <c r="A22" t="inlineStr">
        <is>
          <t>Hsingan E.</t>
        </is>
      </c>
      <c r="B22" s="9" t="n">
        <v>1</v>
      </c>
      <c r="C22" s="9" t="n">
        <v>25</v>
      </c>
      <c r="D22" s="9" t="n">
        <v>26</v>
      </c>
      <c r="E22" s="11" t="n">
        <v>0.23</v>
      </c>
    </row>
    <row r="23">
      <c r="A23" t="inlineStr">
        <is>
          <t>Hsingan N.</t>
        </is>
      </c>
      <c r="B23" s="9" t="n">
        <v>20</v>
      </c>
      <c r="C23" s="9" t="n">
        <v>10</v>
      </c>
      <c r="D23" s="9" t="n">
        <v>30</v>
      </c>
      <c r="E23" s="11" t="n">
        <v>0.06</v>
      </c>
    </row>
    <row r="24">
      <c r="A24" t="inlineStr">
        <is>
          <t>Total</t>
        </is>
      </c>
      <c r="B24" s="6" t="n">
        <v>2510</v>
      </c>
      <c r="C24" s="10" t="n">
        <v>17.375</v>
      </c>
      <c r="D24" s="6" t="n">
        <v>19885</v>
      </c>
      <c r="E24" s="11" t="n">
        <v>0.54</v>
      </c>
    </row>
    <row r="26">
      <c r="A26" s="2" t="inlineStr">
        <is>
          <t>Transcriber's notes</t>
        </is>
      </c>
    </row>
    <row r="27">
      <c r="A27" t="inlineStr">
        <is>
          <t>Total col 'No. of Physicians — Western Style': printed 2,510, parts sum 2,510 — reconciles</t>
        </is>
      </c>
    </row>
    <row r="28">
      <c r="A28" t="inlineStr">
        <is>
          <t>Total col 'No. of Physicians — Total': printed 19,885, parts sum 19,887 — does NOT reconcile (diff +2)</t>
        </is>
      </c>
    </row>
    <row r="29">
      <c r="A29" t="inlineStr">
        <is>
          <t>Row 'Tunghua': Western+Chinese parts sum 33 vs printed 35 — does NOT reconcile (diff -2)</t>
        </is>
      </c>
    </row>
    <row r="30">
      <c r="A30" t="inlineStr">
        <is>
          <t>Row 'Total': 2,510 + 17,375 = 19,885 — reconciles. Column Total over-sum of 2 matches Tunghua row (13 + 20 = 33 vs printed 35)</t>
        </is>
      </c>
    </row>
    <row r="31">
      <c r="A31" t="inlineStr">
        <is>
          <t>Total col 'Chinese Style' printed 17.375 (period for comma): parts sum 17,375 — reconciles</t>
        </is>
      </c>
    </row>
    <row r="32">
      <c r="A32" t="inlineStr">
        <is>
          <t>Hsingan S./E./N. printed with ditto marks under 'Hsingan'; expanded. Fengtien Chinese Style '4,652' second digit slightly broken</t>
        </is>
      </c>
    </row>
  </sheetData>
  <hyperlinks>
    <hyperlink xmlns:r="http://schemas.openxmlformats.org/officeDocument/2006/relationships" ref="A4" r:id="rId1"/>
  </hyperlink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3. Number of Patients Treated by Public Physicians</t>
        </is>
      </c>
    </row>
    <row r="2">
      <c r="A2" t="inlineStr">
        <is>
          <t>Sanitation · printed pp. 683</t>
        </is>
      </c>
    </row>
    <row r="3">
      <c r="A3" s="3" t="inlineStr">
        <is>
          <t>← Contents</t>
        </is>
      </c>
    </row>
    <row r="5">
      <c r="A5" s="5" t="inlineStr">
        <is>
          <t>Ailment</t>
        </is>
      </c>
      <c r="B5" s="5" t="inlineStr">
        <is>
          <t>1936</t>
        </is>
      </c>
      <c r="C5" s="5" t="inlineStr">
        <is>
          <t>1937 — Male</t>
        </is>
      </c>
      <c r="D5" s="5" t="inlineStr">
        <is>
          <t>1937 — Female</t>
        </is>
      </c>
      <c r="E5" s="5" t="inlineStr">
        <is>
          <t>1937 — Total</t>
        </is>
      </c>
    </row>
    <row r="6">
      <c r="A6" t="inlineStr">
        <is>
          <t>Constitutional Diseases</t>
        </is>
      </c>
      <c r="B6" s="6" t="n">
        <v>2105</v>
      </c>
      <c r="C6" s="6" t="n">
        <v>1750</v>
      </c>
      <c r="D6" s="9" t="n">
        <v>992</v>
      </c>
      <c r="E6" s="6" t="n">
        <v>2742</v>
      </c>
    </row>
    <row r="7">
      <c r="A7" t="inlineStr">
        <is>
          <t>Psycosis</t>
        </is>
      </c>
      <c r="B7" s="9" t="n">
        <v>313</v>
      </c>
      <c r="C7" s="9" t="n">
        <v>266</v>
      </c>
      <c r="D7" s="9" t="n">
        <v>187</v>
      </c>
      <c r="E7" s="9" t="n">
        <v>453</v>
      </c>
    </row>
    <row r="8">
      <c r="A8" t="inlineStr">
        <is>
          <t>Nerve System</t>
        </is>
      </c>
      <c r="B8" s="6" t="n">
        <v>2996</v>
      </c>
      <c r="C8" s="6" t="n">
        <v>3178</v>
      </c>
      <c r="D8" s="6" t="n">
        <v>2019</v>
      </c>
      <c r="E8" s="6" t="n">
        <v>5197</v>
      </c>
    </row>
    <row r="9">
      <c r="A9" t="inlineStr">
        <is>
          <t>Circulatory System</t>
        </is>
      </c>
      <c r="B9" s="6" t="n">
        <v>2805</v>
      </c>
      <c r="C9" s="6" t="n">
        <v>2687</v>
      </c>
      <c r="D9" s="6" t="n">
        <v>2868</v>
      </c>
      <c r="E9" s="6" t="n">
        <v>5555</v>
      </c>
    </row>
    <row r="10">
      <c r="A10" t="inlineStr">
        <is>
          <t>Eye</t>
        </is>
      </c>
      <c r="B10" s="6" t="n">
        <v>5682</v>
      </c>
      <c r="C10" s="6" t="n">
        <v>5720</v>
      </c>
      <c r="D10" s="6" t="n">
        <v>2982</v>
      </c>
      <c r="E10" s="6" t="n">
        <v>8702</v>
      </c>
    </row>
    <row r="11">
      <c r="A11" t="inlineStr">
        <is>
          <t>Ear</t>
        </is>
      </c>
      <c r="B11" s="6" t="n">
        <v>2840</v>
      </c>
      <c r="C11" s="6" t="n">
        <v>3274</v>
      </c>
      <c r="D11" s="6" t="n">
        <v>1641</v>
      </c>
      <c r="E11" s="6" t="n">
        <v>4915</v>
      </c>
    </row>
    <row r="12">
      <c r="A12" t="inlineStr">
        <is>
          <t>Nose and Throat</t>
        </is>
      </c>
      <c r="B12" s="6" t="n">
        <v>3065</v>
      </c>
      <c r="C12" s="6" t="n">
        <v>3235</v>
      </c>
      <c r="D12" s="6" t="n">
        <v>1684</v>
      </c>
      <c r="E12" s="6" t="n">
        <v>4919</v>
      </c>
    </row>
    <row r="13">
      <c r="A13" t="inlineStr">
        <is>
          <t>Respiratory System</t>
        </is>
      </c>
      <c r="B13" s="6" t="n">
        <v>11227</v>
      </c>
      <c r="C13" s="6" t="n">
        <v>11704</v>
      </c>
      <c r="D13" s="6" t="n">
        <v>6737</v>
      </c>
      <c r="E13" s="6" t="n">
        <v>18441</v>
      </c>
    </row>
    <row r="14">
      <c r="A14" t="inlineStr">
        <is>
          <t>Digestive Organs</t>
        </is>
      </c>
      <c r="B14" s="6" t="n">
        <v>17923</v>
      </c>
      <c r="C14" s="6" t="n">
        <v>19388</v>
      </c>
      <c r="D14" s="6" t="n">
        <v>11409</v>
      </c>
      <c r="E14" s="6" t="n">
        <v>30797</v>
      </c>
    </row>
    <row r="15">
      <c r="A15" t="inlineStr">
        <is>
          <t>Tooth</t>
        </is>
      </c>
      <c r="B15" s="6" t="n">
        <v>2222</v>
      </c>
      <c r="C15" s="6" t="n">
        <v>2850</v>
      </c>
      <c r="D15" s="6" t="n">
        <v>1536</v>
      </c>
      <c r="E15" s="6" t="n">
        <v>4386</v>
      </c>
    </row>
    <row r="16">
      <c r="A16" t="inlineStr">
        <is>
          <t>Organs of Locomotion</t>
        </is>
      </c>
      <c r="B16" s="6" t="n">
        <v>2195</v>
      </c>
      <c r="C16" s="6" t="n">
        <v>1855</v>
      </c>
      <c r="D16" s="9" t="n">
        <v>735</v>
      </c>
      <c r="E16" s="6" t="n">
        <v>2590</v>
      </c>
    </row>
    <row r="17">
      <c r="A17" t="inlineStr">
        <is>
          <t>Skin and Annexa</t>
        </is>
      </c>
      <c r="B17" s="6" t="n">
        <v>10347</v>
      </c>
      <c r="C17" s="6" t="n">
        <v>11628</v>
      </c>
      <c r="D17" s="6" t="n">
        <v>4131</v>
      </c>
      <c r="E17" s="6" t="n">
        <v>15759</v>
      </c>
    </row>
    <row r="18">
      <c r="A18" t="inlineStr">
        <is>
          <t>Urinary and Genital Organs</t>
        </is>
      </c>
      <c r="B18" s="6" t="n">
        <v>2505</v>
      </c>
      <c r="C18" s="6" t="n">
        <v>2451</v>
      </c>
      <c r="D18" s="6" t="n">
        <v>1822</v>
      </c>
      <c r="E18" s="6" t="n">
        <v>4273</v>
      </c>
    </row>
    <row r="19">
      <c r="A19" t="inlineStr">
        <is>
          <t>Wounds</t>
        </is>
      </c>
      <c r="B19" s="6" t="n">
        <v>6830</v>
      </c>
      <c r="C19" s="6" t="n">
        <v>9375</v>
      </c>
      <c r="D19" s="6" t="n">
        <v>1951</v>
      </c>
      <c r="E19" s="6" t="n">
        <v>11326</v>
      </c>
    </row>
    <row r="20">
      <c r="A20" t="inlineStr">
        <is>
          <t>Drowned, Frozen &amp; Hung</t>
        </is>
      </c>
      <c r="B20" s="9" t="n">
        <v>70</v>
      </c>
      <c r="C20" s="9" t="n">
        <v>94</v>
      </c>
      <c r="D20" s="9" t="n">
        <v>13</v>
      </c>
      <c r="E20" s="9" t="n">
        <v>107</v>
      </c>
    </row>
    <row r="21">
      <c r="A21" t="inlineStr">
        <is>
          <t>Malformation</t>
        </is>
      </c>
      <c r="B21" s="9" t="n">
        <v>39</v>
      </c>
      <c r="C21" s="9" t="n">
        <v>24</v>
      </c>
      <c r="D21" s="9" t="n">
        <v>18</v>
      </c>
      <c r="E21" s="9" t="n">
        <v>42</v>
      </c>
    </row>
    <row r="22">
      <c r="A22" t="inlineStr">
        <is>
          <t>Childbirth &amp; Pregnancy</t>
        </is>
      </c>
      <c r="B22" s="6" t="n">
        <v>1361</v>
      </c>
      <c r="C22" t="inlineStr">
        <is>
          <t>—</t>
        </is>
      </c>
      <c r="D22" s="6" t="n">
        <v>2913</v>
      </c>
      <c r="E22" s="6" t="n">
        <v>2913</v>
      </c>
    </row>
    <row r="23">
      <c r="A23" t="inlineStr">
        <is>
          <t>Acute Poisoning</t>
        </is>
      </c>
      <c r="B23" s="9" t="n">
        <v>533</v>
      </c>
      <c r="C23" s="9" t="n">
        <v>385</v>
      </c>
      <c r="D23" s="9" t="n">
        <v>517</v>
      </c>
      <c r="E23" s="9" t="n">
        <v>902</v>
      </c>
    </row>
    <row r="24">
      <c r="A24" t="inlineStr">
        <is>
          <t>Chronic Poisoning</t>
        </is>
      </c>
      <c r="B24" s="9" t="n">
        <v>615</v>
      </c>
      <c r="C24" s="9" t="n">
        <v>654</v>
      </c>
      <c r="D24" s="9" t="n">
        <v>213</v>
      </c>
      <c r="E24" s="9" t="n">
        <v>867</v>
      </c>
    </row>
    <row r="25">
      <c r="A25" t="inlineStr">
        <is>
          <t>Tumours</t>
        </is>
      </c>
      <c r="B25" s="9" t="n">
        <v>593</v>
      </c>
      <c r="C25" s="9" t="n">
        <v>755</v>
      </c>
      <c r="D25" s="9" t="n">
        <v>427</v>
      </c>
      <c r="E25" s="6" t="n">
        <v>1182</v>
      </c>
    </row>
    <row r="26">
      <c r="A26" t="inlineStr">
        <is>
          <t>Parasites</t>
        </is>
      </c>
      <c r="B26" s="10" t="n">
        <v>3.305</v>
      </c>
      <c r="C26" s="6" t="n">
        <v>2776</v>
      </c>
      <c r="D26" s="6" t="n">
        <v>1513</v>
      </c>
      <c r="E26" s="6" t="n">
        <v>4299</v>
      </c>
    </row>
    <row r="27">
      <c r="A27" t="inlineStr">
        <is>
          <t>Beri-beri</t>
        </is>
      </c>
      <c r="B27" s="9" t="n">
        <v>315</v>
      </c>
      <c r="C27" s="9" t="n">
        <v>341</v>
      </c>
      <c r="D27" s="9" t="n">
        <v>309</v>
      </c>
      <c r="E27" s="9" t="n">
        <v>650</v>
      </c>
    </row>
    <row r="28">
      <c r="A28" t="inlineStr">
        <is>
          <t>Infectious Diseases</t>
        </is>
      </c>
      <c r="B28" s="6" t="n">
        <v>32644</v>
      </c>
      <c r="C28" s="6" t="n">
        <v>36160</v>
      </c>
      <c r="D28" s="6" t="n">
        <v>18393</v>
      </c>
      <c r="E28" s="6" t="n">
        <v>54553</v>
      </c>
    </row>
    <row r="29">
      <c r="A29" t="inlineStr">
        <is>
          <t>Unknown</t>
        </is>
      </c>
      <c r="B29" s="9" t="n">
        <v>563</v>
      </c>
      <c r="C29" s="9" t="n">
        <v>208</v>
      </c>
      <c r="D29" s="9" t="n">
        <v>109</v>
      </c>
      <c r="E29" s="9" t="n">
        <v>317</v>
      </c>
    </row>
    <row r="30">
      <c r="A30" t="inlineStr">
        <is>
          <t>Total incl. others</t>
        </is>
      </c>
      <c r="B30" t="inlineStr">
        <is>
          <t>—</t>
        </is>
      </c>
      <c r="C30" s="6" t="n">
        <v>120772</v>
      </c>
      <c r="D30" s="6" t="n">
        <v>65171</v>
      </c>
      <c r="E30" s="6" t="n">
        <v>185843</v>
      </c>
    </row>
    <row r="32">
      <c r="A32" s="2" t="inlineStr">
        <is>
          <t>Transcriber's notes</t>
        </is>
      </c>
    </row>
    <row r="33">
      <c r="A33" t="inlineStr">
        <is>
          <t>Total col '1937 — Male': printed 120,772, parts sum 120,758 — does NOT reconcile (diff -14)</t>
        </is>
      </c>
    </row>
    <row r="34">
      <c r="A34" t="inlineStr">
        <is>
          <t>Total col '1937 — Female': printed 65,171, parts sum 65,119 — does NOT reconcile (diff -52)</t>
        </is>
      </c>
    </row>
    <row r="35">
      <c r="A35" t="inlineStr">
        <is>
          <t>Total col '1937 — Total': printed 185,843, parts sum 185,887 — does NOT reconcile (diff +44)</t>
        </is>
      </c>
    </row>
    <row r="36">
      <c r="A36" t="inlineStr">
        <is>
          <t>Row 'Parasites': Male+Female parts sum 4,289 vs printed 4,299 — does NOT reconcile (diff -10)</t>
        </is>
      </c>
    </row>
    <row r="37">
      <c r="A37" t="inlineStr">
        <is>
          <t>Row 'Total incl. others': Male+Female parts sum 185,943 vs printed 185,843 — does NOT reconcile (diff +100)</t>
        </is>
      </c>
    </row>
    <row r="38">
      <c r="A38" t="inlineStr">
        <is>
          <t>Total row is 'Total incl. others', so column parts may legitimately fall short of it. 1936 Parasites printed '3.305' (period for comma)</t>
        </is>
      </c>
    </row>
  </sheetData>
  <hyperlinks>
    <hyperlink xmlns:r="http://schemas.openxmlformats.org/officeDocument/2006/relationships" ref="A3" r:id="rId1"/>
  </hyperlink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J4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4. Notifiable Infectious Diseases</t>
        </is>
      </c>
    </row>
    <row r="2">
      <c r="A2" t="inlineStr">
        <is>
          <t>Sanitation · printed pp. 687</t>
        </is>
      </c>
    </row>
    <row r="3">
      <c r="A3" s="3" t="inlineStr">
        <is>
          <t>← Contents</t>
        </is>
      </c>
    </row>
    <row r="5">
      <c r="A5" s="2" t="inlineStr">
        <is>
          <t>Block 1</t>
        </is>
      </c>
    </row>
    <row r="6">
      <c r="A6" s="5" t="inlineStr">
        <is>
          <t>Year</t>
        </is>
      </c>
      <c r="B6" s="5" t="inlineStr">
        <is>
          <t>Typhoid &amp; Paratyphoid fever — No. of cases</t>
        </is>
      </c>
      <c r="C6" s="5" t="inlineStr">
        <is>
          <t>Typhoid &amp; Paratyphoid fever — Dead</t>
        </is>
      </c>
      <c r="D6" s="5" t="inlineStr">
        <is>
          <t>Typhoid &amp; Paratyphoid fever — %</t>
        </is>
      </c>
      <c r="E6" s="5" t="inlineStr">
        <is>
          <t>Typhus — No. of cases</t>
        </is>
      </c>
      <c r="F6" s="5" t="inlineStr">
        <is>
          <t>Typhus — Dead</t>
        </is>
      </c>
      <c r="G6" s="5" t="inlineStr">
        <is>
          <t>Typhus — %</t>
        </is>
      </c>
      <c r="H6" s="5" t="inlineStr">
        <is>
          <t>Dysentery — No. of cases</t>
        </is>
      </c>
      <c r="I6" s="5" t="inlineStr">
        <is>
          <t>Dysentery — Dead</t>
        </is>
      </c>
      <c r="J6" s="5" t="inlineStr">
        <is>
          <t>Dysentery — %</t>
        </is>
      </c>
    </row>
    <row r="7">
      <c r="A7" s="9" t="n">
        <v>1935</v>
      </c>
      <c r="B7" s="6" t="n">
        <v>4549</v>
      </c>
      <c r="C7" s="9" t="n">
        <v>904</v>
      </c>
      <c r="D7" s="8" t="n">
        <v>19.8</v>
      </c>
      <c r="E7" s="6" t="n">
        <v>1220</v>
      </c>
      <c r="F7" s="9" t="n">
        <v>272</v>
      </c>
      <c r="G7" s="8" t="n">
        <v>22.3</v>
      </c>
      <c r="H7" s="6" t="n">
        <v>4583</v>
      </c>
      <c r="I7" s="9" t="n">
        <v>573</v>
      </c>
      <c r="J7" s="8" t="n">
        <v>12.5</v>
      </c>
    </row>
    <row r="8">
      <c r="A8" s="9" t="n">
        <v>1936</v>
      </c>
      <c r="B8" s="6" t="n">
        <v>6228</v>
      </c>
      <c r="C8" s="6" t="n">
        <v>1004</v>
      </c>
      <c r="D8" s="8" t="n">
        <v>16.1</v>
      </c>
      <c r="E8" s="6" t="n">
        <v>4496</v>
      </c>
      <c r="F8" s="9" t="n">
        <v>763</v>
      </c>
      <c r="G8" s="8" t="n">
        <v>17</v>
      </c>
      <c r="H8" s="6" t="n">
        <v>4894</v>
      </c>
      <c r="I8" s="9" t="n">
        <v>466</v>
      </c>
      <c r="J8" s="8" t="n">
        <v>9.5</v>
      </c>
    </row>
    <row r="9">
      <c r="A9" s="9" t="n">
        <v>1937</v>
      </c>
      <c r="B9" s="6" t="n">
        <v>14850</v>
      </c>
      <c r="C9" s="6" t="n">
        <v>2423</v>
      </c>
      <c r="D9" s="8" t="n">
        <v>16.4</v>
      </c>
      <c r="E9" s="6" t="n">
        <v>7349</v>
      </c>
      <c r="F9" s="6" t="n">
        <v>1025</v>
      </c>
      <c r="G9" s="8" t="n">
        <v>13.9</v>
      </c>
      <c r="H9" s="6" t="n">
        <v>6834</v>
      </c>
      <c r="I9" s="9" t="n">
        <v>803</v>
      </c>
      <c r="J9" s="8" t="n">
        <v>11.7</v>
      </c>
    </row>
    <row r="10">
      <c r="A10" s="9" t="n">
        <v>1938</v>
      </c>
      <c r="B10" s="6" t="n">
        <v>5207</v>
      </c>
      <c r="C10" s="9" t="n">
        <v>468</v>
      </c>
      <c r="D10" s="8" t="n">
        <v>9</v>
      </c>
      <c r="E10" s="6" t="n">
        <v>1395</v>
      </c>
      <c r="F10" s="9" t="n">
        <v>209</v>
      </c>
      <c r="G10" s="8" t="n">
        <v>14</v>
      </c>
      <c r="H10" s="6" t="n">
        <v>9185</v>
      </c>
      <c r="I10" s="9" t="n">
        <v>626</v>
      </c>
      <c r="J10" s="8" t="n">
        <v>6.8</v>
      </c>
    </row>
    <row r="11">
      <c r="A11" s="9" t="n">
        <v>1939</v>
      </c>
      <c r="B11" s="6" t="n">
        <v>5063</v>
      </c>
      <c r="C11" s="9" t="n">
        <v>514</v>
      </c>
      <c r="D11" s="8" t="n">
        <v>10.1</v>
      </c>
      <c r="E11" s="6" t="n">
        <v>1577</v>
      </c>
      <c r="F11" s="9" t="n">
        <v>254</v>
      </c>
      <c r="G11" s="8" t="n">
        <v>16.1</v>
      </c>
      <c r="H11" s="6" t="n">
        <v>8513</v>
      </c>
      <c r="I11" s="9" t="n">
        <v>659</v>
      </c>
      <c r="J11" s="8" t="n">
        <v>7.8</v>
      </c>
    </row>
    <row r="12">
      <c r="A12" s="9" t="n">
        <v>1940</v>
      </c>
      <c r="B12" s="6" t="n">
        <v>8482</v>
      </c>
      <c r="C12" s="6" t="n">
        <v>1024</v>
      </c>
      <c r="D12" s="8" t="n">
        <v>12.1</v>
      </c>
      <c r="E12" s="6" t="n">
        <v>2515</v>
      </c>
      <c r="F12" s="9" t="n">
        <v>276</v>
      </c>
      <c r="G12" s="8" t="n">
        <v>10.9</v>
      </c>
      <c r="H12" s="6" t="n">
        <v>9878</v>
      </c>
      <c r="I12" s="9" t="n">
        <v>666</v>
      </c>
      <c r="J12" s="8" t="n">
        <v>6.7</v>
      </c>
    </row>
    <row r="14">
      <c r="A14" s="2" t="inlineStr">
        <is>
          <t>Block 2</t>
        </is>
      </c>
    </row>
    <row r="15">
      <c r="A15" s="5" t="inlineStr">
        <is>
          <t>Year</t>
        </is>
      </c>
      <c r="B15" s="5" t="inlineStr">
        <is>
          <t>Smallpox — No. of cases</t>
        </is>
      </c>
      <c r="C15" s="5" t="inlineStr">
        <is>
          <t>Smallpox — Dead</t>
        </is>
      </c>
      <c r="D15" s="5" t="inlineStr">
        <is>
          <t>Smallpox — %</t>
        </is>
      </c>
      <c r="E15" s="5" t="inlineStr">
        <is>
          <t>Pest — No. of cases</t>
        </is>
      </c>
      <c r="F15" s="5" t="inlineStr">
        <is>
          <t>Pest — Dead</t>
        </is>
      </c>
      <c r="G15" s="5" t="inlineStr">
        <is>
          <t>Pest — %</t>
        </is>
      </c>
      <c r="H15" s="5" t="inlineStr">
        <is>
          <t>Cholera — No. of cases</t>
        </is>
      </c>
      <c r="I15" s="5" t="inlineStr">
        <is>
          <t>Cholera — Dead</t>
        </is>
      </c>
      <c r="J15" s="5" t="inlineStr">
        <is>
          <t>Cholera — %</t>
        </is>
      </c>
    </row>
    <row r="16">
      <c r="A16" s="9" t="n">
        <v>1935</v>
      </c>
      <c r="B16" s="6" t="n">
        <v>1629</v>
      </c>
      <c r="C16" s="9" t="n">
        <v>341</v>
      </c>
      <c r="D16" s="8" t="n">
        <v>20.9</v>
      </c>
      <c r="E16" s="9" t="n">
        <v>395</v>
      </c>
      <c r="F16" s="9" t="n">
        <v>389</v>
      </c>
      <c r="G16" s="8" t="n">
        <v>97.5</v>
      </c>
      <c r="H16" t="inlineStr">
        <is>
          <t>—</t>
        </is>
      </c>
      <c r="I16" t="inlineStr">
        <is>
          <t>—</t>
        </is>
      </c>
      <c r="J16" t="inlineStr">
        <is>
          <t>—</t>
        </is>
      </c>
    </row>
    <row r="17">
      <c r="A17" s="9" t="n">
        <v>1936</v>
      </c>
      <c r="B17" s="6" t="n">
        <v>1749</v>
      </c>
      <c r="C17" s="9" t="n">
        <v>441</v>
      </c>
      <c r="D17" s="8" t="n">
        <v>25.1</v>
      </c>
      <c r="E17" s="9" t="n">
        <v>150</v>
      </c>
      <c r="F17" s="9" t="n">
        <v>141</v>
      </c>
      <c r="G17" s="8" t="n">
        <v>94.2</v>
      </c>
      <c r="H17" s="9" t="n">
        <v>0</v>
      </c>
      <c r="I17" s="9" t="n">
        <v>0</v>
      </c>
      <c r="J17" s="9" t="n">
        <v>0</v>
      </c>
    </row>
    <row r="18">
      <c r="A18" s="9" t="n">
        <v>1937</v>
      </c>
      <c r="B18" s="6" t="n">
        <v>3064</v>
      </c>
      <c r="C18" s="9" t="n">
        <v>452</v>
      </c>
      <c r="D18" s="8" t="n">
        <v>14.8</v>
      </c>
      <c r="E18" s="9" t="n">
        <v>248</v>
      </c>
      <c r="F18" s="9" t="n">
        <v>239</v>
      </c>
      <c r="G18" s="8" t="n">
        <v>96.5</v>
      </c>
      <c r="H18" s="9" t="n">
        <v>1</v>
      </c>
      <c r="I18" s="9" t="n">
        <v>0</v>
      </c>
      <c r="J18" s="9" t="n">
        <v>0</v>
      </c>
    </row>
    <row r="19">
      <c r="A19" s="9" t="n">
        <v>1938</v>
      </c>
      <c r="B19" s="6" t="n">
        <v>1345</v>
      </c>
      <c r="C19" s="9" t="n">
        <v>171</v>
      </c>
      <c r="D19" s="8" t="n">
        <v>12.7</v>
      </c>
      <c r="E19" s="9" t="n">
        <v>718</v>
      </c>
      <c r="F19" s="9" t="n">
        <v>687</v>
      </c>
      <c r="G19" s="8" t="n">
        <v>96</v>
      </c>
      <c r="H19" s="9" t="n">
        <v>21</v>
      </c>
      <c r="I19" s="9" t="n">
        <v>9</v>
      </c>
      <c r="J19" s="8" t="n">
        <v>42.9</v>
      </c>
    </row>
    <row r="20">
      <c r="A20" s="9" t="n">
        <v>1939</v>
      </c>
      <c r="B20" s="6" t="n">
        <v>1005</v>
      </c>
      <c r="C20" s="9" t="n">
        <v>148</v>
      </c>
      <c r="D20" s="8" t="n">
        <v>14.8</v>
      </c>
      <c r="E20" s="9" t="n">
        <v>657</v>
      </c>
      <c r="F20" s="9" t="n">
        <v>500</v>
      </c>
      <c r="G20" s="8" t="n">
        <v>76</v>
      </c>
      <c r="H20" s="9" t="n">
        <v>0</v>
      </c>
      <c r="I20" s="9" t="n">
        <v>0</v>
      </c>
      <c r="J20" s="9" t="n">
        <v>0</v>
      </c>
    </row>
    <row r="21">
      <c r="A21" s="9" t="n">
        <v>1940</v>
      </c>
      <c r="B21" s="6" t="n">
        <v>1490</v>
      </c>
      <c r="C21" s="9" t="n">
        <v>241</v>
      </c>
      <c r="D21" s="8" t="n">
        <v>16.2</v>
      </c>
      <c r="E21" s="6" t="n">
        <v>2551</v>
      </c>
      <c r="F21" s="6" t="n">
        <v>2033</v>
      </c>
      <c r="G21" s="8" t="n">
        <v>79.7</v>
      </c>
      <c r="H21" s="9" t="n">
        <v>127</v>
      </c>
      <c r="I21" s="9" t="n">
        <v>65</v>
      </c>
      <c r="J21" s="8" t="n">
        <v>51.2</v>
      </c>
    </row>
    <row r="23">
      <c r="A23" s="2" t="inlineStr">
        <is>
          <t>Block 3</t>
        </is>
      </c>
    </row>
    <row r="24">
      <c r="A24" s="5" t="inlineStr">
        <is>
          <t>Year</t>
        </is>
      </c>
      <c r="B24" s="5" t="inlineStr">
        <is>
          <t>Diphteria — No. of cases</t>
        </is>
      </c>
      <c r="C24" s="5" t="inlineStr">
        <is>
          <t>Diphteria — Dead</t>
        </is>
      </c>
      <c r="D24" s="5" t="inlineStr">
        <is>
          <t>Diphteria — %</t>
        </is>
      </c>
      <c r="E24" s="5" t="inlineStr">
        <is>
          <t>Epidemic Cerebrospinal meningitis — No. of cases</t>
        </is>
      </c>
      <c r="F24" s="5" t="inlineStr">
        <is>
          <t>Epidemic Cerebrospinal meningitis — Dead</t>
        </is>
      </c>
      <c r="G24" s="5" t="inlineStr">
        <is>
          <t>Epidemic Cerebrospinal meningitis — %</t>
        </is>
      </c>
      <c r="H24" s="5" t="inlineStr">
        <is>
          <t>Scarlet Fever — No. of cases</t>
        </is>
      </c>
      <c r="I24" s="5" t="inlineStr">
        <is>
          <t>Scarlet Fever — Dead</t>
        </is>
      </c>
      <c r="J24" s="5" t="inlineStr">
        <is>
          <t>Scarlet Fever — %</t>
        </is>
      </c>
    </row>
    <row r="25">
      <c r="A25" s="9" t="n">
        <v>1935</v>
      </c>
      <c r="B25" s="9" t="n">
        <v>312</v>
      </c>
      <c r="C25" s="9" t="n">
        <v>77</v>
      </c>
      <c r="D25" s="8" t="n">
        <v>24.7</v>
      </c>
      <c r="E25" s="9" t="n">
        <v>426</v>
      </c>
      <c r="F25" s="9" t="n">
        <v>35</v>
      </c>
      <c r="G25" s="8" t="n">
        <v>8.199999999999999</v>
      </c>
      <c r="H25" t="inlineStr"/>
      <c r="I25" s="9" t="n">
        <v>314</v>
      </c>
      <c r="J25" s="8" t="n">
        <v>17</v>
      </c>
    </row>
    <row r="26">
      <c r="A26" s="9" t="n">
        <v>1936</v>
      </c>
      <c r="B26" s="9" t="n">
        <v>284</v>
      </c>
      <c r="C26" s="9" t="n">
        <v>70</v>
      </c>
      <c r="D26" s="8" t="n">
        <v>24.7</v>
      </c>
      <c r="E26" s="9" t="n">
        <v>185</v>
      </c>
      <c r="F26" s="9" t="n">
        <v>40</v>
      </c>
      <c r="G26" s="8" t="n">
        <v>21.6</v>
      </c>
      <c r="H26" s="6" t="n">
        <v>1102</v>
      </c>
      <c r="I26" s="9" t="n">
        <v>217</v>
      </c>
      <c r="J26" s="8" t="n">
        <v>19.7</v>
      </c>
    </row>
    <row r="27">
      <c r="A27" s="9" t="n">
        <v>1937</v>
      </c>
      <c r="B27" s="9" t="n">
        <v>238</v>
      </c>
      <c r="C27" s="9" t="n">
        <v>43</v>
      </c>
      <c r="D27" s="8" t="n">
        <v>28.1</v>
      </c>
      <c r="E27" s="9" t="n">
        <v>103</v>
      </c>
      <c r="F27" s="9" t="n">
        <v>20</v>
      </c>
      <c r="G27" s="8" t="n">
        <v>19.4</v>
      </c>
      <c r="H27" s="6" t="n">
        <v>1442</v>
      </c>
      <c r="I27" s="9" t="n">
        <v>267</v>
      </c>
      <c r="J27" s="8" t="n">
        <v>18.5</v>
      </c>
    </row>
    <row r="28">
      <c r="A28" s="9" t="n">
        <v>1938</v>
      </c>
      <c r="B28" s="9" t="n">
        <v>693</v>
      </c>
      <c r="C28" s="9" t="n">
        <v>129</v>
      </c>
      <c r="D28" s="8" t="n">
        <v>18.6</v>
      </c>
      <c r="E28" s="9" t="n">
        <v>193</v>
      </c>
      <c r="F28" s="9" t="n">
        <v>32</v>
      </c>
      <c r="G28" s="8" t="n">
        <v>16.6</v>
      </c>
      <c r="H28" s="6" t="n">
        <v>1947</v>
      </c>
      <c r="I28" s="9" t="n">
        <v>244</v>
      </c>
      <c r="J28" s="8" t="n">
        <v>12.5</v>
      </c>
    </row>
    <row r="29">
      <c r="A29" s="9" t="n">
        <v>1939</v>
      </c>
      <c r="B29" s="6" t="n">
        <v>1179</v>
      </c>
      <c r="C29" s="9" t="n">
        <v>191</v>
      </c>
      <c r="D29" s="8" t="n">
        <v>16.2</v>
      </c>
      <c r="E29" s="9" t="n">
        <v>191</v>
      </c>
      <c r="F29" s="9" t="n">
        <v>68</v>
      </c>
      <c r="G29" s="8" t="n">
        <v>35.6</v>
      </c>
      <c r="H29" s="6" t="n">
        <v>1303</v>
      </c>
      <c r="I29" s="9" t="n">
        <v>238</v>
      </c>
      <c r="J29" s="8" t="n">
        <v>18</v>
      </c>
    </row>
    <row r="30">
      <c r="A30" s="9" t="n">
        <v>1940</v>
      </c>
      <c r="B30" s="6" t="n">
        <v>1523</v>
      </c>
      <c r="C30" s="9" t="n">
        <v>201</v>
      </c>
      <c r="D30" s="8" t="n">
        <v>13.2</v>
      </c>
      <c r="E30" s="9" t="n">
        <v>359</v>
      </c>
      <c r="F30" s="9" t="n">
        <v>134</v>
      </c>
      <c r="G30" s="8" t="n">
        <v>37.3</v>
      </c>
      <c r="H30" s="6" t="n">
        <v>1650</v>
      </c>
      <c r="I30" s="9" t="n">
        <v>167</v>
      </c>
      <c r="J30" s="8" t="n">
        <v>10.1</v>
      </c>
    </row>
    <row r="32">
      <c r="A32" s="2" t="inlineStr">
        <is>
          <t>Transcriber's notes</t>
        </is>
      </c>
    </row>
    <row r="33">
      <c r="A33" t="inlineStr">
        <is>
          <t>No totals printed. Death-rate % checked against Dead/No. of cases; mismatches &gt; 0.1 point listed:</t>
        </is>
      </c>
    </row>
    <row r="34">
      <c r="A34" t="inlineStr">
        <is>
          <t>1938 Typhus: Dead/cases = 15.0% vs printed 14.0%</t>
        </is>
      </c>
    </row>
    <row r="35">
      <c r="A35" t="inlineStr">
        <is>
          <t>1935 Pest: Dead/cases = 98.5% vs printed 97.5%</t>
        </is>
      </c>
    </row>
    <row r="36">
      <c r="A36" t="inlineStr">
        <is>
          <t>1936 Pest: Dead/cases = 94.0% vs printed 94.2%</t>
        </is>
      </c>
    </row>
    <row r="37">
      <c r="A37" t="inlineStr">
        <is>
          <t>1938 Pest: Dead/cases = 95.7% vs printed 96.0%</t>
        </is>
      </c>
    </row>
    <row r="38">
      <c r="A38" t="inlineStr">
        <is>
          <t>1937 Diphteria: Dead/cases = 18.1% vs printed 28.1%</t>
        </is>
      </c>
    </row>
    <row r="39">
      <c r="A39" t="inlineStr">
        <is>
          <t>1939 Scarlet Fever: Dead/cases = 18.3% vs printed 18.0%</t>
        </is>
      </c>
    </row>
    <row r="40">
      <c r="A40" t="inlineStr">
        <is>
          <t>Scarlet Fever 1935 No. of cases: printed '1,84' + last digit broken/unreadable — left blank</t>
        </is>
      </c>
    </row>
    <row r="41">
      <c r="A41" t="inlineStr">
        <is>
          <t>Table printed in three blocks of three diseases each; one part per block. 'Diphteria' spelled as printed</t>
        </is>
      </c>
    </row>
  </sheetData>
  <hyperlinks>
    <hyperlink xmlns:r="http://schemas.openxmlformats.org/officeDocument/2006/relationships" ref="A3" r:id="rId1"/>
  </hyperlink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5. Death Rate of Japanese in Manchoukuo per 1,000 Population</t>
        </is>
      </c>
    </row>
    <row r="2">
      <c r="A2" t="inlineStr">
        <is>
          <t>Sanitation · printed pp. 688</t>
        </is>
      </c>
    </row>
    <row r="3">
      <c r="A3" s="3" t="inlineStr">
        <is>
          <t>← Contents</t>
        </is>
      </c>
    </row>
    <row r="5">
      <c r="A5" s="5" t="inlineStr">
        <is>
          <t>Diseases</t>
        </is>
      </c>
      <c r="B5" s="5" t="inlineStr">
        <is>
          <t>Japanese in Manchoukuo</t>
        </is>
      </c>
      <c r="C5" s="5" t="inlineStr">
        <is>
          <t>Japanese in Japan</t>
        </is>
      </c>
    </row>
    <row r="6">
      <c r="A6" t="inlineStr">
        <is>
          <t>Respiratory organs*</t>
        </is>
      </c>
      <c r="B6" s="11" t="n">
        <v>3.05</v>
      </c>
      <c r="C6" s="11" t="n">
        <v>2.9</v>
      </c>
    </row>
    <row r="7">
      <c r="A7" t="inlineStr">
        <is>
          <t>Digestive organs*</t>
        </is>
      </c>
      <c r="B7" s="11" t="n">
        <v>2.17</v>
      </c>
      <c r="C7" s="11" t="n">
        <v>3.46</v>
      </c>
    </row>
    <row r="8">
      <c r="A8" t="inlineStr">
        <is>
          <t>Tuberculosis</t>
        </is>
      </c>
      <c r="B8" s="11" t="n">
        <v>2.06</v>
      </c>
      <c r="C8" s="11" t="n">
        <v>1.91</v>
      </c>
    </row>
    <row r="9">
      <c r="A9" t="inlineStr">
        <is>
          <t>Epidemics</t>
        </is>
      </c>
      <c r="B9" s="11" t="n">
        <v>2.88</v>
      </c>
      <c r="C9" s="11" t="n">
        <v>1.29</v>
      </c>
    </row>
    <row r="10">
      <c r="A10" t="inlineStr">
        <is>
          <t>Total</t>
        </is>
      </c>
      <c r="B10" s="11" t="n">
        <v>15.2</v>
      </c>
      <c r="C10" s="11" t="n">
        <v>19.48</v>
      </c>
    </row>
    <row r="12">
      <c r="A12" s="2" t="inlineStr">
        <is>
          <t>Footnotes</t>
        </is>
      </c>
    </row>
    <row r="13">
      <c r="A13" t="inlineStr">
        <is>
          <t>Note: * excluding tuberculosis</t>
        </is>
      </c>
    </row>
    <row r="15">
      <c r="A15" s="2" t="inlineStr">
        <is>
          <t>Transcriber's notes</t>
        </is>
      </c>
    </row>
    <row r="16">
      <c r="A16" t="inlineStr">
        <is>
          <t>Total col 'Japanese in Manchoukuo': printed 15.20, parts sum 10.16 — does NOT reconcile (diff -5.04)</t>
        </is>
      </c>
    </row>
    <row r="17">
      <c r="A17" t="inlineStr">
        <is>
          <t>Total col 'Japanese in Japan': printed 19.48, parts sum 9.56 — does NOT reconcile (diff -9.92)</t>
        </is>
      </c>
    </row>
    <row r="18">
      <c r="A18" t="inlineStr">
        <is>
          <t>Totals are evidently all-cause death rates (they exceed the sum of the listed diseases), so non-reconciliation is expected</t>
        </is>
      </c>
    </row>
    <row r="19">
      <c r="A19" t="inlineStr">
        <is>
          <t>Manchoukuo Total printed '15.20' with a raised dot (as printed)</t>
        </is>
      </c>
    </row>
  </sheetData>
  <hyperlinks>
    <hyperlink xmlns:r="http://schemas.openxmlformats.org/officeDocument/2006/relationships" ref="A3" r:id="rId1"/>
  </hyperlink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6. Death Rate of School Children per 10,000</t>
        </is>
      </c>
    </row>
    <row r="2">
      <c r="A2" t="inlineStr">
        <is>
          <t>Sanitation · printed pp. 688</t>
        </is>
      </c>
    </row>
    <row r="3">
      <c r="A3" t="inlineStr">
        <is>
          <t>(Age between 5 &amp; 14)</t>
        </is>
      </c>
    </row>
    <row r="4">
      <c r="A4" s="3" t="inlineStr">
        <is>
          <t>← Contents</t>
        </is>
      </c>
    </row>
    <row r="6">
      <c r="A6" s="5" t="inlineStr">
        <is>
          <t>Diseases</t>
        </is>
      </c>
      <c r="B6" s="5" t="inlineStr">
        <is>
          <t>Japanese Children in Manchoukuo</t>
        </is>
      </c>
      <c r="C6" s="5" t="inlineStr">
        <is>
          <t>Japanese Children in Japan</t>
        </is>
      </c>
    </row>
    <row r="7">
      <c r="A7" t="inlineStr">
        <is>
          <t>Tuberculosis</t>
        </is>
      </c>
      <c r="B7" s="8" t="n">
        <v>12.5</v>
      </c>
      <c r="C7" s="8" t="n">
        <v>7.6</v>
      </c>
    </row>
    <row r="8">
      <c r="A8" t="inlineStr">
        <is>
          <t>Epidemics</t>
        </is>
      </c>
      <c r="B8" s="8" t="n">
        <v>16.7</v>
      </c>
      <c r="C8" s="8" t="n">
        <v>5.6</v>
      </c>
    </row>
    <row r="9">
      <c r="A9" t="inlineStr">
        <is>
          <t>Respiratory organ</t>
        </is>
      </c>
      <c r="B9" s="8" t="n">
        <v>8.5</v>
      </c>
      <c r="C9" s="8" t="n">
        <v>5.3</v>
      </c>
    </row>
    <row r="10">
      <c r="A10" t="inlineStr">
        <is>
          <t>Digestive organ</t>
        </is>
      </c>
      <c r="B10" s="8" t="n">
        <v>7.5</v>
      </c>
      <c r="C10" s="8" t="n">
        <v>6.5</v>
      </c>
    </row>
    <row r="11">
      <c r="A11" t="inlineStr">
        <is>
          <t>Meningitis</t>
        </is>
      </c>
      <c r="B11" s="8" t="n">
        <v>2.1</v>
      </c>
      <c r="C11" s="8" t="n">
        <v>4.7</v>
      </c>
    </row>
    <row r="12">
      <c r="A12" t="inlineStr">
        <is>
          <t>Total</t>
        </is>
      </c>
      <c r="B12" s="8" t="n">
        <v>56.9</v>
      </c>
      <c r="C12" s="8" t="n">
        <v>39.1</v>
      </c>
    </row>
    <row r="14">
      <c r="A14" s="2" t="inlineStr">
        <is>
          <t>Transcriber's notes</t>
        </is>
      </c>
    </row>
    <row r="15">
      <c r="A15" t="inlineStr">
        <is>
          <t>Total col 'Japanese Children in Manchoukuo': printed 56.9, parts sum 47.3 — does NOT reconcile (diff -9.6)</t>
        </is>
      </c>
    </row>
    <row r="16">
      <c r="A16" t="inlineStr">
        <is>
          <t>Total col 'Japanese Children in Japan': printed 39.1, parts sum 29.7 — does NOT reconcile (diff -9.4)</t>
        </is>
      </c>
    </row>
    <row r="17">
      <c r="A17" t="inlineStr">
        <is>
          <t>Totals are evidently all-cause death rates (they exceed the sum of the listed diseases), so non-reconciliation is expected</t>
        </is>
      </c>
    </row>
  </sheetData>
  <hyperlinks>
    <hyperlink xmlns:r="http://schemas.openxmlformats.org/officeDocument/2006/relationships" ref="A4" r:id="rId1"/>
  </hyperlink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7. Foreign Hospitals</t>
        </is>
      </c>
    </row>
    <row r="2">
      <c r="A2" t="inlineStr">
        <is>
          <t>Sanitation · printed pp. 694</t>
        </is>
      </c>
    </row>
    <row r="3">
      <c r="A3" s="3" t="inlineStr">
        <is>
          <t>← Contents</t>
        </is>
      </c>
    </row>
    <row r="5">
      <c r="A5" s="5" t="inlineStr">
        <is>
          <t>Hospital</t>
        </is>
      </c>
      <c r="B5" s="5" t="inlineStr">
        <is>
          <t>Location</t>
        </is>
      </c>
      <c r="C5" s="5" t="inlineStr">
        <is>
          <t>Nationality</t>
        </is>
      </c>
    </row>
    <row r="6">
      <c r="A6" t="inlineStr">
        <is>
          <t>Christian Free Hospital</t>
        </is>
      </c>
      <c r="B6" t="inlineStr">
        <is>
          <t>Hsinking</t>
        </is>
      </c>
      <c r="C6" t="inlineStr">
        <is>
          <t>British</t>
        </is>
      </c>
    </row>
    <row r="7">
      <c r="A7" t="inlineStr">
        <is>
          <t>Hsinking Christian Hospital for Women</t>
        </is>
      </c>
      <c r="B7" t="inlineStr">
        <is>
          <t>"</t>
        </is>
      </c>
      <c r="C7" t="inlineStr">
        <is>
          <t>"</t>
        </is>
      </c>
    </row>
    <row r="8">
      <c r="A8" t="inlineStr">
        <is>
          <t>Hsinking Free Hospital</t>
        </is>
      </c>
      <c r="B8" t="inlineStr">
        <is>
          <t>"</t>
        </is>
      </c>
      <c r="C8" t="inlineStr">
        <is>
          <t>French</t>
        </is>
      </c>
    </row>
    <row r="9">
      <c r="A9" t="inlineStr">
        <is>
          <t>Christian Hospital for Women</t>
        </is>
      </c>
      <c r="B9" t="inlineStr">
        <is>
          <t>Chinchow</t>
        </is>
      </c>
      <c r="C9" t="inlineStr">
        <is>
          <t>British</t>
        </is>
      </c>
    </row>
    <row r="10">
      <c r="A10" t="inlineStr">
        <is>
          <t>Liaoyang Hospital for Women</t>
        </is>
      </c>
      <c r="B10" t="inlineStr">
        <is>
          <t>Liaoyang</t>
        </is>
      </c>
      <c r="C10" t="inlineStr">
        <is>
          <t>"</t>
        </is>
      </c>
    </row>
    <row r="11">
      <c r="A11" t="inlineStr">
        <is>
          <t>British Hospital</t>
        </is>
      </c>
      <c r="B11" t="inlineStr">
        <is>
          <t>Hailung</t>
        </is>
      </c>
      <c r="C11" t="inlineStr">
        <is>
          <t>"</t>
        </is>
      </c>
    </row>
    <row r="12">
      <c r="A12" t="inlineStr">
        <is>
          <t>Puai Hospital</t>
        </is>
      </c>
      <c r="B12" t="inlineStr">
        <is>
          <t>Hsinminfu</t>
        </is>
      </c>
      <c r="C12" t="inlineStr">
        <is>
          <t>"</t>
        </is>
      </c>
    </row>
    <row r="13">
      <c r="A13" t="inlineStr">
        <is>
          <t>Weimei Hospital</t>
        </is>
      </c>
      <c r="B13" t="inlineStr">
        <is>
          <t>Hsinminfu</t>
        </is>
      </c>
      <c r="C13" t="inlineStr">
        <is>
          <t>"</t>
        </is>
      </c>
    </row>
    <row r="14">
      <c r="A14" t="inlineStr">
        <is>
          <t>Free Hospital of Tiehling Christian Church</t>
        </is>
      </c>
      <c r="B14" t="inlineStr">
        <is>
          <t>Tiehling</t>
        </is>
      </c>
      <c r="C14" t="inlineStr">
        <is>
          <t>"</t>
        </is>
      </c>
    </row>
    <row r="15">
      <c r="A15" t="inlineStr">
        <is>
          <t>Kaiyuan Christian Church Hospital</t>
        </is>
      </c>
      <c r="B15" t="inlineStr">
        <is>
          <t>Kaiyuan</t>
        </is>
      </c>
      <c r="C15" t="inlineStr">
        <is>
          <t>"</t>
        </is>
      </c>
    </row>
    <row r="16">
      <c r="A16" t="inlineStr">
        <is>
          <t>Fakumen Christian Church Hospital</t>
        </is>
      </c>
      <c r="B16" t="inlineStr">
        <is>
          <t>Fakumen</t>
        </is>
      </c>
      <c r="C16" t="inlineStr">
        <is>
          <t>"</t>
        </is>
      </c>
    </row>
    <row r="17">
      <c r="A17" t="inlineStr">
        <is>
          <t>Kirin Anglican Church Hospital</t>
        </is>
      </c>
      <c r="B17" t="inlineStr">
        <is>
          <t>Kirin</t>
        </is>
      </c>
      <c r="C17" t="inlineStr">
        <is>
          <t>"</t>
        </is>
      </c>
    </row>
    <row r="18">
      <c r="A18" t="inlineStr">
        <is>
          <t>Antung Danish Hospital</t>
        </is>
      </c>
      <c r="B18" t="inlineStr">
        <is>
          <t>Antung</t>
        </is>
      </c>
      <c r="C18" t="inlineStr">
        <is>
          <t>Danish</t>
        </is>
      </c>
    </row>
    <row r="19">
      <c r="A19" t="inlineStr">
        <is>
          <t>Hsishan Hospital</t>
        </is>
      </c>
      <c r="B19" t="inlineStr">
        <is>
          <t>Hsiuyenhsiencheng</t>
        </is>
      </c>
      <c r="C19" t="inlineStr">
        <is>
          <t>"</t>
        </is>
      </c>
    </row>
    <row r="20">
      <c r="A20" t="inlineStr">
        <is>
          <t>Chenghonan Hospital</t>
        </is>
      </c>
      <c r="B20" t="inlineStr">
        <is>
          <t>Chenghonan</t>
        </is>
      </c>
      <c r="C20" t="inlineStr">
        <is>
          <t>British</t>
        </is>
      </c>
    </row>
    <row r="21">
      <c r="A21" t="inlineStr">
        <is>
          <t>Tsichang Hospital</t>
        </is>
      </c>
      <c r="B21" t="inlineStr">
        <is>
          <t>Lungtsingtsun</t>
        </is>
      </c>
      <c r="C21" t="inlineStr">
        <is>
          <t>Canadian</t>
        </is>
      </c>
    </row>
    <row r="23">
      <c r="A23" s="2" t="inlineStr">
        <is>
          <t>Transcriber's notes</t>
        </is>
      </c>
    </row>
    <row r="24">
      <c r="A24" t="inlineStr">
        <is>
          <t>Ditto marks (,,) transcribed as '"'</t>
        </is>
      </c>
    </row>
    <row r="25">
      <c r="A25" t="inlineStr">
        <is>
          <t>Nationality entries for the last rows are set slightly above their lines (Danish, British, Canadian); aligned by reading order</t>
        </is>
      </c>
    </row>
  </sheetData>
  <hyperlinks>
    <hyperlink xmlns:r="http://schemas.openxmlformats.org/officeDocument/2006/relationships" ref="A3" r:id="rId1"/>
  </hyperlink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8. No. of Registered Opium and Other Narcotics Addicts</t>
        </is>
      </c>
    </row>
    <row r="2">
      <c r="A2" t="inlineStr">
        <is>
          <t>Sanitation · printed pp. 698</t>
        </is>
      </c>
    </row>
    <row r="3">
      <c r="A3" t="inlineStr">
        <is>
          <t>(1939)</t>
        </is>
      </c>
    </row>
    <row r="4">
      <c r="A4" s="3" t="inlineStr">
        <is>
          <t>← Contents</t>
        </is>
      </c>
    </row>
    <row r="6">
      <c r="A6" s="5" t="inlineStr">
        <is>
          <t>Province</t>
        </is>
      </c>
      <c r="B6" s="5" t="inlineStr">
        <is>
          <t>No. of Hospital</t>
        </is>
      </c>
      <c r="C6" s="5" t="inlineStr">
        <is>
          <t>No. of Clinics</t>
        </is>
      </c>
      <c r="D6" s="5" t="inlineStr">
        <is>
          <t>Opium Addicts</t>
        </is>
      </c>
      <c r="E6" s="5" t="inlineStr">
        <is>
          <t>Morphine Addicts</t>
        </is>
      </c>
    </row>
    <row r="7">
      <c r="A7" t="inlineStr">
        <is>
          <t>Hsinking</t>
        </is>
      </c>
      <c r="B7" s="9" t="n">
        <v>2</v>
      </c>
      <c r="C7" s="9" t="n">
        <v>35</v>
      </c>
      <c r="D7" s="6" t="n">
        <v>7259</v>
      </c>
      <c r="E7" s="9" t="n">
        <v>91</v>
      </c>
    </row>
    <row r="8">
      <c r="A8" t="inlineStr">
        <is>
          <t>Kirin</t>
        </is>
      </c>
      <c r="B8" s="9" t="n">
        <v>14</v>
      </c>
      <c r="C8" s="9" t="n">
        <v>276</v>
      </c>
      <c r="D8" s="6" t="n">
        <v>80726</v>
      </c>
      <c r="E8" s="6" t="n">
        <v>3721</v>
      </c>
    </row>
    <row r="9">
      <c r="A9" t="inlineStr">
        <is>
          <t>Lungkiang</t>
        </is>
      </c>
      <c r="B9" s="9" t="n">
        <v>21</v>
      </c>
      <c r="C9" s="9" t="n">
        <v>48</v>
      </c>
      <c r="D9" s="6" t="n">
        <v>17070</v>
      </c>
      <c r="E9" s="9" t="n">
        <v>841</v>
      </c>
    </row>
    <row r="10">
      <c r="A10" t="inlineStr">
        <is>
          <t>Peian</t>
        </is>
      </c>
      <c r="B10" s="9" t="n">
        <v>17</v>
      </c>
      <c r="C10" s="9" t="n">
        <v>104</v>
      </c>
      <c r="D10" s="6" t="n">
        <v>63244</v>
      </c>
      <c r="E10" s="9" t="n">
        <v>458</v>
      </c>
    </row>
    <row r="11">
      <c r="A11" t="inlineStr">
        <is>
          <t>Heiho</t>
        </is>
      </c>
      <c r="B11" s="9" t="n">
        <v>1</v>
      </c>
      <c r="C11" s="9" t="n">
        <v>50</v>
      </c>
      <c r="D11" s="6" t="n">
        <v>17119</v>
      </c>
      <c r="E11" s="9" t="n">
        <v>489</v>
      </c>
    </row>
    <row r="12">
      <c r="A12" t="inlineStr">
        <is>
          <t>Sankiang</t>
        </is>
      </c>
      <c r="B12" s="9" t="n">
        <v>7</v>
      </c>
      <c r="C12" s="9" t="n">
        <v>68</v>
      </c>
      <c r="D12" s="6" t="n">
        <v>56235</v>
      </c>
      <c r="E12" s="9" t="n">
        <v>649</v>
      </c>
    </row>
    <row r="13">
      <c r="A13" t="inlineStr">
        <is>
          <t>Tungan</t>
        </is>
      </c>
      <c r="B13" t="inlineStr">
        <is>
          <t>—</t>
        </is>
      </c>
      <c r="C13" s="9" t="n">
        <v>31</v>
      </c>
      <c r="D13" s="6" t="n">
        <v>13546</v>
      </c>
      <c r="E13" s="9" t="n">
        <v>38</v>
      </c>
    </row>
    <row r="14">
      <c r="A14" t="inlineStr">
        <is>
          <t>Mutankiang</t>
        </is>
      </c>
      <c r="B14" s="9" t="n">
        <v>3</v>
      </c>
      <c r="C14" s="9" t="n">
        <v>25</v>
      </c>
      <c r="D14" s="6" t="n">
        <v>25966</v>
      </c>
      <c r="E14" s="9" t="n">
        <v>88</v>
      </c>
    </row>
    <row r="15">
      <c r="A15" t="inlineStr">
        <is>
          <t>Pinkiang</t>
        </is>
      </c>
      <c r="B15" s="9" t="n">
        <v>14</v>
      </c>
      <c r="C15" s="9" t="n">
        <v>208</v>
      </c>
      <c r="D15" s="6" t="n">
        <v>64877</v>
      </c>
      <c r="E15" s="9" t="n">
        <v>762</v>
      </c>
    </row>
    <row r="16">
      <c r="A16" t="inlineStr">
        <is>
          <t>Chientao</t>
        </is>
      </c>
      <c r="B16" s="9" t="n">
        <v>4</v>
      </c>
      <c r="C16" s="9" t="n">
        <v>31</v>
      </c>
      <c r="D16" s="6" t="n">
        <v>4713</v>
      </c>
      <c r="E16" s="9" t="n">
        <v>395</v>
      </c>
    </row>
    <row r="17">
      <c r="A17" t="inlineStr">
        <is>
          <t>Tunghua</t>
        </is>
      </c>
      <c r="B17" s="9" t="n">
        <v>3</v>
      </c>
      <c r="C17" s="9" t="n">
        <v>58</v>
      </c>
      <c r="D17" s="6" t="n">
        <v>10981</v>
      </c>
      <c r="E17" s="9" t="n">
        <v>159</v>
      </c>
    </row>
    <row r="18">
      <c r="A18" t="inlineStr">
        <is>
          <t>Antung</t>
        </is>
      </c>
      <c r="B18" s="9" t="n">
        <v>3</v>
      </c>
      <c r="C18" s="9" t="n">
        <v>43</v>
      </c>
      <c r="D18" s="6" t="n">
        <v>6149</v>
      </c>
      <c r="E18" s="9" t="n">
        <v>262</v>
      </c>
    </row>
    <row r="19">
      <c r="A19" t="inlineStr">
        <is>
          <t>Fengtien</t>
        </is>
      </c>
      <c r="B19" s="9" t="n">
        <v>31</v>
      </c>
      <c r="C19" s="9" t="n">
        <v>348</v>
      </c>
      <c r="D19" s="6" t="n">
        <v>59954</v>
      </c>
      <c r="E19" s="6" t="n">
        <v>3883</v>
      </c>
    </row>
    <row r="20">
      <c r="A20" t="inlineStr">
        <is>
          <t>Chinchow</t>
        </is>
      </c>
      <c r="B20" s="9" t="n">
        <v>8</v>
      </c>
      <c r="C20" s="9" t="n">
        <v>117</v>
      </c>
      <c r="D20" s="6" t="n">
        <v>32578</v>
      </c>
      <c r="E20" s="6" t="n">
        <v>7816</v>
      </c>
    </row>
    <row r="21">
      <c r="A21" t="inlineStr">
        <is>
          <t>Jehol</t>
        </is>
      </c>
      <c r="B21" s="9" t="n">
        <v>6</v>
      </c>
      <c r="C21" s="9" t="n">
        <v>344</v>
      </c>
      <c r="D21" s="6" t="n">
        <v>86365</v>
      </c>
      <c r="E21" s="6" t="n">
        <v>5772</v>
      </c>
    </row>
    <row r="22">
      <c r="A22" t="inlineStr">
        <is>
          <t>Hsingan W.</t>
        </is>
      </c>
      <c r="B22" t="inlineStr">
        <is>
          <t>—</t>
        </is>
      </c>
      <c r="C22" s="9" t="n">
        <v>29</v>
      </c>
      <c r="D22" s="6" t="n">
        <v>6221</v>
      </c>
      <c r="E22" s="9" t="n">
        <v>85</v>
      </c>
    </row>
    <row r="23">
      <c r="A23" t="inlineStr">
        <is>
          <t>Hsingan S.</t>
        </is>
      </c>
      <c r="B23" s="9" t="n">
        <v>2</v>
      </c>
      <c r="C23" s="9" t="n">
        <v>19</v>
      </c>
      <c r="D23" s="6" t="n">
        <v>4624</v>
      </c>
      <c r="E23" s="9" t="n">
        <v>18</v>
      </c>
    </row>
    <row r="24">
      <c r="A24" t="inlineStr">
        <is>
          <t>Hsingan E.</t>
        </is>
      </c>
      <c r="B24" s="9" t="n">
        <v>1</v>
      </c>
      <c r="C24" s="9" t="n">
        <v>9</v>
      </c>
      <c r="D24" s="6" t="n">
        <v>3469</v>
      </c>
      <c r="E24" t="inlineStr">
        <is>
          <t>—</t>
        </is>
      </c>
    </row>
    <row r="25">
      <c r="A25" t="inlineStr">
        <is>
          <t>Hsingan N.</t>
        </is>
      </c>
      <c r="B25" t="inlineStr">
        <is>
          <t>—</t>
        </is>
      </c>
      <c r="C25" s="9" t="n">
        <v>22</v>
      </c>
      <c r="D25" s="6" t="n">
        <v>3861</v>
      </c>
      <c r="E25" t="inlineStr">
        <is>
          <t>—</t>
        </is>
      </c>
    </row>
    <row r="26">
      <c r="A26" t="inlineStr">
        <is>
          <t>Total</t>
        </is>
      </c>
      <c r="B26" s="9" t="n">
        <v>137</v>
      </c>
      <c r="C26" s="6" t="n">
        <v>1865</v>
      </c>
      <c r="D26" s="6" t="n">
        <v>564968</v>
      </c>
      <c r="E26" s="6" t="n">
        <v>25517</v>
      </c>
    </row>
    <row r="28">
      <c r="A28" s="2" t="inlineStr">
        <is>
          <t>Transcriber's notes</t>
        </is>
      </c>
    </row>
    <row r="29">
      <c r="A29" t="inlineStr">
        <is>
          <t>Total col 'No. of Hospital': printed 137, parts sum 137 — reconciles</t>
        </is>
      </c>
    </row>
    <row r="30">
      <c r="A30" t="inlineStr">
        <is>
          <t>Total col 'No. of Clinics': printed 1,865, parts sum 1,865 — reconciles</t>
        </is>
      </c>
    </row>
    <row r="31">
      <c r="A31" t="inlineStr">
        <is>
          <t>Total col 'Opium Addicts': printed 564,968, parts sum 564,957 — does NOT reconcile (diff -11)</t>
        </is>
      </c>
    </row>
    <row r="32">
      <c r="A32" t="inlineStr">
        <is>
          <t>Total col 'Morphine Addicts': printed 25,517, parts sum 25,527 — does NOT reconcile (diff +10)</t>
        </is>
      </c>
    </row>
    <row r="33">
      <c r="A33" t="inlineStr">
        <is>
          <t>Total row printed in old-style numerals</t>
        </is>
      </c>
    </row>
    <row r="34">
      <c r="A34" t="inlineStr">
        <is>
          <t>Opium and Morphine columns re-read under magnification; discrepancies (-11, +10) stand as printed</t>
        </is>
      </c>
    </row>
  </sheetData>
  <hyperlinks>
    <hyperlink xmlns:r="http://schemas.openxmlformats.org/officeDocument/2006/relationships" ref="A4" r:id="rId1"/>
  </hyperlink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9. Ten-Year Addict Relief Program</t>
        </is>
      </c>
    </row>
    <row r="2">
      <c r="A2" t="inlineStr">
        <is>
          <t>Sanitation · printed pp. 699</t>
        </is>
      </c>
    </row>
    <row r="3">
      <c r="A3" s="3" t="inlineStr">
        <is>
          <t>← Contents</t>
        </is>
      </c>
    </row>
    <row r="5">
      <c r="A5" s="5" t="inlineStr">
        <is>
          <t>Year</t>
        </is>
      </c>
      <c r="B5" s="5" t="inlineStr">
        <is>
          <t>State Opium-Smoking Houses — Existing</t>
        </is>
      </c>
      <c r="C5" s="5" t="inlineStr">
        <is>
          <t>State Opium-Smoking Houses — New</t>
        </is>
      </c>
      <c r="D5" s="5" t="inlineStr">
        <is>
          <t>State Opium-Smoking Houses — Total</t>
        </is>
      </c>
      <c r="E5" s="5" t="inlineStr">
        <is>
          <t>Accommodation Capacity</t>
        </is>
      </c>
      <c r="F5" s="5" t="inlineStr">
        <is>
          <t>No. of persons admitted per annum</t>
        </is>
      </c>
      <c r="G5" s="5" t="inlineStr">
        <is>
          <t>No. of addicts</t>
        </is>
      </c>
    </row>
    <row r="6">
      <c r="A6" s="9" t="n">
        <v>1938</v>
      </c>
      <c r="B6" s="9" t="n">
        <v>46</v>
      </c>
      <c r="C6" t="inlineStr">
        <is>
          <t>—</t>
        </is>
      </c>
      <c r="D6" s="9" t="n">
        <v>46</v>
      </c>
      <c r="E6" s="6" t="n">
        <v>2672</v>
      </c>
      <c r="F6" s="6" t="n">
        <v>19704</v>
      </c>
      <c r="G6" s="6" t="n">
        <v>880296</v>
      </c>
    </row>
    <row r="7">
      <c r="A7" s="9" t="n">
        <v>1939</v>
      </c>
      <c r="B7" s="9" t="n">
        <v>46</v>
      </c>
      <c r="C7" s="9" t="n">
        <v>126</v>
      </c>
      <c r="D7" s="9" t="n">
        <v>172</v>
      </c>
      <c r="E7" s="6" t="n">
        <v>12162</v>
      </c>
      <c r="F7" s="6" t="n">
        <v>85194</v>
      </c>
      <c r="G7" s="6" t="n">
        <v>795162</v>
      </c>
    </row>
    <row r="8">
      <c r="A8" s="9" t="n">
        <v>1940</v>
      </c>
      <c r="B8" s="9" t="n">
        <v>172</v>
      </c>
      <c r="C8" s="9" t="n">
        <v>30</v>
      </c>
      <c r="D8" s="9" t="n">
        <v>202</v>
      </c>
      <c r="E8" s="6" t="n">
        <v>13662</v>
      </c>
      <c r="F8" s="6" t="n">
        <v>95674</v>
      </c>
      <c r="G8" s="6" t="n">
        <v>699528</v>
      </c>
    </row>
    <row r="9">
      <c r="A9" s="9" t="n">
        <v>1941</v>
      </c>
      <c r="B9" s="9" t="n">
        <v>202</v>
      </c>
      <c r="C9" t="inlineStr">
        <is>
          <t>—</t>
        </is>
      </c>
      <c r="D9" s="9" t="n">
        <v>202</v>
      </c>
      <c r="E9" s="6" t="n">
        <v>13662</v>
      </c>
      <c r="F9" s="6" t="n">
        <v>95674</v>
      </c>
      <c r="G9" s="6" t="n">
        <v>603894</v>
      </c>
    </row>
    <row r="10">
      <c r="A10" s="9" t="n">
        <v>1942</v>
      </c>
      <c r="B10" s="9" t="n">
        <v>202</v>
      </c>
      <c r="C10" t="inlineStr">
        <is>
          <t>—</t>
        </is>
      </c>
      <c r="D10" s="9" t="n">
        <v>202</v>
      </c>
      <c r="E10" s="6" t="n">
        <v>13662</v>
      </c>
      <c r="F10" s="6" t="n">
        <v>95674</v>
      </c>
      <c r="G10" s="6" t="n">
        <v>508260</v>
      </c>
    </row>
    <row r="11">
      <c r="A11" s="9" t="n">
        <v>1943</v>
      </c>
      <c r="B11" s="9" t="n">
        <v>202</v>
      </c>
      <c r="C11" t="inlineStr">
        <is>
          <t>—</t>
        </is>
      </c>
      <c r="D11" s="9" t="n">
        <v>202</v>
      </c>
      <c r="E11" s="6" t="n">
        <v>13662</v>
      </c>
      <c r="F11" s="6" t="n">
        <v>95674</v>
      </c>
      <c r="G11" s="6" t="n">
        <v>412262</v>
      </c>
    </row>
    <row r="12">
      <c r="A12" s="9" t="n">
        <v>1944</v>
      </c>
      <c r="B12" s="9" t="n">
        <v>202</v>
      </c>
      <c r="C12" t="inlineStr">
        <is>
          <t>—</t>
        </is>
      </c>
      <c r="D12" s="9" t="n">
        <v>202</v>
      </c>
      <c r="E12" s="6" t="n">
        <v>13662</v>
      </c>
      <c r="F12" s="6" t="n">
        <v>95674</v>
      </c>
      <c r="G12" s="6" t="n">
        <v>916992</v>
      </c>
    </row>
    <row r="13">
      <c r="A13" s="9" t="n">
        <v>1945</v>
      </c>
      <c r="B13" s="9" t="n">
        <v>202</v>
      </c>
      <c r="C13" t="inlineStr">
        <is>
          <t>—</t>
        </is>
      </c>
      <c r="D13" s="9" t="n">
        <v>202</v>
      </c>
      <c r="E13" s="6" t="n">
        <v>13662</v>
      </c>
      <c r="F13" s="6" t="n">
        <v>95674</v>
      </c>
      <c r="G13" s="6" t="n">
        <v>221358</v>
      </c>
    </row>
    <row r="14">
      <c r="A14" s="9" t="n">
        <v>1946</v>
      </c>
      <c r="B14" s="9" t="n">
        <v>202</v>
      </c>
      <c r="C14" t="inlineStr">
        <is>
          <t>—</t>
        </is>
      </c>
      <c r="D14" s="9" t="n">
        <v>202</v>
      </c>
      <c r="E14" s="6" t="n">
        <v>13662</v>
      </c>
      <c r="F14" s="6" t="n">
        <v>95674</v>
      </c>
      <c r="G14" s="6" t="n">
        <v>125724</v>
      </c>
    </row>
    <row r="15">
      <c r="A15" s="9" t="n">
        <v>1947</v>
      </c>
      <c r="B15" s="9" t="n">
        <v>202</v>
      </c>
      <c r="C15" t="inlineStr">
        <is>
          <t>—</t>
        </is>
      </c>
      <c r="D15" s="9" t="n">
        <v>202</v>
      </c>
      <c r="E15" s="6" t="n">
        <v>13662</v>
      </c>
      <c r="F15" s="6" t="n">
        <v>95674</v>
      </c>
      <c r="G15" s="6" t="n">
        <v>30090</v>
      </c>
    </row>
    <row r="16">
      <c r="A16" t="inlineStr">
        <is>
          <t>[Total]</t>
        </is>
      </c>
      <c r="B16" t="inlineStr"/>
      <c r="C16" t="inlineStr"/>
      <c r="D16" t="inlineStr"/>
      <c r="E16" t="inlineStr"/>
      <c r="F16" s="6" t="n">
        <v>870290</v>
      </c>
      <c r="G16" t="inlineStr"/>
    </row>
    <row r="18">
      <c r="A18" s="2" t="inlineStr">
        <is>
          <t>Footnotes</t>
        </is>
      </c>
    </row>
    <row r="19">
      <c r="A19" t="inlineStr">
        <is>
          <t>Note: The period of accommodation for each addict is 50 days. Estimating the total number of addicts in 1938 at 900,000 of whom about 50,000 will be cured or will die during the 10-year period over which this program spreads, it is indicated that there will be no addicts left by the end of 1947 (the 14th year of Kangte)</t>
        </is>
      </c>
    </row>
    <row r="21">
      <c r="A21" s="2" t="inlineStr">
        <is>
          <t>Transcriber's notes</t>
        </is>
      </c>
    </row>
    <row r="22">
      <c r="A22" t="inlineStr">
        <is>
          <t>Existing + New = Total for every year — reconciles</t>
        </is>
      </c>
    </row>
    <row r="23">
      <c r="A23" t="inlineStr">
        <is>
          <t>Unlabelled total 870,290 printed under 'No. of persons admitted per annum': parts sum 870,290 — reconciles</t>
        </is>
      </c>
    </row>
    <row r="24">
      <c r="A24" t="inlineStr">
        <is>
          <t>The total row has no printed label; '[Total]' supplied. 1939 New '126' last digit slightly damaged</t>
        </is>
      </c>
    </row>
    <row r="25">
      <c r="A25" t="inlineStr">
        <is>
          <t>No. of addicts 1944 printed '916,992' — out of sequence (the series otherwise falls ~95,634 a year, implying 316,628); transcribed as printed. 1943 '412,262' likewise breaks the step (508,260 - 95,634 = 412,626)</t>
        </is>
      </c>
    </row>
  </sheetData>
  <hyperlinks>
    <hyperlink xmlns:r="http://schemas.openxmlformats.org/officeDocument/2006/relationships" ref="A3" r:id="rId1"/>
  </hyperlink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6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All Japan Ice Skate Contest</t>
        </is>
      </c>
    </row>
    <row r="2">
      <c r="A2" t="inlineStr">
        <is>
          <t>Sports · printed pp. 711, 712</t>
        </is>
      </c>
    </row>
    <row r="3">
      <c r="A3" t="inlineStr">
        <is>
          <t>(January, 1941)</t>
        </is>
      </c>
    </row>
    <row r="4">
      <c r="A4" s="3" t="inlineStr">
        <is>
          <t>← Contents</t>
        </is>
      </c>
    </row>
    <row r="6">
      <c r="A6" s="2" t="inlineStr">
        <is>
          <t>Speed skating</t>
        </is>
      </c>
    </row>
    <row r="7">
      <c r="A7" s="5" t="inlineStr">
        <is>
          <t>Event</t>
        </is>
      </c>
      <c r="B7" s="5" t="inlineStr">
        <is>
          <t>Place</t>
        </is>
      </c>
      <c r="C7" s="5" t="inlineStr">
        <is>
          <t>Winner</t>
        </is>
      </c>
      <c r="D7" s="5" t="inlineStr">
        <is>
          <t>Team</t>
        </is>
      </c>
      <c r="E7" s="5" t="inlineStr">
        <is>
          <t>Score</t>
        </is>
      </c>
      <c r="F7" s="5" t="inlineStr">
        <is>
          <t>Record</t>
        </is>
      </c>
    </row>
    <row r="8">
      <c r="A8" t="inlineStr">
        <is>
          <t>Men's Speed</t>
        </is>
      </c>
      <c r="B8" t="inlineStr"/>
      <c r="C8" t="inlineStr"/>
      <c r="D8" t="inlineStr"/>
      <c r="E8" t="inlineStr"/>
      <c r="F8" t="inlineStr"/>
    </row>
    <row r="9">
      <c r="A9" t="inlineStr">
        <is>
          <t>500 meter</t>
        </is>
      </c>
      <c r="B9" t="inlineStr">
        <is>
          <t>1st</t>
        </is>
      </c>
      <c r="C9" t="inlineStr">
        <is>
          <t>Kin Sei Kyo</t>
        </is>
      </c>
      <c r="D9" t="inlineStr">
        <is>
          <t>(c)</t>
        </is>
      </c>
      <c r="E9" t="inlineStr"/>
      <c r="F9" t="inlineStr">
        <is>
          <t>47 sec. 1</t>
        </is>
      </c>
    </row>
    <row r="10">
      <c r="A10" t="inlineStr">
        <is>
          <t>500 meter</t>
        </is>
      </c>
      <c r="B10" t="inlineStr">
        <is>
          <t>2nd</t>
        </is>
      </c>
      <c r="C10" t="inlineStr">
        <is>
          <t>Naito</t>
        </is>
      </c>
      <c r="D10" t="inlineStr">
        <is>
          <t>(m)</t>
        </is>
      </c>
      <c r="E10" t="inlineStr"/>
      <c r="F10" t="inlineStr">
        <is>
          <t>47 sec. 3</t>
        </is>
      </c>
    </row>
    <row r="11">
      <c r="A11" t="inlineStr">
        <is>
          <t>500 meter</t>
        </is>
      </c>
      <c r="B11" t="inlineStr">
        <is>
          <t>3rd</t>
        </is>
      </c>
      <c r="C11" t="inlineStr">
        <is>
          <t>Takabayashi</t>
        </is>
      </c>
      <c r="D11" t="inlineStr">
        <is>
          <t>(k)</t>
        </is>
      </c>
      <c r="E11" t="inlineStr"/>
      <c r="F11" t="inlineStr">
        <is>
          <t>47 sec. 8</t>
        </is>
      </c>
    </row>
    <row r="12">
      <c r="A12" t="inlineStr">
        <is>
          <t>1,500 meter</t>
        </is>
      </c>
      <c r="B12" t="inlineStr">
        <is>
          <t>1st</t>
        </is>
      </c>
      <c r="C12" t="inlineStr">
        <is>
          <t>Li Mei Ten</t>
        </is>
      </c>
      <c r="D12" t="inlineStr">
        <is>
          <t>(k)</t>
        </is>
      </c>
      <c r="E12" t="inlineStr"/>
      <c r="F12" t="inlineStr">
        <is>
          <t>2 m. 37 sec. 5</t>
        </is>
      </c>
    </row>
    <row r="13">
      <c r="A13" t="inlineStr">
        <is>
          <t>1,500 meter</t>
        </is>
      </c>
      <c r="B13" t="inlineStr">
        <is>
          <t>2nd</t>
        </is>
      </c>
      <c r="C13" t="inlineStr">
        <is>
          <t>Ushijima</t>
        </is>
      </c>
      <c r="D13" t="inlineStr">
        <is>
          <t>(m)</t>
        </is>
      </c>
      <c r="E13" t="inlineStr"/>
      <c r="F13" t="inlineStr">
        <is>
          <t>2 m. 38 sec.</t>
        </is>
      </c>
    </row>
    <row r="14">
      <c r="A14" t="inlineStr">
        <is>
          <t>1,500 meter</t>
        </is>
      </c>
      <c r="B14" t="inlineStr">
        <is>
          <t>3rd</t>
        </is>
      </c>
      <c r="C14" t="inlineStr">
        <is>
          <t>Katakura</t>
        </is>
      </c>
      <c r="D14" t="inlineStr">
        <is>
          <t>(m)</t>
        </is>
      </c>
      <c r="E14" t="inlineStr"/>
      <c r="F14" t="inlineStr">
        <is>
          <t>2 m. 38 sec. 3</t>
        </is>
      </c>
    </row>
    <row r="15">
      <c r="A15" t="inlineStr">
        <is>
          <t>3,000 meter</t>
        </is>
      </c>
      <c r="B15" t="inlineStr">
        <is>
          <t>1st</t>
        </is>
      </c>
      <c r="C15" t="inlineStr">
        <is>
          <t>Li Ko Sho</t>
        </is>
      </c>
      <c r="D15" t="inlineStr">
        <is>
          <t>(c)</t>
        </is>
      </c>
      <c r="E15" t="inlineStr"/>
      <c r="F15" t="inlineStr">
        <is>
          <t>5 m. 40 sec. 2</t>
        </is>
      </c>
    </row>
    <row r="16">
      <c r="A16" t="inlineStr">
        <is>
          <t>3,000 meter</t>
        </is>
      </c>
      <c r="B16" t="inlineStr">
        <is>
          <t>2nd</t>
        </is>
      </c>
      <c r="C16" t="inlineStr">
        <is>
          <t>Katakura</t>
        </is>
      </c>
      <c r="D16" t="inlineStr">
        <is>
          <t>(m)</t>
        </is>
      </c>
      <c r="E16" t="inlineStr"/>
      <c r="F16" t="inlineStr">
        <is>
          <t>5 m. 41 sec.</t>
        </is>
      </c>
    </row>
    <row r="17">
      <c r="A17" t="inlineStr">
        <is>
          <t>3,000 meter</t>
        </is>
      </c>
      <c r="B17" t="inlineStr">
        <is>
          <t>3rd</t>
        </is>
      </c>
      <c r="C17" t="inlineStr">
        <is>
          <t>Kin Yoku Shun</t>
        </is>
      </c>
      <c r="D17" t="inlineStr">
        <is>
          <t>(c)</t>
        </is>
      </c>
      <c r="E17" t="inlineStr"/>
      <c r="F17" t="inlineStr">
        <is>
          <t>5 m. 48 sec. 9</t>
        </is>
      </c>
    </row>
    <row r="18">
      <c r="A18" t="inlineStr">
        <is>
          <t>5,000 meter</t>
        </is>
      </c>
      <c r="B18" t="inlineStr">
        <is>
          <t>1st</t>
        </is>
      </c>
      <c r="C18" t="inlineStr">
        <is>
          <t>Katakura</t>
        </is>
      </c>
      <c r="D18" t="inlineStr">
        <is>
          <t>(m)</t>
        </is>
      </c>
      <c r="E18" t="inlineStr"/>
      <c r="F18" t="inlineStr">
        <is>
          <t>9 m. 3 sec. 1</t>
        </is>
      </c>
    </row>
    <row r="19">
      <c r="A19" t="inlineStr">
        <is>
          <t>5,000 meter</t>
        </is>
      </c>
      <c r="B19" t="inlineStr">
        <is>
          <t>2nd</t>
        </is>
      </c>
      <c r="C19" t="inlineStr">
        <is>
          <t>Li Ko Sho</t>
        </is>
      </c>
      <c r="D19" t="inlineStr">
        <is>
          <t>(c)</t>
        </is>
      </c>
      <c r="E19" t="inlineStr"/>
      <c r="F19" t="inlineStr">
        <is>
          <t>9 m. 7 sec. 2</t>
        </is>
      </c>
    </row>
    <row r="20">
      <c r="A20" t="inlineStr">
        <is>
          <t>5,000 meter</t>
        </is>
      </c>
      <c r="B20" t="inlineStr">
        <is>
          <t>3rd</t>
        </is>
      </c>
      <c r="C20" t="inlineStr">
        <is>
          <t>Kin Ko Kichi</t>
        </is>
      </c>
      <c r="D20" t="inlineStr">
        <is>
          <t>(c)</t>
        </is>
      </c>
      <c r="E20" t="inlineStr"/>
      <c r="F20" t="inlineStr">
        <is>
          <t>9 m. 12 sec.</t>
        </is>
      </c>
    </row>
    <row r="21">
      <c r="A21" t="inlineStr">
        <is>
          <t>10,000 meter</t>
        </is>
      </c>
      <c r="B21" t="inlineStr">
        <is>
          <t>1st</t>
        </is>
      </c>
      <c r="C21" t="inlineStr">
        <is>
          <t>Li Ko Sho</t>
        </is>
      </c>
      <c r="D21" t="inlineStr">
        <is>
          <t>(c)</t>
        </is>
      </c>
      <c r="E21" t="inlineStr"/>
      <c r="F21" t="inlineStr">
        <is>
          <t>18 m. 36 sec. 1</t>
        </is>
      </c>
    </row>
    <row r="22">
      <c r="A22" t="inlineStr">
        <is>
          <t>10,000 meter</t>
        </is>
      </c>
      <c r="B22" t="inlineStr">
        <is>
          <t>2nd</t>
        </is>
      </c>
      <c r="C22" t="inlineStr">
        <is>
          <t>Katakura</t>
        </is>
      </c>
      <c r="D22" t="inlineStr">
        <is>
          <t>(m)</t>
        </is>
      </c>
      <c r="E22" t="inlineStr"/>
      <c r="F22" t="inlineStr">
        <is>
          <t>18 m. 36 sec. 9</t>
        </is>
      </c>
    </row>
    <row r="23">
      <c r="A23" t="inlineStr">
        <is>
          <t>10,000 meter</t>
        </is>
      </c>
      <c r="B23" t="inlineStr">
        <is>
          <t>3rd</t>
        </is>
      </c>
      <c r="C23" t="inlineStr">
        <is>
          <t>Kin Sei Kyo</t>
        </is>
      </c>
      <c r="D23" t="inlineStr">
        <is>
          <t>(c)</t>
        </is>
      </c>
      <c r="E23" t="inlineStr"/>
      <c r="F23" t="inlineStr">
        <is>
          <t>18 m. 36 sec. 9</t>
        </is>
      </c>
    </row>
    <row r="24">
      <c r="A24" t="inlineStr">
        <is>
          <t>2,000 meter relay</t>
        </is>
      </c>
      <c r="B24" t="inlineStr">
        <is>
          <t>1st</t>
        </is>
      </c>
      <c r="C24" t="inlineStr">
        <is>
          <t>Kwantung</t>
        </is>
      </c>
      <c r="D24" t="inlineStr"/>
      <c r="E24" t="inlineStr"/>
      <c r="F24" t="inlineStr">
        <is>
          <t>3 m. 9 sec. 2</t>
        </is>
      </c>
    </row>
    <row r="25">
      <c r="A25" t="inlineStr">
        <is>
          <t>2,000 meter relay</t>
        </is>
      </c>
      <c r="B25" t="inlineStr">
        <is>
          <t>2nd</t>
        </is>
      </c>
      <c r="C25" t="inlineStr">
        <is>
          <t>Chosen</t>
        </is>
      </c>
      <c r="D25" t="inlineStr"/>
      <c r="E25" t="inlineStr"/>
      <c r="F25" t="inlineStr">
        <is>
          <t>3 m. 9 sec. 4</t>
        </is>
      </c>
    </row>
    <row r="26">
      <c r="A26" t="inlineStr">
        <is>
          <t>2,000 meter relay</t>
        </is>
      </c>
      <c r="B26" t="inlineStr">
        <is>
          <t>3rd</t>
        </is>
      </c>
      <c r="C26" t="inlineStr">
        <is>
          <t>Manchoukuo</t>
        </is>
      </c>
      <c r="D26" t="inlineStr"/>
      <c r="E26" t="inlineStr"/>
      <c r="F26" t="inlineStr">
        <is>
          <t>3 m. 10 sec. 5</t>
        </is>
      </c>
    </row>
    <row r="27">
      <c r="A27" t="inlineStr">
        <is>
          <t>Total Score</t>
        </is>
      </c>
      <c r="B27" t="inlineStr">
        <is>
          <t>1st</t>
        </is>
      </c>
      <c r="C27" t="inlineStr">
        <is>
          <t>Chosen</t>
        </is>
      </c>
      <c r="D27" t="inlineStr"/>
      <c r="E27" s="8" t="n">
        <v>52</v>
      </c>
      <c r="F27" t="inlineStr"/>
    </row>
    <row r="28">
      <c r="A28" t="inlineStr">
        <is>
          <t>Total Score</t>
        </is>
      </c>
      <c r="B28" t="inlineStr">
        <is>
          <t>2nd</t>
        </is>
      </c>
      <c r="C28" t="inlineStr">
        <is>
          <t>Manchoukuo</t>
        </is>
      </c>
      <c r="D28" t="inlineStr"/>
      <c r="E28" s="8" t="n">
        <v>50</v>
      </c>
      <c r="F28" t="inlineStr"/>
    </row>
    <row r="29">
      <c r="A29" t="inlineStr">
        <is>
          <t>Total Score</t>
        </is>
      </c>
      <c r="B29" t="inlineStr">
        <is>
          <t>3rd</t>
        </is>
      </c>
      <c r="C29" t="inlineStr">
        <is>
          <t>Kwantung</t>
        </is>
      </c>
      <c r="D29" t="inlineStr"/>
      <c r="E29" s="8" t="n">
        <v>23.5</v>
      </c>
      <c r="F29" t="inlineStr"/>
    </row>
    <row r="30">
      <c r="A30" t="inlineStr">
        <is>
          <t>Women's Speed</t>
        </is>
      </c>
      <c r="B30" t="inlineStr"/>
      <c r="C30" t="inlineStr"/>
      <c r="D30" t="inlineStr"/>
      <c r="E30" t="inlineStr"/>
      <c r="F30" t="inlineStr"/>
    </row>
    <row r="31">
      <c r="A31" t="inlineStr">
        <is>
          <t>500 meter</t>
        </is>
      </c>
      <c r="B31" t="inlineStr">
        <is>
          <t>1st</t>
        </is>
      </c>
      <c r="C31" t="inlineStr">
        <is>
          <t>Nawate</t>
        </is>
      </c>
      <c r="D31" t="inlineStr">
        <is>
          <t>(m)</t>
        </is>
      </c>
      <c r="E31" t="inlineStr"/>
      <c r="F31" t="inlineStr">
        <is>
          <t>53 sec.</t>
        </is>
      </c>
    </row>
    <row r="32">
      <c r="A32" t="inlineStr">
        <is>
          <t>500 meter</t>
        </is>
      </c>
      <c r="B32" t="inlineStr">
        <is>
          <t>2nd</t>
        </is>
      </c>
      <c r="C32" t="inlineStr">
        <is>
          <t>Sakamoto</t>
        </is>
      </c>
      <c r="D32" t="inlineStr">
        <is>
          <t>(j)</t>
        </is>
      </c>
      <c r="E32" t="inlineStr"/>
      <c r="F32" t="inlineStr">
        <is>
          <t>54 sec. 3</t>
        </is>
      </c>
    </row>
    <row r="33">
      <c r="A33" t="inlineStr">
        <is>
          <t>500 meter</t>
        </is>
      </c>
      <c r="B33" t="inlineStr">
        <is>
          <t>3rd</t>
        </is>
      </c>
      <c r="C33" t="inlineStr">
        <is>
          <t>Kimura</t>
        </is>
      </c>
      <c r="D33" t="inlineStr">
        <is>
          <t>(m)</t>
        </is>
      </c>
      <c r="E33" t="inlineStr"/>
      <c r="F33" t="inlineStr">
        <is>
          <t>54 sec. 3</t>
        </is>
      </c>
    </row>
    <row r="34">
      <c r="A34" t="inlineStr">
        <is>
          <t>1,000 meter</t>
        </is>
      </c>
      <c r="B34" t="inlineStr">
        <is>
          <t>1st</t>
        </is>
      </c>
      <c r="C34" t="inlineStr">
        <is>
          <t>Sakamoto</t>
        </is>
      </c>
      <c r="D34" t="inlineStr">
        <is>
          <t>(j)</t>
        </is>
      </c>
      <c r="E34" t="inlineStr"/>
      <c r="F34" t="inlineStr">
        <is>
          <t>1 m. 52 sec.</t>
        </is>
      </c>
    </row>
    <row r="35">
      <c r="A35" t="inlineStr">
        <is>
          <t>1,000 meter</t>
        </is>
      </c>
      <c r="B35" t="inlineStr">
        <is>
          <t>2nd</t>
        </is>
      </c>
      <c r="C35" t="inlineStr">
        <is>
          <t>Nawate</t>
        </is>
      </c>
      <c r="D35" t="inlineStr">
        <is>
          <t>(m)</t>
        </is>
      </c>
      <c r="E35" t="inlineStr"/>
      <c r="F35" t="inlineStr">
        <is>
          <t>1 m. 56 sec.</t>
        </is>
      </c>
    </row>
    <row r="36">
      <c r="A36" t="inlineStr">
        <is>
          <t>1,000 meter</t>
        </is>
      </c>
      <c r="B36" t="inlineStr">
        <is>
          <t>3rd</t>
        </is>
      </c>
      <c r="C36" t="inlineStr">
        <is>
          <t>Nagano</t>
        </is>
      </c>
      <c r="D36" t="inlineStr">
        <is>
          <t>(j)</t>
        </is>
      </c>
      <c r="E36" t="inlineStr"/>
      <c r="F36" t="inlineStr">
        <is>
          <t>1 m. 56 sec. 2</t>
        </is>
      </c>
    </row>
    <row r="37">
      <c r="A37" t="inlineStr">
        <is>
          <t>3,000 meter</t>
        </is>
      </c>
      <c r="B37" t="inlineStr">
        <is>
          <t>1st</t>
        </is>
      </c>
      <c r="C37" t="inlineStr">
        <is>
          <t>Sakamoto</t>
        </is>
      </c>
      <c r="D37" t="inlineStr">
        <is>
          <t>(j)</t>
        </is>
      </c>
      <c r="E37" t="inlineStr"/>
      <c r="F37" t="inlineStr">
        <is>
          <t>6 m. 22 sec. 5</t>
        </is>
      </c>
    </row>
    <row r="38">
      <c r="A38" t="inlineStr">
        <is>
          <t>3,000 meter</t>
        </is>
      </c>
      <c r="B38" t="inlineStr">
        <is>
          <t>2nd</t>
        </is>
      </c>
      <c r="C38" t="inlineStr">
        <is>
          <t>Ejima</t>
        </is>
      </c>
      <c r="D38" t="inlineStr">
        <is>
          <t>(m)</t>
        </is>
      </c>
      <c r="E38" t="inlineStr"/>
      <c r="F38" t="inlineStr">
        <is>
          <t>6 m. 37 sec, 6</t>
        </is>
      </c>
    </row>
    <row r="39">
      <c r="A39" t="inlineStr">
        <is>
          <t>3,000 meter</t>
        </is>
      </c>
      <c r="B39" t="inlineStr">
        <is>
          <t>3rd</t>
        </is>
      </c>
      <c r="C39" t="inlineStr">
        <is>
          <t>Nozawa</t>
        </is>
      </c>
      <c r="D39" t="inlineStr">
        <is>
          <t>(j)</t>
        </is>
      </c>
      <c r="E39" t="inlineStr"/>
      <c r="F39" t="inlineStr">
        <is>
          <t>6 m. 38 sec.</t>
        </is>
      </c>
    </row>
    <row r="40">
      <c r="A40" t="inlineStr">
        <is>
          <t>5,000 meter</t>
        </is>
      </c>
      <c r="B40" t="inlineStr">
        <is>
          <t>1st</t>
        </is>
      </c>
      <c r="C40" t="inlineStr">
        <is>
          <t>Okura</t>
        </is>
      </c>
      <c r="D40" t="inlineStr">
        <is>
          <t>(m)</t>
        </is>
      </c>
      <c r="E40" t="inlineStr"/>
      <c r="F40" t="inlineStr">
        <is>
          <t>10 m. 18 sec. 2</t>
        </is>
      </c>
    </row>
    <row r="41">
      <c r="A41" t="inlineStr">
        <is>
          <t>5,000 meter</t>
        </is>
      </c>
      <c r="B41" t="inlineStr">
        <is>
          <t>2nd</t>
        </is>
      </c>
      <c r="C41" t="inlineStr">
        <is>
          <t>Kimura</t>
        </is>
      </c>
      <c r="D41" t="inlineStr">
        <is>
          <t>(m)</t>
        </is>
      </c>
      <c r="E41" t="inlineStr"/>
      <c r="F41" t="inlineStr">
        <is>
          <t>10 m. 18 sec. 5</t>
        </is>
      </c>
    </row>
    <row r="42">
      <c r="A42" t="inlineStr">
        <is>
          <t>5,000 meter</t>
        </is>
      </c>
      <c r="B42" t="inlineStr">
        <is>
          <t>3rd</t>
        </is>
      </c>
      <c r="C42" t="inlineStr">
        <is>
          <t>Ejima</t>
        </is>
      </c>
      <c r="D42" t="inlineStr">
        <is>
          <t>(m)</t>
        </is>
      </c>
      <c r="E42" t="inlineStr"/>
      <c r="F42" t="inlineStr">
        <is>
          <t>10 m. 18 sec. 5</t>
        </is>
      </c>
    </row>
    <row r="43">
      <c r="A43" t="inlineStr">
        <is>
          <t>1,600 meter relay</t>
        </is>
      </c>
      <c r="B43" t="inlineStr">
        <is>
          <t>1st</t>
        </is>
      </c>
      <c r="C43" t="inlineStr">
        <is>
          <t>Manchoukuo</t>
        </is>
      </c>
      <c r="D43" t="inlineStr"/>
      <c r="E43" t="inlineStr"/>
      <c r="F43" t="inlineStr">
        <is>
          <t>2 m. 53 sec.</t>
        </is>
      </c>
    </row>
    <row r="44">
      <c r="A44" t="inlineStr">
        <is>
          <t>1,600 meter relay</t>
        </is>
      </c>
      <c r="B44" t="inlineStr">
        <is>
          <t>2nd</t>
        </is>
      </c>
      <c r="C44" t="inlineStr">
        <is>
          <t>Japan</t>
        </is>
      </c>
      <c r="D44" t="inlineStr"/>
      <c r="E44" t="inlineStr"/>
      <c r="F44" t="inlineStr">
        <is>
          <t>2 m. 56 sec. 9</t>
        </is>
      </c>
    </row>
    <row r="45">
      <c r="A45" t="inlineStr">
        <is>
          <t>1,600 meter relay</t>
        </is>
      </c>
      <c r="B45" t="inlineStr">
        <is>
          <t>3rd</t>
        </is>
      </c>
      <c r="C45" t="inlineStr">
        <is>
          <t>Chosen</t>
        </is>
      </c>
      <c r="D45" t="inlineStr"/>
      <c r="E45" t="inlineStr"/>
      <c r="F45" t="inlineStr">
        <is>
          <t>3 m. 16 sec. 3</t>
        </is>
      </c>
    </row>
    <row r="46">
      <c r="A46" t="inlineStr">
        <is>
          <t>Total Score</t>
        </is>
      </c>
      <c r="B46" t="inlineStr">
        <is>
          <t>1st</t>
        </is>
      </c>
      <c r="C46" t="inlineStr">
        <is>
          <t>Manchoukuo</t>
        </is>
      </c>
      <c r="D46" t="inlineStr"/>
      <c r="E46" s="8" t="n">
        <v>57.5</v>
      </c>
      <c r="F46" t="inlineStr"/>
    </row>
    <row r="47">
      <c r="A47" t="inlineStr">
        <is>
          <t>Total Score</t>
        </is>
      </c>
      <c r="B47" t="inlineStr">
        <is>
          <t>2nd</t>
        </is>
      </c>
      <c r="C47" t="inlineStr">
        <is>
          <t>Japan</t>
        </is>
      </c>
      <c r="D47" t="inlineStr"/>
      <c r="E47" s="8" t="n">
        <v>42.5</v>
      </c>
      <c r="F47" t="inlineStr"/>
    </row>
    <row r="48">
      <c r="A48" t="inlineStr">
        <is>
          <t>Total Score</t>
        </is>
      </c>
      <c r="B48" t="inlineStr">
        <is>
          <t>3rd</t>
        </is>
      </c>
      <c r="C48" t="inlineStr">
        <is>
          <t>Chosen</t>
        </is>
      </c>
      <c r="D48" t="inlineStr"/>
      <c r="E48" s="8" t="n">
        <v>4</v>
      </c>
      <c r="F48" t="inlineStr"/>
    </row>
    <row r="50">
      <c r="A50" s="2" t="inlineStr">
        <is>
          <t>(Continued) Results of Ice Hockey</t>
        </is>
      </c>
    </row>
    <row r="51">
      <c r="A51" s="5" t="inlineStr">
        <is>
          <t>Round</t>
        </is>
      </c>
      <c r="B51" s="5" t="inlineStr">
        <is>
          <t>Team A</t>
        </is>
      </c>
      <c r="C51" s="5" t="inlineStr">
        <is>
          <t>Score A</t>
        </is>
      </c>
      <c r="D51" s="5" t="inlineStr">
        <is>
          <t>Period scores</t>
        </is>
      </c>
      <c r="E51" s="5" t="inlineStr">
        <is>
          <t>Score B</t>
        </is>
      </c>
      <c r="F51" s="5" t="inlineStr">
        <is>
          <t>Team B</t>
        </is>
      </c>
    </row>
    <row r="52">
      <c r="A52" t="inlineStr">
        <is>
          <t>First Game</t>
        </is>
      </c>
      <c r="B52" t="inlineStr">
        <is>
          <t>Manchoukuo</t>
        </is>
      </c>
      <c r="C52" s="9" t="n">
        <v>7</v>
      </c>
      <c r="D52" t="inlineStr">
        <is>
          <t>1—0; 2—0; 4—0</t>
        </is>
      </c>
      <c r="E52" s="9" t="n">
        <v>0</v>
      </c>
      <c r="F52" t="inlineStr">
        <is>
          <t>Tokyo</t>
        </is>
      </c>
    </row>
    <row r="53">
      <c r="A53" t="inlineStr">
        <is>
          <t>First Game</t>
        </is>
      </c>
      <c r="B53" t="inlineStr">
        <is>
          <t>Kwantung</t>
        </is>
      </c>
      <c r="C53" s="9" t="n">
        <v>8</v>
      </c>
      <c r="D53" t="inlineStr">
        <is>
          <t>3—1; 2—0; 3—1</t>
        </is>
      </c>
      <c r="E53" s="9" t="n">
        <v>2</v>
      </c>
      <c r="F53" t="inlineStr">
        <is>
          <t>Chosen</t>
        </is>
      </c>
    </row>
    <row r="54">
      <c r="A54" t="inlineStr">
        <is>
          <t>Semi-Final</t>
        </is>
      </c>
      <c r="B54" t="inlineStr">
        <is>
          <t>Hokkaido</t>
        </is>
      </c>
      <c r="C54" s="9" t="n">
        <v>6</v>
      </c>
      <c r="D54" t="inlineStr">
        <is>
          <t>1—1; 2—1; 2—1; 1—2; 0—0</t>
        </is>
      </c>
      <c r="E54" s="9" t="n">
        <v>5</v>
      </c>
      <c r="F54" t="inlineStr">
        <is>
          <t>Manchoukuo</t>
        </is>
      </c>
    </row>
    <row r="55">
      <c r="A55" t="inlineStr">
        <is>
          <t>Semi-Final</t>
        </is>
      </c>
      <c r="B55" t="inlineStr">
        <is>
          <t>Kwantung</t>
        </is>
      </c>
      <c r="C55" s="9" t="n">
        <v>25</v>
      </c>
      <c r="D55" t="inlineStr">
        <is>
          <t>9—0; 11—0; 5—1</t>
        </is>
      </c>
      <c r="E55" s="9" t="n">
        <v>1</v>
      </c>
      <c r="F55" t="inlineStr">
        <is>
          <t>Japan</t>
        </is>
      </c>
    </row>
    <row r="56">
      <c r="A56" t="inlineStr">
        <is>
          <t>Final</t>
        </is>
      </c>
      <c r="B56" t="inlineStr">
        <is>
          <t>Hokkaido</t>
        </is>
      </c>
      <c r="C56" s="9" t="n">
        <v>2</v>
      </c>
      <c r="D56" t="inlineStr">
        <is>
          <t>0—0; 1—0; 1—1</t>
        </is>
      </c>
      <c r="E56" s="9" t="n">
        <v>1</v>
      </c>
      <c r="F56" t="inlineStr">
        <is>
          <t>Kwantung</t>
        </is>
      </c>
    </row>
    <row r="58">
      <c r="A58" s="2" t="inlineStr">
        <is>
          <t>Footnotes</t>
        </is>
      </c>
    </row>
    <row r="59">
      <c r="A59" t="inlineStr">
        <is>
          <t>Note: (m) Manchoukuo; (j) Japan; (c) Chosen; (k) Kwantung</t>
        </is>
      </c>
    </row>
    <row r="61">
      <c r="A61" s="2" t="inlineStr">
        <is>
          <t>Transcriber's notes</t>
        </is>
      </c>
    </row>
    <row r="62">
      <c r="A62" t="inlineStr">
        <is>
          <t>Records such as '47 sec. 1' mean 47.1 seconds; kept as printed. Women's 3,000 m 2nd printed '6 m. 37 sec, 6' (comma) as printed</t>
        </is>
      </c>
    </row>
    <row r="63">
      <c r="A63" t="inlineStr">
        <is>
          <t>Event name repeated on each of its three place rows (printed once with a brace)</t>
        </is>
      </c>
    </row>
    <row r="64">
      <c r="A64" t="inlineStr">
        <is>
          <t>Ice hockey results printed on p.712 headed '(Continued) Results of Ice Hockey' in bracket layout; period scores (braced) joined with '; '. Period scores sum to the game scores in every game: 7-0, 8-2, 6-5, 25-1, 2-1</t>
        </is>
      </c>
    </row>
    <row r="65">
      <c r="A65" t="inlineStr">
        <is>
          <t>No Table 1 appears in the Sports chapter: the chapter opens on p.710 (no table) and the first table is numbered 2</t>
        </is>
      </c>
    </row>
  </sheetData>
  <hyperlinks>
    <hyperlink xmlns:r="http://schemas.openxmlformats.org/officeDocument/2006/relationships" ref="A4" r:id="rId1"/>
  </hyperlink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[Fur supplying and exporting districts, 1931-32 hunting season]</t>
        </is>
      </c>
    </row>
    <row r="2">
      <c r="A2" t="inlineStr">
        <is>
          <t>Sports · printed pp. 727</t>
        </is>
      </c>
    </row>
    <row r="3">
      <c r="A3" s="3" t="inlineStr">
        <is>
          <t>← Contents</t>
        </is>
      </c>
    </row>
    <row r="5">
      <c r="A5" s="5" t="inlineStr">
        <is>
          <t>District</t>
        </is>
      </c>
      <c r="B5" s="5" t="inlineStr">
        <is>
          <t>Pieces (1,000)</t>
        </is>
      </c>
      <c r="C5" s="5" t="inlineStr">
        <is>
          <t>Value (¥1,000,000)</t>
        </is>
      </c>
    </row>
    <row r="6">
      <c r="A6" t="inlineStr">
        <is>
          <t>Barga</t>
        </is>
      </c>
      <c r="B6" s="9" t="n">
        <v>929</v>
      </c>
      <c r="C6" s="8" t="n">
        <v>1.9</v>
      </c>
    </row>
    <row r="7">
      <c r="A7" t="inlineStr">
        <is>
          <t>Great Hsingans</t>
        </is>
      </c>
      <c r="B7" s="9" t="n">
        <v>382</v>
      </c>
      <c r="C7" s="8" t="n">
        <v>0.7</v>
      </c>
    </row>
    <row r="8">
      <c r="A8" t="inlineStr">
        <is>
          <t>Little Hsingans</t>
        </is>
      </c>
      <c r="B8" s="9" t="n">
        <v>253</v>
      </c>
      <c r="C8" s="8" t="n">
        <v>0.6</v>
      </c>
    </row>
    <row r="9">
      <c r="A9" t="inlineStr">
        <is>
          <t>Kirin Forests</t>
        </is>
      </c>
      <c r="B9" s="6" t="n">
        <v>1009</v>
      </c>
      <c r="C9" s="8" t="n">
        <v>2.6</v>
      </c>
    </row>
    <row r="11">
      <c r="A11" s="2" t="inlineStr">
        <is>
          <t>Transcriber's notes</t>
        </is>
      </c>
    </row>
    <row r="12">
      <c r="A12" t="inlineStr">
        <is>
          <t>Unnumbered in-text table introduced by: 'Manchurian fur supplying and exporting centres are divided into the following four districts and the figures are for the 1931-32 hunting season.' No total printed</t>
        </is>
      </c>
    </row>
  </sheetData>
  <hyperlinks>
    <hyperlink xmlns:r="http://schemas.openxmlformats.org/officeDocument/2006/relationships" ref="A3" r:id="rId1"/>
  </hyperlink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Trade in Wild Animals Furs, Meat and Other By-Products of North Manchoukuo for the 1931-32 Hunting Season</t>
        </is>
      </c>
    </row>
    <row r="2">
      <c r="A2" t="inlineStr">
        <is>
          <t>Sports · printed pp. 727, 728</t>
        </is>
      </c>
    </row>
    <row r="3">
      <c r="A3" s="3" t="inlineStr">
        <is>
          <t>← Contents</t>
        </is>
      </c>
    </row>
    <row r="5">
      <c r="A5" s="5" t="inlineStr">
        <is>
          <t>Animal</t>
        </is>
      </c>
      <c r="B5" s="5" t="inlineStr">
        <is>
          <t>Local Markets — Pieces</t>
        </is>
      </c>
      <c r="C5" s="5" t="inlineStr">
        <is>
          <t>Local Markets — Value (¥)</t>
        </is>
      </c>
      <c r="D5" s="5" t="inlineStr">
        <is>
          <t>Export Markets — Pieces</t>
        </is>
      </c>
      <c r="E5" s="5" t="inlineStr">
        <is>
          <t>Export Markets — Value (¥)</t>
        </is>
      </c>
      <c r="F5" s="5" t="inlineStr">
        <is>
          <t>Total (¥1,000)</t>
        </is>
      </c>
    </row>
    <row r="6">
      <c r="A6" t="inlineStr">
        <is>
          <t>1. Tiger</t>
        </is>
      </c>
      <c r="B6" t="inlineStr">
        <is>
          <t>—</t>
        </is>
      </c>
      <c r="C6" t="inlineStr">
        <is>
          <t>—</t>
        </is>
      </c>
      <c r="D6" s="9" t="n">
        <v>55</v>
      </c>
      <c r="E6" s="6" t="n">
        <v>33000</v>
      </c>
      <c r="F6" s="8" t="n">
        <v>33</v>
      </c>
    </row>
    <row r="7">
      <c r="A7" t="inlineStr">
        <is>
          <t>2. Spotted Stag</t>
        </is>
      </c>
      <c r="B7" s="9" t="n">
        <v>10</v>
      </c>
      <c r="C7" s="6" t="n">
        <v>2200</v>
      </c>
      <c r="D7" s="9" t="n">
        <v>190</v>
      </c>
      <c r="E7" s="6" t="n">
        <v>41900</v>
      </c>
      <c r="F7" s="8" t="n">
        <v>54</v>
      </c>
    </row>
    <row r="8">
      <c r="A8" t="inlineStr">
        <is>
          <t>3. Leopard</t>
        </is>
      </c>
      <c r="B8" t="inlineStr">
        <is>
          <t>—</t>
        </is>
      </c>
      <c r="C8" t="inlineStr">
        <is>
          <t>—</t>
        </is>
      </c>
      <c r="D8" s="9" t="n">
        <v>32</v>
      </c>
      <c r="E8" s="6" t="n">
        <v>6500</v>
      </c>
      <c r="F8" s="8" t="n">
        <v>6.5</v>
      </c>
    </row>
    <row r="9">
      <c r="A9" t="inlineStr">
        <is>
          <t>4. Sable</t>
        </is>
      </c>
      <c r="B9" s="6" t="n">
        <v>1000</v>
      </c>
      <c r="C9" s="6" t="n">
        <v>110000</v>
      </c>
      <c r="D9" s="6" t="n">
        <v>5900</v>
      </c>
      <c r="E9" s="6" t="n">
        <v>590000</v>
      </c>
      <c r="F9" s="8" t="n">
        <v>700</v>
      </c>
    </row>
    <row r="10">
      <c r="A10" t="inlineStr">
        <is>
          <t>5. Elk</t>
        </is>
      </c>
      <c r="B10" s="6" t="n">
        <v>1000</v>
      </c>
      <c r="C10" s="6" t="n">
        <v>92800</v>
      </c>
      <c r="D10" s="6" t="n">
        <v>4000</v>
      </c>
      <c r="E10" s="6" t="n">
        <v>371200</v>
      </c>
      <c r="F10" s="8" t="n">
        <v>464</v>
      </c>
    </row>
    <row r="11">
      <c r="A11" t="inlineStr">
        <is>
          <t>6. Bear</t>
        </is>
      </c>
      <c r="B11" s="9" t="n">
        <v>400</v>
      </c>
      <c r="C11" s="6" t="n">
        <v>20000</v>
      </c>
      <c r="D11" s="9" t="n">
        <v>600</v>
      </c>
      <c r="E11" s="6" t="n">
        <v>30000</v>
      </c>
      <c r="F11" s="8" t="n">
        <v>50</v>
      </c>
    </row>
    <row r="12">
      <c r="A12" t="inlineStr">
        <is>
          <t>7. Moose</t>
        </is>
      </c>
      <c r="B12" s="6" t="n">
        <v>1400</v>
      </c>
      <c r="C12" s="6" t="n">
        <v>49000</v>
      </c>
      <c r="D12" t="inlineStr">
        <is>
          <t>—</t>
        </is>
      </c>
      <c r="E12" t="inlineStr">
        <is>
          <t>—</t>
        </is>
      </c>
      <c r="F12" s="8" t="n">
        <v>49</v>
      </c>
    </row>
    <row r="13">
      <c r="A13" t="inlineStr">
        <is>
          <t>8. Lynx</t>
        </is>
      </c>
      <c r="B13" s="9" t="n">
        <v>75</v>
      </c>
      <c r="C13" s="6" t="n">
        <v>4375</v>
      </c>
      <c r="D13" s="9" t="n">
        <v>325</v>
      </c>
      <c r="E13" s="6" t="n">
        <v>8125</v>
      </c>
      <c r="F13" s="8" t="n">
        <v>12.5</v>
      </c>
    </row>
    <row r="14">
      <c r="A14" t="inlineStr">
        <is>
          <t>9. Otter</t>
        </is>
      </c>
      <c r="B14" s="9" t="n">
        <v>750</v>
      </c>
      <c r="C14" s="6" t="n">
        <v>15000</v>
      </c>
      <c r="D14" s="6" t="n">
        <v>1750</v>
      </c>
      <c r="E14" s="6" t="n">
        <v>35000</v>
      </c>
      <c r="F14" s="8" t="n">
        <v>50</v>
      </c>
    </row>
    <row r="15">
      <c r="A15" t="inlineStr">
        <is>
          <t>10. Fox</t>
        </is>
      </c>
      <c r="B15" s="9" t="n">
        <v>750</v>
      </c>
      <c r="C15" s="6" t="n">
        <v>13000</v>
      </c>
      <c r="D15" s="6" t="n">
        <v>14250</v>
      </c>
      <c r="E15" s="6" t="n">
        <v>267000</v>
      </c>
      <c r="F15" s="8" t="n">
        <v>280</v>
      </c>
    </row>
    <row r="16">
      <c r="A16" t="inlineStr">
        <is>
          <t>11. Glutton (Wolverene)</t>
        </is>
      </c>
      <c r="B16" s="9" t="n">
        <v>75</v>
      </c>
      <c r="C16" s="6" t="n">
        <v>1125</v>
      </c>
      <c r="D16" s="9" t="n">
        <v>25</v>
      </c>
      <c r="E16" s="9" t="n">
        <v>357</v>
      </c>
      <c r="F16" s="8" t="n">
        <v>1.5</v>
      </c>
    </row>
    <row r="17">
      <c r="A17" t="inlineStr">
        <is>
          <t>12. Wild Boar</t>
        </is>
      </c>
      <c r="B17" s="6" t="n">
        <v>4900</v>
      </c>
      <c r="C17" s="6" t="n">
        <v>73500</v>
      </c>
      <c r="D17" s="6" t="n">
        <v>1100</v>
      </c>
      <c r="E17" s="6" t="n">
        <v>16500</v>
      </c>
      <c r="F17" s="8" t="n">
        <v>40</v>
      </c>
    </row>
    <row r="18">
      <c r="A18" t="inlineStr">
        <is>
          <t>13. Wolf</t>
        </is>
      </c>
      <c r="B18" s="6" t="n">
        <v>1000</v>
      </c>
      <c r="C18" s="6" t="n">
        <v>10000</v>
      </c>
      <c r="D18" s="6" t="n">
        <v>3000</v>
      </c>
      <c r="E18" s="6" t="n">
        <v>30000</v>
      </c>
      <c r="F18" s="8" t="n">
        <v>40</v>
      </c>
    </row>
    <row r="19">
      <c r="A19" t="inlineStr">
        <is>
          <t>14. Musk Deer</t>
        </is>
      </c>
      <c r="B19" s="6" t="n">
        <v>4500</v>
      </c>
      <c r="C19" s="6" t="n">
        <v>5000</v>
      </c>
      <c r="D19" s="6" t="n">
        <v>10500</v>
      </c>
      <c r="E19" s="6" t="n">
        <v>40000</v>
      </c>
      <c r="F19" s="8" t="n">
        <v>45</v>
      </c>
    </row>
    <row r="20">
      <c r="A20" t="inlineStr">
        <is>
          <t>15. Racoon</t>
        </is>
      </c>
      <c r="B20" s="6" t="n">
        <v>5000</v>
      </c>
      <c r="C20" s="6" t="n">
        <v>25000</v>
      </c>
      <c r="D20" s="6" t="n">
        <v>14000</v>
      </c>
      <c r="E20" s="6" t="n">
        <v>70000</v>
      </c>
      <c r="F20" s="8" t="n">
        <v>95</v>
      </c>
    </row>
    <row r="21">
      <c r="A21" t="inlineStr">
        <is>
          <t>16. Polecat</t>
        </is>
      </c>
      <c r="B21" s="6" t="n">
        <v>1000</v>
      </c>
      <c r="C21" s="6" t="n">
        <v>5000</v>
      </c>
      <c r="D21" s="6" t="n">
        <v>7000</v>
      </c>
      <c r="E21" s="6" t="n">
        <v>35000</v>
      </c>
      <c r="F21" s="8" t="n">
        <v>40</v>
      </c>
    </row>
    <row r="22">
      <c r="A22" t="inlineStr">
        <is>
          <t>17. Corsac Fox</t>
        </is>
      </c>
      <c r="B22" t="inlineStr">
        <is>
          <t>—</t>
        </is>
      </c>
      <c r="C22" t="inlineStr">
        <is>
          <t>—</t>
        </is>
      </c>
      <c r="D22" s="6" t="n">
        <v>4000</v>
      </c>
      <c r="E22" s="6" t="n">
        <v>20000</v>
      </c>
      <c r="F22" s="8" t="n">
        <v>20</v>
      </c>
    </row>
    <row r="23">
      <c r="A23" t="inlineStr">
        <is>
          <t>18. Mountain Goat</t>
        </is>
      </c>
      <c r="B23" s="6" t="n">
        <v>1500</v>
      </c>
      <c r="C23" s="6" t="n">
        <v>7500</v>
      </c>
      <c r="D23" t="inlineStr">
        <is>
          <t>—</t>
        </is>
      </c>
      <c r="E23" t="inlineStr">
        <is>
          <t>—</t>
        </is>
      </c>
      <c r="F23" s="8" t="n">
        <v>7</v>
      </c>
    </row>
    <row r="24">
      <c r="A24" t="inlineStr">
        <is>
          <t>19. Marten</t>
        </is>
      </c>
      <c r="B24" s="6" t="n">
        <v>6000</v>
      </c>
      <c r="C24" s="6" t="n">
        <v>30000</v>
      </c>
      <c r="D24" s="6" t="n">
        <v>6000</v>
      </c>
      <c r="E24" s="6" t="n">
        <v>30000</v>
      </c>
      <c r="F24" s="8" t="n">
        <v>60</v>
      </c>
    </row>
    <row r="25">
      <c r="A25" t="inlineStr">
        <is>
          <t>20. Siberian Weasel</t>
        </is>
      </c>
      <c r="B25" s="6" t="n">
        <v>15000</v>
      </c>
      <c r="C25" s="6" t="n">
        <v>56250</v>
      </c>
      <c r="D25" s="6" t="n">
        <v>60000</v>
      </c>
      <c r="E25" s="6" t="n">
        <v>168750</v>
      </c>
      <c r="F25" s="8" t="n">
        <v>225</v>
      </c>
    </row>
    <row r="26">
      <c r="A26" t="inlineStr">
        <is>
          <t>21. Ermine</t>
        </is>
      </c>
      <c r="B26" t="inlineStr">
        <is>
          <t>—</t>
        </is>
      </c>
      <c r="C26" t="inlineStr">
        <is>
          <t>—</t>
        </is>
      </c>
      <c r="D26" s="6" t="n">
        <v>3500</v>
      </c>
      <c r="E26" s="6" t="n">
        <v>10500</v>
      </c>
      <c r="F26" s="8" t="n">
        <v>10.5</v>
      </c>
    </row>
    <row r="27">
      <c r="A27" t="inlineStr">
        <is>
          <t>22. Wild Goat</t>
        </is>
      </c>
      <c r="B27" s="6" t="n">
        <v>9000</v>
      </c>
      <c r="C27" s="6" t="n">
        <v>27000</v>
      </c>
      <c r="D27" s="6" t="n">
        <v>6000</v>
      </c>
      <c r="E27" s="6" t="n">
        <v>18000</v>
      </c>
      <c r="F27" s="8" t="n">
        <v>45</v>
      </c>
    </row>
    <row r="28">
      <c r="A28" t="inlineStr">
        <is>
          <t>23. Mongolian Antelope</t>
        </is>
      </c>
      <c r="B28" s="6" t="n">
        <v>2000</v>
      </c>
      <c r="C28" s="6" t="n">
        <v>6000</v>
      </c>
      <c r="D28" t="inlineStr">
        <is>
          <t>—</t>
        </is>
      </c>
      <c r="E28" t="inlineStr">
        <is>
          <t>—</t>
        </is>
      </c>
      <c r="F28" s="8" t="n">
        <v>6</v>
      </c>
    </row>
    <row r="29">
      <c r="A29" t="inlineStr">
        <is>
          <t>24. Marmot (Prairie-dog)</t>
        </is>
      </c>
      <c r="B29" t="inlineStr">
        <is>
          <t>—</t>
        </is>
      </c>
      <c r="C29" t="inlineStr">
        <is>
          <t>—</t>
        </is>
      </c>
      <c r="D29" s="6" t="n">
        <v>800000</v>
      </c>
      <c r="E29" s="6" t="n">
        <v>1600000</v>
      </c>
      <c r="F29" s="7" t="n">
        <v>1600</v>
      </c>
    </row>
    <row r="30">
      <c r="A30" t="inlineStr">
        <is>
          <t>25. Squirrel</t>
        </is>
      </c>
      <c r="B30" s="6" t="n">
        <v>100000</v>
      </c>
      <c r="C30" s="6" t="n">
        <v>100000</v>
      </c>
      <c r="D30" s="6" t="n">
        <v>1200000</v>
      </c>
      <c r="E30" s="6" t="n">
        <v>2400000</v>
      </c>
      <c r="F30" s="7" t="n">
        <v>2500</v>
      </c>
    </row>
    <row r="31">
      <c r="A31" t="inlineStr">
        <is>
          <t>26. Badger</t>
        </is>
      </c>
      <c r="B31" s="6" t="n">
        <v>9500</v>
      </c>
      <c r="C31" s="6" t="n">
        <v>19000</v>
      </c>
      <c r="D31" s="6" t="n">
        <v>2000</v>
      </c>
      <c r="E31" s="6" t="n">
        <v>4000</v>
      </c>
      <c r="F31" s="8" t="n">
        <v>23</v>
      </c>
    </row>
    <row r="32">
      <c r="A32" t="inlineStr">
        <is>
          <t>27. Cat</t>
        </is>
      </c>
      <c r="B32" s="6" t="n">
        <v>5000</v>
      </c>
      <c r="C32" s="6" t="n">
        <v>5000</v>
      </c>
      <c r="D32" s="6" t="n">
        <v>10000</v>
      </c>
      <c r="E32" s="6" t="n">
        <v>10000</v>
      </c>
      <c r="F32" s="8" t="n">
        <v>15</v>
      </c>
    </row>
    <row r="33">
      <c r="A33" t="inlineStr">
        <is>
          <t>28. Dog</t>
        </is>
      </c>
      <c r="B33" s="6" t="n">
        <v>100000</v>
      </c>
      <c r="C33" s="6" t="n">
        <v>100000</v>
      </c>
      <c r="D33" s="6" t="n">
        <v>80000</v>
      </c>
      <c r="E33" s="6" t="n">
        <v>80000</v>
      </c>
      <c r="F33" s="8" t="n">
        <v>180</v>
      </c>
    </row>
    <row r="34">
      <c r="A34" t="inlineStr">
        <is>
          <t>29. Mole</t>
        </is>
      </c>
      <c r="B34" s="6" t="n">
        <v>1000</v>
      </c>
      <c r="C34" s="9" t="n">
        <v>500</v>
      </c>
      <c r="D34" s="6" t="n">
        <v>7000</v>
      </c>
      <c r="E34" s="6" t="n">
        <v>3500</v>
      </c>
      <c r="F34" s="8" t="n">
        <v>4</v>
      </c>
    </row>
    <row r="35">
      <c r="A35" t="inlineStr">
        <is>
          <t>30. Hare</t>
        </is>
      </c>
      <c r="B35" s="6" t="n">
        <v>10000</v>
      </c>
      <c r="C35" s="6" t="n">
        <v>2300</v>
      </c>
      <c r="D35" s="6" t="n">
        <v>190000</v>
      </c>
      <c r="E35" s="6" t="n">
        <v>43000</v>
      </c>
      <c r="F35" s="8" t="n">
        <v>46</v>
      </c>
    </row>
    <row r="36">
      <c r="A36" t="inlineStr">
        <is>
          <t>Grand Total</t>
        </is>
      </c>
      <c r="B36" s="6" t="n">
        <v>281060</v>
      </c>
      <c r="C36" s="6" t="n">
        <v>779550</v>
      </c>
      <c r="D36" s="6" t="n">
        <v>2431227</v>
      </c>
      <c r="E36" s="6" t="n">
        <v>5962950</v>
      </c>
      <c r="F36" s="7" t="n">
        <v>6742.5</v>
      </c>
    </row>
    <row r="38">
      <c r="A38" s="2" t="inlineStr">
        <is>
          <t>Transcriber's notes</t>
        </is>
      </c>
    </row>
    <row r="39">
      <c r="A39" t="inlineStr">
        <is>
          <t>Total col 'Local Markets — Pieces': printed 281,060, parts sum 280,860 — does NOT reconcile (diff -200)</t>
        </is>
      </c>
    </row>
    <row r="40">
      <c r="A40" t="inlineStr">
        <is>
          <t>Total col 'Local Markets — Value (¥)': printed 779,550, parts sum 779,550 — reconciles</t>
        </is>
      </c>
    </row>
    <row r="41">
      <c r="A41" t="inlineStr">
        <is>
          <t>Total col 'Export Markets — Pieces': printed 2,431,227, parts sum 2,431,227 — reconciles</t>
        </is>
      </c>
    </row>
    <row r="42">
      <c r="A42" t="inlineStr">
        <is>
          <t>Total col 'Export Markets — Value (¥)': printed 5,962,950, parts sum 5,962,332 — does NOT reconcile (diff -618)</t>
        </is>
      </c>
    </row>
    <row r="43">
      <c r="A43" t="inlineStr">
        <is>
          <t>Total col 'Total (¥1,000)': printed 6,742.5, parts sum 6,702 — does NOT reconcile (diff -40.5)</t>
        </is>
      </c>
    </row>
    <row r="44">
      <c r="A44" t="inlineStr">
        <is>
          <t>Row '2. Spotted Stag': (local ¥ + export ¥)/1,000 = 44.1 vs printed Total 54.0</t>
        </is>
      </c>
    </row>
    <row r="45">
      <c r="A45" t="inlineStr">
        <is>
          <t>Row '12. Wild Boar': (local ¥ + export ¥)/1,000 = 90 vs printed Total 40.0</t>
        </is>
      </c>
    </row>
    <row r="46">
      <c r="A46" t="inlineStr">
        <is>
          <t>Row '18. Mountain Goat': (local ¥ + export ¥)/1,000 = 7.5 vs printed Total 7.0</t>
        </is>
      </c>
    </row>
    <row r="47">
      <c r="A47" t="inlineStr">
        <is>
          <t>Row '30. Hare': (local ¥ + export ¥)/1,000 = 45.3 vs printed Total 46.0</t>
        </is>
      </c>
    </row>
    <row r="48">
      <c r="A48" t="inlineStr">
        <is>
          <t>Row check: Total (¥1,000) compared with (Local ¥ + Export ¥)/1,000; mismatches listed above if any</t>
        </is>
      </c>
    </row>
    <row r="49">
      <c r="A49" t="inlineStr">
        <is>
          <t>Cells re-read under magnification (e.g. Glutton export '357', Wild Boar row, Spotted Stag row); figures stand as printed. Glutton export 357 would need to be 375 for its row (1.5) to reconcile; this would also bring the export-value column discrepancy from 618 to 600</t>
        </is>
      </c>
    </row>
    <row r="50">
      <c r="A50" t="inlineStr">
        <is>
          <t>Column headers printed as 'Pieces | Local Markets (¥) | Pieces | Export Markets (¥) | Total (¥1,000)'; flattened as Local/Export</t>
        </is>
      </c>
    </row>
    <row r="51">
      <c r="A51" t="inlineStr">
        <is>
          <t>Rows 1-8 on p.727, rows 9-30 and Grand Total on p.728 headed '(Continued)'</t>
        </is>
      </c>
    </row>
  </sheetData>
  <hyperlinks>
    <hyperlink xmlns:r="http://schemas.openxmlformats.org/officeDocument/2006/relationships" ref="A3" r:id="rId1"/>
  </hyperlink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Distribution of Concordia Association</t>
        </is>
      </c>
    </row>
    <row r="2">
      <c r="A2" t="inlineStr">
        <is>
          <t>The Concordia Association · printed pp. 760</t>
        </is>
      </c>
    </row>
    <row r="3">
      <c r="A3" t="inlineStr">
        <is>
          <t>(As in 1941)</t>
        </is>
      </c>
    </row>
    <row r="4">
      <c r="A4" s="3" t="inlineStr">
        <is>
          <t>← Contents</t>
        </is>
      </c>
    </row>
    <row r="6">
      <c r="A6" s="5" t="inlineStr">
        <is>
          <t>Provincial Headquarters</t>
        </is>
      </c>
      <c r="B6" s="5" t="inlineStr">
        <is>
          <t>City Hdqrs.</t>
        </is>
      </c>
      <c r="C6" s="5" t="inlineStr">
        <is>
          <t>Prefectural &amp; Banner Hdqrs.</t>
        </is>
      </c>
      <c r="D6" s="5" t="inlineStr">
        <is>
          <t>Territorial Hdqrs.</t>
        </is>
      </c>
      <c r="E6" s="5" t="inlineStr">
        <is>
          <t>Sub-Branches</t>
        </is>
      </c>
      <c r="F6" s="5" t="inlineStr">
        <is>
          <t>Members</t>
        </is>
      </c>
    </row>
    <row r="7">
      <c r="A7" t="inlineStr">
        <is>
          <t>Hsinking</t>
        </is>
      </c>
      <c r="B7" t="inlineStr">
        <is>
          <t>—</t>
        </is>
      </c>
      <c r="C7" t="inlineStr">
        <is>
          <t>—</t>
        </is>
      </c>
      <c r="D7" t="inlineStr">
        <is>
          <t>—</t>
        </is>
      </c>
      <c r="E7" s="9" t="n">
        <v>139</v>
      </c>
      <c r="F7" s="6" t="n">
        <v>98570</v>
      </c>
    </row>
    <row r="8">
      <c r="A8" t="inlineStr">
        <is>
          <t>Fengtien</t>
        </is>
      </c>
      <c r="B8" s="9" t="n">
        <v>8</v>
      </c>
      <c r="C8" s="9" t="n">
        <v>20</v>
      </c>
      <c r="D8" t="inlineStr">
        <is>
          <t>—</t>
        </is>
      </c>
      <c r="E8" s="6" t="n">
        <v>1098</v>
      </c>
      <c r="F8" s="6" t="n">
        <v>560165</v>
      </c>
    </row>
    <row r="9">
      <c r="A9" t="inlineStr">
        <is>
          <t>Kirin</t>
        </is>
      </c>
      <c r="B9" s="9" t="n">
        <v>1</v>
      </c>
      <c r="C9" s="9" t="n">
        <v>16</v>
      </c>
      <c r="D9" t="inlineStr">
        <is>
          <t>—</t>
        </is>
      </c>
      <c r="E9" s="9" t="n">
        <v>333</v>
      </c>
      <c r="F9" s="6" t="n">
        <v>366174</v>
      </c>
    </row>
    <row r="10">
      <c r="A10" t="inlineStr">
        <is>
          <t>Lungkiang</t>
        </is>
      </c>
      <c r="B10" s="9" t="n">
        <v>1</v>
      </c>
      <c r="C10" s="9" t="n">
        <v>11</v>
      </c>
      <c r="D10" t="inlineStr">
        <is>
          <t>—</t>
        </is>
      </c>
      <c r="E10" s="9" t="n">
        <v>165</v>
      </c>
      <c r="F10" s="6" t="n">
        <v>55720</v>
      </c>
    </row>
    <row r="11">
      <c r="A11" t="inlineStr">
        <is>
          <t>Jehol</t>
        </is>
      </c>
      <c r="B11" t="inlineStr">
        <is>
          <t>—</t>
        </is>
      </c>
      <c r="C11" s="9" t="n">
        <v>12</v>
      </c>
      <c r="D11" t="inlineStr">
        <is>
          <t>—</t>
        </is>
      </c>
      <c r="E11" s="9" t="n">
        <v>262</v>
      </c>
      <c r="F11" s="6" t="n">
        <v>91826</v>
      </c>
    </row>
    <row r="12">
      <c r="A12" t="inlineStr">
        <is>
          <t>Pinkiang</t>
        </is>
      </c>
      <c r="B12" s="9" t="n">
        <v>1</v>
      </c>
      <c r="C12" s="9" t="n">
        <v>16</v>
      </c>
      <c r="D12" t="inlineStr">
        <is>
          <t>—</t>
        </is>
      </c>
      <c r="E12" s="9" t="n">
        <v>228</v>
      </c>
      <c r="F12" s="6" t="n">
        <v>106564</v>
      </c>
    </row>
    <row r="13">
      <c r="A13" t="inlineStr">
        <is>
          <t>Chinchow</t>
        </is>
      </c>
      <c r="B13" s="9" t="n">
        <v>2</v>
      </c>
      <c r="C13" s="9" t="n">
        <v>10</v>
      </c>
      <c r="D13" t="inlineStr">
        <is>
          <t>—</t>
        </is>
      </c>
      <c r="E13" s="9" t="n">
        <v>299</v>
      </c>
      <c r="F13" s="6" t="n">
        <v>150007</v>
      </c>
    </row>
    <row r="14">
      <c r="A14" t="inlineStr">
        <is>
          <t>Antung</t>
        </is>
      </c>
      <c r="B14" s="9" t="n">
        <v>1</v>
      </c>
      <c r="C14" s="9" t="n">
        <v>6</v>
      </c>
      <c r="D14" t="inlineStr">
        <is>
          <t>—</t>
        </is>
      </c>
      <c r="E14" s="9" t="n">
        <v>191</v>
      </c>
      <c r="F14" s="6" t="n">
        <v>152450</v>
      </c>
    </row>
    <row r="15">
      <c r="A15" t="inlineStr">
        <is>
          <t>Chientao</t>
        </is>
      </c>
      <c r="B15" t="inlineStr">
        <is>
          <t>—</t>
        </is>
      </c>
      <c r="C15" s="9" t="n">
        <v>5</v>
      </c>
      <c r="D15" t="inlineStr">
        <is>
          <t>—</t>
        </is>
      </c>
      <c r="E15" s="9" t="n">
        <v>56</v>
      </c>
      <c r="F15" s="6" t="n">
        <v>69966</v>
      </c>
    </row>
    <row r="16">
      <c r="A16" t="inlineStr">
        <is>
          <t>Sankiang</t>
        </is>
      </c>
      <c r="B16" s="9" t="n">
        <v>1</v>
      </c>
      <c r="C16" s="9" t="n">
        <v>10</v>
      </c>
      <c r="D16" t="inlineStr">
        <is>
          <t>—</t>
        </is>
      </c>
      <c r="E16" s="9" t="n">
        <v>146</v>
      </c>
      <c r="F16" s="6" t="n">
        <v>39400</v>
      </c>
    </row>
    <row r="17">
      <c r="A17" t="inlineStr">
        <is>
          <t>Tunghua</t>
        </is>
      </c>
      <c r="B17" t="inlineStr">
        <is>
          <t>—</t>
        </is>
      </c>
      <c r="C17" s="9" t="n">
        <v>9</v>
      </c>
      <c r="D17" t="inlineStr">
        <is>
          <t>—</t>
        </is>
      </c>
      <c r="E17" s="9" t="n">
        <v>225</v>
      </c>
      <c r="F17" s="6" t="n">
        <v>40104</v>
      </c>
    </row>
    <row r="18">
      <c r="A18" t="inlineStr">
        <is>
          <t>Mutankiang</t>
        </is>
      </c>
      <c r="B18" s="9" t="n">
        <v>1</v>
      </c>
      <c r="C18" s="9" t="n">
        <v>4</v>
      </c>
      <c r="D18" t="inlineStr">
        <is>
          <t>—</t>
        </is>
      </c>
      <c r="E18" s="9" t="n">
        <v>74</v>
      </c>
      <c r="F18" s="6" t="n">
        <v>46872</v>
      </c>
    </row>
    <row r="19">
      <c r="A19" t="inlineStr">
        <is>
          <t>Tungan</t>
        </is>
      </c>
      <c r="B19" t="inlineStr">
        <is>
          <t>—</t>
        </is>
      </c>
      <c r="C19" s="9" t="n">
        <v>6</v>
      </c>
      <c r="D19" t="inlineStr">
        <is>
          <t>—</t>
        </is>
      </c>
      <c r="E19" s="9" t="n">
        <v>33</v>
      </c>
      <c r="F19" s="6" t="n">
        <v>17285</v>
      </c>
    </row>
    <row r="20">
      <c r="A20" t="inlineStr">
        <is>
          <t>Peian</t>
        </is>
      </c>
      <c r="B20" t="inlineStr">
        <is>
          <t>—</t>
        </is>
      </c>
      <c r="C20" s="9" t="n">
        <v>13</v>
      </c>
      <c r="D20" t="inlineStr">
        <is>
          <t>—</t>
        </is>
      </c>
      <c r="E20" s="9" t="n">
        <v>155</v>
      </c>
      <c r="F20" s="6" t="n">
        <v>49805</v>
      </c>
    </row>
    <row r="21">
      <c r="A21" t="inlineStr">
        <is>
          <t>Heiho</t>
        </is>
      </c>
      <c r="B21" t="inlineStr">
        <is>
          <t>—</t>
        </is>
      </c>
      <c r="C21" s="9" t="n">
        <v>4</v>
      </c>
      <c r="D21" t="inlineStr">
        <is>
          <t>—</t>
        </is>
      </c>
      <c r="E21" s="9" t="n">
        <v>57</v>
      </c>
      <c r="F21" s="6" t="n">
        <v>8441</v>
      </c>
    </row>
    <row r="22">
      <c r="A22" t="inlineStr">
        <is>
          <t>Hsingan E.</t>
        </is>
      </c>
      <c r="B22" t="inlineStr">
        <is>
          <t>—</t>
        </is>
      </c>
      <c r="C22" s="9" t="n">
        <v>2</v>
      </c>
      <c r="D22" s="9" t="n">
        <v>2</v>
      </c>
      <c r="E22" s="9" t="n">
        <v>50</v>
      </c>
      <c r="F22" s="6" t="n">
        <v>8398</v>
      </c>
    </row>
    <row r="23">
      <c r="A23" t="inlineStr">
        <is>
          <t>Hsingan S.</t>
        </is>
      </c>
      <c r="B23" t="inlineStr">
        <is>
          <t>—</t>
        </is>
      </c>
      <c r="C23" s="9" t="n">
        <v>2</v>
      </c>
      <c r="D23" t="inlineStr">
        <is>
          <t>—</t>
        </is>
      </c>
      <c r="E23" t="inlineStr">
        <is>
          <t>—</t>
        </is>
      </c>
      <c r="F23" t="inlineStr">
        <is>
          <t>—</t>
        </is>
      </c>
    </row>
    <row r="24">
      <c r="A24" t="inlineStr">
        <is>
          <t>Hsingan W.</t>
        </is>
      </c>
      <c r="B24" t="inlineStr">
        <is>
          <t>—</t>
        </is>
      </c>
      <c r="C24" s="9" t="n">
        <v>8</v>
      </c>
      <c r="D24" t="inlineStr">
        <is>
          <t>—</t>
        </is>
      </c>
      <c r="E24" s="9" t="n">
        <v>29</v>
      </c>
      <c r="F24" s="6" t="n">
        <v>10134</v>
      </c>
    </row>
    <row r="25">
      <c r="A25" t="inlineStr">
        <is>
          <t>Hsingan N.</t>
        </is>
      </c>
      <c r="B25" s="9" t="n">
        <v>1</v>
      </c>
      <c r="C25" t="inlineStr">
        <is>
          <t>—</t>
        </is>
      </c>
      <c r="D25" s="9" t="n">
        <v>2</v>
      </c>
      <c r="E25" s="9" t="n">
        <v>36</v>
      </c>
      <c r="F25" s="6" t="n">
        <v>5977</v>
      </c>
    </row>
    <row r="26">
      <c r="A26" t="inlineStr">
        <is>
          <t>Total</t>
        </is>
      </c>
      <c r="B26" s="9" t="n">
        <v>17</v>
      </c>
      <c r="C26" s="9" t="n">
        <v>154</v>
      </c>
      <c r="D26" s="9" t="n">
        <v>4</v>
      </c>
      <c r="E26" s="6" t="n">
        <v>3581</v>
      </c>
      <c r="F26" s="6" t="n">
        <v>1877902</v>
      </c>
    </row>
    <row r="28">
      <c r="A28" s="2" t="inlineStr">
        <is>
          <t>Transcriber's notes</t>
        </is>
      </c>
    </row>
    <row r="29">
      <c r="A29" t="inlineStr">
        <is>
          <t>Total col 'City Hdqrs.': printed 17, parts sum 17 — reconciles</t>
        </is>
      </c>
    </row>
    <row r="30">
      <c r="A30" t="inlineStr">
        <is>
          <t>Total col 'Prefectural &amp; Banner Hdqrs.': printed 154, parts sum 154 — reconciles</t>
        </is>
      </c>
    </row>
    <row r="31">
      <c r="A31" t="inlineStr">
        <is>
          <t>Total col 'Territorial Hdqrs.': printed 4, parts sum 4 — reconciles</t>
        </is>
      </c>
    </row>
    <row r="32">
      <c r="A32" t="inlineStr">
        <is>
          <t>Total col 'Sub-Branches': printed 3,581, parts sum 3,576 — does NOT reconcile (diff -5)</t>
        </is>
      </c>
    </row>
    <row r="33">
      <c r="A33" t="inlineStr">
        <is>
          <t>Total col 'Members': printed 1,877,902, parts sum 1,877,858 — does NOT reconcile (diff -44)</t>
        </is>
      </c>
    </row>
    <row r="34">
      <c r="A34" t="inlineStr">
        <is>
          <t>Sub-Branches and Members columns re-read under magnification; discrepancies stand as printed</t>
        </is>
      </c>
    </row>
  </sheetData>
  <hyperlinks>
    <hyperlink xmlns:r="http://schemas.openxmlformats.org/officeDocument/2006/relationships" ref="A4" r:id="rId1"/>
  </hyperlink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[Main differences between the old passport visé regulation under the Chinese administration and the new regulation]</t>
        </is>
      </c>
    </row>
    <row r="2">
      <c r="A2" t="inlineStr">
        <is>
          <t>Texts of Bulletins, Laws, Regulations, Treaties, etc. · printed pp. 782, 783, 784, 785</t>
        </is>
      </c>
    </row>
    <row r="3">
      <c r="A3" t="inlineStr">
        <is>
          <t>Communication to Foreign Countries Regarding the Enforcement of New Regulation Governing Passport Visé (June 1, 1933). "The following table shows the main differences which exist between the old regulation enforced under the Chinese administration and the new regulation."</t>
        </is>
      </c>
    </row>
    <row r="4">
      <c r="A4" s="3" t="inlineStr">
        <is>
          <t>← Contents</t>
        </is>
      </c>
    </row>
    <row r="6">
      <c r="A6" s="5" t="inlineStr">
        <is>
          <t>Main Items</t>
        </is>
      </c>
      <c r="B6" s="5" t="inlineStr">
        <is>
          <t>Old Regulation</t>
        </is>
      </c>
      <c r="C6" s="5" t="inlineStr">
        <is>
          <t>New Regulation</t>
        </is>
      </c>
    </row>
    <row r="7">
      <c r="A7" t="inlineStr">
        <is>
          <t>(1) Visé on a passport for entry</t>
        </is>
      </c>
      <c r="B7" t="inlineStr">
        <is>
          <t>Granted at a diplomatic or consular office abroad.</t>
        </is>
      </c>
      <c r="C7" t="inlineStr">
        <is>
          <t>To be granted at a diplomatic or consular office abroad. Pending completion of such establishments, Visé Agencies shall be opened provisionally at the borders of Manchoukuo.</t>
        </is>
      </c>
    </row>
    <row r="8">
      <c r="A8" t="inlineStr">
        <is>
          <t>(2) Visé on a passport for transit</t>
        </is>
      </c>
      <c r="B8" t="inlineStr">
        <is>
          <t>Non-existent. Visé on passport for entry uniformly applied.</t>
        </is>
      </c>
      <c r="C8" t="inlineStr">
        <is>
          <t>This regulation has been newly provided for the convenience of travellers in transit at the cheaper fee of M¥2.</t>
        </is>
      </c>
    </row>
    <row r="9">
      <c r="A9" t="inlineStr">
        <is>
          <t>(3) Certificate of Preconsent to a visé</t>
        </is>
      </c>
      <c r="B9" t="inlineStr">
        <is>
          <t>Non-existent.</t>
        </is>
      </c>
      <c r="C9" t="inlineStr">
        <is>
          <t>This has been newly provided to ensure a prompt and simple visé and for the convenience of travellers at their discretion.</t>
        </is>
      </c>
    </row>
    <row r="10">
      <c r="A10" t="inlineStr">
        <is>
          <t>(4) Visé fees for entering Manchoukuo</t>
        </is>
      </c>
      <c r="B10" t="inlineStr">
        <is>
          <t>Collected according to the principle of reciprocity, to wit: (Fees vary according to exchange rates.) For British subject: about Fourteen (14) Yuan For American: about Fifty-one (51) Yuan For Frenchman: about Ten (10) Yuan</t>
        </is>
      </c>
      <c r="C10" t="inlineStr">
        <is>
          <t>Ten (10) Manchoukuo Yuan shall be charged uniformly from every nationality.</t>
        </is>
      </c>
    </row>
    <row r="11">
      <c r="A11" t="inlineStr">
        <is>
          <t>(5) Visé fees for leaving the national border</t>
        </is>
      </c>
      <c r="B11" t="inlineStr"/>
      <c r="C11" t="inlineStr"/>
    </row>
    <row r="12">
      <c r="A12" t="inlineStr">
        <is>
          <t>In North Manchuria</t>
        </is>
      </c>
      <c r="B12" t="inlineStr">
        <is>
          <t>1. In the case of a national of a treaty-power For one way within a province: One (1) Yuan For a return trip within the province: Two (2) Yuan For one way outside a province: Two (2) Yuan For return trip outside the province: Four (4) Yuan When leaving Manchuria: Four (4) Yuan</t>
        </is>
      </c>
      <c r="C12" t="inlineStr">
        <is>
          <t>Abolished.</t>
        </is>
      </c>
    </row>
    <row r="13">
      <c r="A13" t="inlineStr"/>
      <c r="B13" t="inlineStr">
        <is>
          <t>2. In the case of a national of a non-treaty power or person without nationality For one way to the interior: Nine (9) Yuan For a return trip to and from the interior: Seventeen (17) Yuan When leaving Manchuria: Eight (8) Yuan</t>
        </is>
      </c>
      <c r="C13" t="inlineStr">
        <is>
          <t>Abolished.</t>
        </is>
      </c>
    </row>
    <row r="14">
      <c r="A14" t="inlineStr">
        <is>
          <t>In South Manchuria</t>
        </is>
      </c>
      <c r="B14" t="inlineStr">
        <is>
          <t>1. In the case of a national of a treaty-power For one way to the interior: Two (2) Yuan For a return trip to and from the interior: Four (4) Yuan For one way out of Manchuria: Four (4) Yuan For a return trip out of Manchuria: Eight (8) Yuan</t>
        </is>
      </c>
      <c r="C14" t="inlineStr">
        <is>
          <t>Abolished.</t>
        </is>
      </c>
    </row>
    <row r="15">
      <c r="A15" t="inlineStr"/>
      <c r="B15" t="inlineStr">
        <is>
          <t>In the case of a national of a non-treaty power or person without nationality (The collection of fees suspended temporarily since the Incident of September 18, 1931.) For one way to the interior: Two (2) Yuan For a return trip to and from the interior: Four (4) Yuan For one way out of Manchuria: Four (4) Yuan For a return trip of Manchuria: Eight (8) Yuan</t>
        </is>
      </c>
      <c r="C15" t="inlineStr">
        <is>
          <t>Abolished.</t>
        </is>
      </c>
    </row>
    <row r="16">
      <c r="A16" t="inlineStr"/>
      <c r="B16" t="inlineStr">
        <is>
          <t>Note: In all the above cases a certain period is designated for the validity of a visé, so even when a fee is charged for a visé in North Manchuria, it was collected again in South Manchuria in case certain restrictions were exceeded or at the expiration of the designated period of the visé.</t>
        </is>
      </c>
      <c r="C16" t="inlineStr"/>
    </row>
    <row r="17">
      <c r="A17" t="inlineStr">
        <is>
          <t>(6) Example: In case a British subject enters Manchuria through Manchouli and stays in Harbin, then goes to Mukden to live there, and then departs from Mukden for foreign country</t>
        </is>
      </c>
      <c r="B17" t="inlineStr">
        <is>
          <t>Visé fees for entering Manchuria In London: Fourteen (14) Yuan For one way from Harbin to Mukden: One (1) Yuan For leaving the Country from Mukden: Four (4) Yuan The total fee for three visés: Nineteen (19) Yuan</t>
        </is>
      </c>
      <c r="C17" t="inlineStr">
        <is>
          <t>Visé fees for entering Manchoukuo. At the border of Manchoukuo: Ten (10) Manchoukuo Yuan For a traveller passing through the country within 20 days: Two (2) Manchoukuo Yuan Thus, only one visé is needed for entry in Manchoukuo.</t>
        </is>
      </c>
    </row>
    <row r="19">
      <c r="A19" s="2" t="inlineStr">
        <is>
          <t>Transcriber's notes</t>
        </is>
      </c>
    </row>
    <row r="20">
      <c r="A20" t="inlineStr">
        <is>
          <t>Three-column comparison printed as running text in columns across pp. 782-785 (column headings repeated on 783 and 784). Line-broken hyphenations joined; cell text otherwise as printed.</t>
        </is>
      </c>
    </row>
    <row r="21">
      <c r="A21" t="inlineStr">
        <is>
          <t>Row (4)/(5): the lines 'For American: about Fifty-one (51) Yuan For Frenchman: about Ten (10) Yuan' are printed on p. 783 level with the heading of item (5), but they continue the reciprocity list of item (4) (British/American/French entry fees); placed in row (4). Item (5) has no Old/New text of its own on its heading lines.</t>
        </is>
      </c>
    </row>
    <row r="22">
      <c r="A22" t="inlineStr">
        <is>
          <t>South Manchuria second case is printed without the numeral '2.' (North Manchuria has '1.' and '2.'). 'For a return trip of Manchuria' printed thus (cf. 'out of Manchuria' in the case above).</t>
        </is>
      </c>
    </row>
    <row r="23">
      <c r="A23" t="inlineStr">
        <is>
          <t>The 'Note:' printed on p. 785 sits in the Old Regulation column; given as its own row.</t>
        </is>
      </c>
    </row>
    <row r="24">
      <c r="A24" t="inlineStr">
        <is>
          <t>Stated total in row (6): 14 + 1 + 4 = 19 Yuan — reconciles.</t>
        </is>
      </c>
    </row>
  </sheetData>
  <hyperlinks>
    <hyperlink xmlns:r="http://schemas.openxmlformats.org/officeDocument/2006/relationships" ref="A4" r:id="rId1"/>
  </hyperlink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[Payment of foreign and other claims by the Manchoukuo Liquidation Commission: amount shared by each creditor nation]</t>
        </is>
      </c>
    </row>
    <row r="2">
      <c r="A2" t="inlineStr">
        <is>
          <t>Texts of Bulletins, Laws, Regulations, Treaties, etc. · printed pp. 789</t>
        </is>
      </c>
    </row>
    <row r="3">
      <c r="A3" t="inlineStr">
        <is>
          <t>Payment of Foreign and Other Claims Effected by Manchoukuo Liquidation Commission (July 17, 1933). "The amount shared respectively by each creditor nation is as follows:"</t>
        </is>
      </c>
    </row>
    <row r="4">
      <c r="A4" s="3" t="inlineStr">
        <is>
          <t>← Contents</t>
        </is>
      </c>
    </row>
    <row r="6">
      <c r="A6" s="5" t="inlineStr">
        <is>
          <t>Creditors</t>
        </is>
      </c>
      <c r="B6" s="5" t="inlineStr">
        <is>
          <t>Amount Paid</t>
        </is>
      </c>
    </row>
    <row r="7">
      <c r="A7" t="inlineStr">
        <is>
          <t>Japan</t>
        </is>
      </c>
      <c r="B7" t="inlineStr">
        <is>
          <t>M¥ 889,114.74</t>
        </is>
      </c>
    </row>
    <row r="8">
      <c r="A8" t="inlineStr">
        <is>
          <t>Great Britain</t>
        </is>
      </c>
      <c r="B8" s="12" t="n">
        <v>188937.32</v>
      </c>
    </row>
    <row r="9">
      <c r="A9" t="inlineStr">
        <is>
          <t>Germany</t>
        </is>
      </c>
      <c r="B9" s="12" t="n">
        <v>305154.82</v>
      </c>
    </row>
    <row r="10">
      <c r="A10" t="inlineStr">
        <is>
          <t>U. S. A.</t>
        </is>
      </c>
      <c r="B10" s="12" t="n">
        <v>28457.26</v>
      </c>
    </row>
    <row r="11">
      <c r="A11" t="inlineStr">
        <is>
          <t>Manchoukuo and China</t>
        </is>
      </c>
      <c r="B11" s="12" t="n">
        <v>1002890.12</v>
      </c>
    </row>
    <row r="12">
      <c r="A12" t="inlineStr">
        <is>
          <t>Denmark</t>
        </is>
      </c>
      <c r="B12" s="12" t="n">
        <v>2091.56</v>
      </c>
    </row>
    <row r="13">
      <c r="A13" t="inlineStr">
        <is>
          <t>Others</t>
        </is>
      </c>
      <c r="B13" s="11" t="n">
        <v>479.65</v>
      </c>
    </row>
    <row r="14">
      <c r="A14" t="inlineStr">
        <is>
          <t>Total</t>
        </is>
      </c>
      <c r="B14" t="inlineStr">
        <is>
          <t>M¥ 2,417,125.47</t>
        </is>
      </c>
    </row>
    <row r="16">
      <c r="A16" s="2" t="inlineStr">
        <is>
          <t>Transcriber's notes</t>
        </is>
      </c>
    </row>
    <row r="17">
      <c r="A17" t="inlineStr">
        <is>
          <t>Total M¥ 2,417,125.47: parts sum to 2,417,125.47 — reconciles. Same total is quoted in the preceding text.</t>
        </is>
      </c>
    </row>
  </sheetData>
  <hyperlinks>
    <hyperlink xmlns:r="http://schemas.openxmlformats.org/officeDocument/2006/relationships" ref="A4" r:id="rId1"/>
  </hyperlink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[Names and locations of prisons (Prison Law, April 1, 1935)]</t>
        </is>
      </c>
    </row>
    <row r="2">
      <c r="A2" t="inlineStr">
        <is>
          <t>Texts of Bulletins, Laws, Regulations, Treaties, etc. · printed pp. 840, 841</t>
        </is>
      </c>
    </row>
    <row r="3">
      <c r="A3" t="inlineStr">
        <is>
          <t>The table of the names and locations of prisons follows:</t>
        </is>
      </c>
    </row>
    <row r="4">
      <c r="A4" s="3" t="inlineStr">
        <is>
          <t>← Contents</t>
        </is>
      </c>
    </row>
    <row r="6">
      <c r="A6" s="5" t="inlineStr">
        <is>
          <t>Name</t>
        </is>
      </c>
      <c r="B6" s="5" t="inlineStr">
        <is>
          <t>Location</t>
        </is>
      </c>
    </row>
    <row r="7">
      <c r="A7" t="inlineStr">
        <is>
          <t>Hsinking Prison</t>
        </is>
      </c>
      <c r="B7" t="inlineStr">
        <is>
          <t>Hsinking Special Municipality;</t>
        </is>
      </c>
    </row>
    <row r="8">
      <c r="A8" t="inlineStr">
        <is>
          <t>Kirin Prison</t>
        </is>
      </c>
      <c r="B8" t="inlineStr">
        <is>
          <t>Kirin City, Kirin Province;</t>
        </is>
      </c>
    </row>
    <row r="9">
      <c r="A9" t="inlineStr">
        <is>
          <t>Lungkiang Prison</t>
        </is>
      </c>
      <c r="B9" t="inlineStr">
        <is>
          <t>Tsitsihar City, Lungkiang Province;</t>
        </is>
      </c>
    </row>
    <row r="10">
      <c r="A10" t="inlineStr">
        <is>
          <t>Paichuan Prison</t>
        </is>
      </c>
      <c r="B10" t="inlineStr">
        <is>
          <t>Paichuan-hsien, Lungkiang Province;</t>
        </is>
      </c>
    </row>
    <row r="11">
      <c r="A11" t="inlineStr">
        <is>
          <t>Taonan Prison</t>
        </is>
      </c>
      <c r="B11" t="inlineStr">
        <is>
          <t>Taonan-hsien, Lungkiang Province;</t>
        </is>
      </c>
    </row>
    <row r="12">
      <c r="A12" t="inlineStr">
        <is>
          <t>Ilan Prison</t>
        </is>
      </c>
      <c r="B12" t="inlineStr">
        <is>
          <t>Ilan-hsien Sankiang Province;</t>
        </is>
      </c>
    </row>
    <row r="13">
      <c r="A13" t="inlineStr">
        <is>
          <t>Pinkiang Prison</t>
        </is>
      </c>
      <c r="B13" t="inlineStr">
        <is>
          <t>Harbin Special Municipality;</t>
        </is>
      </c>
    </row>
    <row r="14">
      <c r="A14" t="inlineStr">
        <is>
          <t>Hulan Prison</t>
        </is>
      </c>
      <c r="B14" t="inlineStr">
        <is>
          <t>Hulan-hsien, Pinkiang Province;</t>
        </is>
      </c>
    </row>
    <row r="15">
      <c r="A15" t="inlineStr">
        <is>
          <t>Yenki Prison</t>
        </is>
      </c>
      <c r="B15" t="inlineStr">
        <is>
          <t>Yenki-hsien, Chientao Province;</t>
        </is>
      </c>
    </row>
    <row r="16">
      <c r="A16" t="inlineStr">
        <is>
          <t>Antung Prison</t>
        </is>
      </c>
      <c r="B16" t="inlineStr">
        <is>
          <t>Antung-hsien, Antung Province;</t>
        </is>
      </c>
    </row>
    <row r="17">
      <c r="A17" t="inlineStr">
        <is>
          <t>Mukden Prison</t>
        </is>
      </c>
      <c r="B17" t="inlineStr">
        <is>
          <t>Mukden City, Fengtien Province;</t>
        </is>
      </c>
    </row>
    <row r="18">
      <c r="A18" t="inlineStr">
        <is>
          <t>Fushun Prison</t>
        </is>
      </c>
      <c r="B18" t="inlineStr">
        <is>
          <t>Fushun-hsien, Fengtien Province;</t>
        </is>
      </c>
    </row>
    <row r="19">
      <c r="A19" t="inlineStr">
        <is>
          <t>Liaoyang Prison</t>
        </is>
      </c>
      <c r="B19" t="inlineStr">
        <is>
          <t>Liaoyang-hsien, Fengtien Province;</t>
        </is>
      </c>
    </row>
    <row r="20">
      <c r="A20" t="inlineStr">
        <is>
          <t>Yingkow Prison</t>
        </is>
      </c>
      <c r="B20" t="inlineStr">
        <is>
          <t>Yingkow-hsien, Fengtien Province;</t>
        </is>
      </c>
    </row>
    <row r="21">
      <c r="A21" t="inlineStr">
        <is>
          <t>Fuchow Prison</t>
        </is>
      </c>
      <c r="B21" t="inlineStr">
        <is>
          <t>Wafangtien, Fu-hsien, Fengtien Province;</t>
        </is>
      </c>
    </row>
    <row r="22">
      <c r="A22" t="inlineStr">
        <is>
          <t>Tiehling Prison</t>
        </is>
      </c>
      <c r="B22" t="inlineStr">
        <is>
          <t>Tiehling-hsien, Fengtien Province;</t>
        </is>
      </c>
    </row>
    <row r="23">
      <c r="A23" t="inlineStr">
        <is>
          <t>Liaoyuan Prison</t>
        </is>
      </c>
      <c r="B23" t="inlineStr">
        <is>
          <t>Chengchiatun, Liaoyang-hsien, Fengtien Province;</t>
        </is>
      </c>
    </row>
    <row r="24">
      <c r="A24" t="inlineStr">
        <is>
          <t>Sian Prison</t>
        </is>
      </c>
      <c r="B24" t="inlineStr">
        <is>
          <t>Sian-hsien, Fengtien Province;</t>
        </is>
      </c>
    </row>
    <row r="25">
      <c r="A25" t="inlineStr">
        <is>
          <t>Changtu Prison</t>
        </is>
      </c>
      <c r="B25" t="inlineStr">
        <is>
          <t>Changtsu-hsien, Fengtien Province;</t>
        </is>
      </c>
    </row>
    <row r="26">
      <c r="A26" t="inlineStr">
        <is>
          <t>Hailung Prison</t>
        </is>
      </c>
      <c r="B26" t="inlineStr">
        <is>
          <t>Hailung-hsien, Fengtien Province;</t>
        </is>
      </c>
    </row>
    <row r="27">
      <c r="A27" t="inlineStr">
        <is>
          <t>Hsinking Prison</t>
        </is>
      </c>
      <c r="B27" t="inlineStr">
        <is>
          <t>Hsinking-hsien, Fengtien Province;</t>
        </is>
      </c>
    </row>
    <row r="28">
      <c r="A28" t="inlineStr">
        <is>
          <t>Chinchow Prison</t>
        </is>
      </c>
      <c r="B28" t="inlineStr">
        <is>
          <t>Chin-hsien, Chinchow Province;</t>
        </is>
      </c>
    </row>
    <row r="29">
      <c r="A29" t="inlineStr">
        <is>
          <t>Chengteh Prison</t>
        </is>
      </c>
      <c r="B29" t="inlineStr">
        <is>
          <t>Chengteh-hsien, Jehol Province.</t>
        </is>
      </c>
    </row>
    <row r="31">
      <c r="A31" s="2" t="inlineStr">
        <is>
          <t>Transcriber's notes</t>
        </is>
      </c>
    </row>
    <row r="32">
      <c r="A32" t="inlineStr">
        <is>
          <t>Two-column list printed at foot of p. 840 (6 rows) continuing at top of p. 841 (17 rows); merged. Column headings printed in italics on p. 840 only.</t>
        </is>
      </c>
    </row>
    <row r="33">
      <c r="A33" t="inlineStr">
        <is>
          <t>Spellings as printed: 'Ilan-hsien Sankiang Province' (no comma); 'Changtsu-hsien' for Changtu Prison; Liaoyuan Prison located at 'Chengchiatun, Liaoyang-hsien'; 'Hsinking Prison' appears twice (Hsinking Special Municipality and Hsinking-hsien, Fengtien Province). Trailing semicolons kept as printed.</t>
        </is>
      </c>
    </row>
    <row r="34">
      <c r="A34" t="inlineStr">
        <is>
          <t>No totals printed.</t>
        </is>
      </c>
    </row>
  </sheetData>
  <hyperlinks>
    <hyperlink xmlns:r="http://schemas.openxmlformats.org/officeDocument/2006/relationships" ref="A4" r:id="rId1"/>
  </hyperlink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[Revision of the Organization Law of the Monopoly Bureau: former positions and corresponding new positions]</t>
        </is>
      </c>
    </row>
    <row r="2">
      <c r="A2" t="inlineStr">
        <is>
          <t>Texts of Bulletins, Laws, Regulations, Treaties, etc. · printed pp. 843</t>
        </is>
      </c>
    </row>
    <row r="3">
      <c r="A3" t="inlineStr">
        <is>
          <t>Supplementary: "... who actually hold positions mentioned in the first column of the following table ... shall be regarded as having been appointed to the corresponding positions given in the second column, with the same official ranks and grades of salary as formerly."</t>
        </is>
      </c>
    </row>
    <row r="4">
      <c r="A4" s="3" t="inlineStr">
        <is>
          <t>← Contents</t>
        </is>
      </c>
    </row>
    <row r="6">
      <c r="A6" s="5" t="inlineStr">
        <is>
          <t>[Former position (first column)]</t>
        </is>
      </c>
      <c r="B6" s="5" t="inlineStr">
        <is>
          <t>[Corresponding new position (second column)]</t>
        </is>
      </c>
    </row>
    <row r="7">
      <c r="A7" t="inlineStr">
        <is>
          <t>Director of the Monopoly Bureau</t>
        </is>
      </c>
      <c r="B7" t="inlineStr">
        <is>
          <t>Director of the General Monopoly Bureau</t>
        </is>
      </c>
    </row>
    <row r="8">
      <c r="A8" t="inlineStr">
        <is>
          <t>Vice-Director of the Monopoly Bureau</t>
        </is>
      </c>
      <c r="B8" t="inlineStr">
        <is>
          <t>Vice-Director of the General Monopoly Bureau</t>
        </is>
      </c>
    </row>
    <row r="9">
      <c r="A9" t="inlineStr">
        <is>
          <t>Directing-Secretaries of the Monopoly Bureau</t>
        </is>
      </c>
      <c r="B9" t="inlineStr">
        <is>
          <t>Directing Secretary of the General Monopoly Bureau</t>
        </is>
      </c>
    </row>
    <row r="10">
      <c r="A10" t="inlineStr">
        <is>
          <t>Chief Technical Experts of the Monopoly Bureau</t>
        </is>
      </c>
      <c r="B10" t="inlineStr">
        <is>
          <t>Chief Technical Expert of the General Monopoly Bureau</t>
        </is>
      </c>
    </row>
    <row r="11">
      <c r="A11" t="inlineStr">
        <is>
          <t>Secretary of the Monopoly Bureau</t>
        </is>
      </c>
      <c r="B11" t="inlineStr">
        <is>
          <t>Secretary of the General Monopoly Bureau</t>
        </is>
      </c>
    </row>
    <row r="12">
      <c r="A12" t="inlineStr">
        <is>
          <t>Assistant Chief Technical Expert of the Monopoly Bureau</t>
        </is>
      </c>
      <c r="B12" t="inlineStr">
        <is>
          <t>Assistant Chief Technical Expert of the General Monopoly Bureau</t>
        </is>
      </c>
    </row>
    <row r="13">
      <c r="A13" t="inlineStr">
        <is>
          <t>Subordinate Official of the Monopoly Bureau</t>
        </is>
      </c>
      <c r="B13" t="inlineStr">
        <is>
          <t>Subordinate Official of the General Monopoly Bureau</t>
        </is>
      </c>
    </row>
    <row r="14">
      <c r="A14" t="inlineStr">
        <is>
          <t>Technical Official of the Monopoly Bureau</t>
        </is>
      </c>
      <c r="B14" t="inlineStr">
        <is>
          <t>Technical Expert of the General Monopoly Bureau</t>
        </is>
      </c>
    </row>
    <row r="16">
      <c r="A16" s="2" t="inlineStr">
        <is>
          <t>Transcriber's notes</t>
        </is>
      </c>
    </row>
    <row r="17">
      <c r="A17" t="inlineStr">
        <is>
          <t>No column headings printed; bracketed headings supplied from the introductory text. Line-end hyphenations joined.</t>
        </is>
      </c>
    </row>
    <row r="18">
      <c r="A18" t="inlineStr">
        <is>
          <t>Singular/plural as printed ('Directing-Secretaries' vs 'Directing Secretary'; 'Chief Technical Experts' vs 'Chief Technical Expert'; 'Technical Official' vs 'Technical Expert').</t>
        </is>
      </c>
    </row>
    <row r="19">
      <c r="A19" t="inlineStr">
        <is>
          <t>No figures or totals.</t>
        </is>
      </c>
    </row>
  </sheetData>
  <hyperlinks>
    <hyperlink xmlns:r="http://schemas.openxmlformats.org/officeDocument/2006/relationships" ref="A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2026-09-25T13:14:45Z</dcterms:created>
  <dcterms:modified xsi:type="dcterms:W3CDTF">2026-09-25T13:14:46Z</dcterms:modified>
</cp:coreProperties>
</file>